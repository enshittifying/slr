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perties" sheetId="1" r:id="rId3"/>
    <sheet state="visible" name="Raw Output" sheetId="2" r:id="rId4"/>
    <sheet state="hidden" name="Sourcepull (Old)" sheetId="3" r:id="rId5"/>
    <sheet state="hidden" name="CC" sheetId="4" r:id="rId6"/>
    <sheet state="visible" name="Sourcepull" sheetId="5" r:id="rId7"/>
    <sheet state="hidden" name="CC (nn. 1-37); LJ" sheetId="6" r:id="rId8"/>
    <sheet state="hidden" name="Copy of CC" sheetId="7" r:id="rId9"/>
    <sheet state="hidden" name="CC (nn. 38-81); SSH" sheetId="8" r:id="rId10"/>
    <sheet state="hidden" name="CC (nn. 82-115); IG" sheetId="9" r:id="rId11"/>
    <sheet state="hidden" name="CC (nn. 116-150); BR" sheetId="10" r:id="rId12"/>
    <sheet state="hidden" name="CC (nn. 151-184); LZ" sheetId="11" r:id="rId13"/>
    <sheet state="hidden" name="CC (nn. 185-224); JL" sheetId="12" r:id="rId14"/>
    <sheet state="hidden" name="CC (nn. 225-279); BV" sheetId="13" r:id="rId15"/>
    <sheet state="hidden" name="CC (nn. 280-324); ME" sheetId="14" r:id="rId16"/>
  </sheets>
  <definedNames/>
  <calcPr/>
</workbook>
</file>

<file path=xl/sharedStrings.xml><?xml version="1.0" encoding="utf-8"?>
<sst xmlns="http://schemas.openxmlformats.org/spreadsheetml/2006/main" count="16614" uniqueCount="2651">
  <si>
    <t>Volume</t>
  </si>
  <si>
    <t>Issue</t>
  </si>
  <si>
    <t>Article Title</t>
  </si>
  <si>
    <t>Rethinking the Administrative Remand Rule</t>
  </si>
  <si>
    <t>Author</t>
  </si>
  <si>
    <t>Smith</t>
  </si>
  <si>
    <t>SE</t>
  </si>
  <si>
    <t>Mariah Uustal</t>
  </si>
  <si>
    <t>Drive Folder ID</t>
  </si>
  <si>
    <t>1QraZedvhM1pqTguKecOlRKZ62GUwcgnd</t>
  </si>
  <si>
    <t>Drive Sourcepull ID</t>
  </si>
  <si>
    <t>1VmyDEdY-rZ9IfPP9oyBpoZpjcDWGggJR</t>
  </si>
  <si>
    <t>Drive R1 ID</t>
  </si>
  <si>
    <t>1OkcpifbUiC1Y6G2u5ApzxEwKzOL1_kpP</t>
  </si>
  <si>
    <t>Drive R2 ID</t>
  </si>
  <si>
    <t>1ECxOEr3giAvViqLOOB3XM6YZlFhRIkcx</t>
  </si>
  <si>
    <t>Primary ME</t>
  </si>
  <si>
    <t>Managing Editor</t>
  </si>
  <si>
    <t>MEMs</t>
  </si>
  <si>
    <t>Lucia Jiang</t>
  </si>
  <si>
    <t>Steve Sangbeom Heo</t>
  </si>
  <si>
    <t>Isabel Gallegos</t>
  </si>
  <si>
    <t>Ben Rosenthal</t>
  </si>
  <si>
    <t>Lucia Zheng</t>
  </si>
  <si>
    <t>Jinna Lee</t>
  </si>
  <si>
    <t>Breeze Velazquez</t>
  </si>
  <si>
    <t>Marcus Ellinas</t>
  </si>
  <si>
    <t>Cite#</t>
  </si>
  <si>
    <t>Footnote Text</t>
  </si>
  <si>
    <t>Citation Text</t>
  </si>
  <si>
    <t>Source Name</t>
  </si>
  <si>
    <t>Warnings</t>
  </si>
  <si>
    <r>
      <rPr>
        <rFont val="Arial"/>
        <color rgb="FF000000"/>
        <sz val="12.0"/>
      </rPr>
      <t xml:space="preserve">Pewećeli is a character in the Washoe Tribe’s creation story, and Pewećeli Yeweš means “Pewećeli’s trail” or “path” in reference to a trade route heading west. Email correspondence with Herman Miller, Culture/Language Resources Director, Washoe Tribe of Nevada and California (Oct. 16, 2024) (on file with the author); see also Claire Cudahy, “Washoe youth follow ancestors’ footsteps in Hope Valley,” Tahoe Daily Tribune (Jan. 25, 2018), https://www.tahoedailytribune.com/news/local/washoe-youth-follow-ancestors-footsteps-in-hope-valley-video/; U.S. Forest Service, Carson Ranger District, East Carson River Strategy, 4-5 (July 2007), http://www.theanglersedge.com/downloads/East_Carson_River_Strategy_061907.pdf. For a history of the Washoe and the lands they inhabited, see The Washoe Tribe of Nevada and California, WA SHE SHU: “The Washoe People” Past and Present (2009), https://www.fs.usda.gov/Internet/FSE_DOCUMENTS/stelprdb5251066.pdf; Washoe Tribe of California and Nevada, Washoe History: A Brief Summary (2020), https://washoetribe.us/aboutpage/4-Page-washoe-history. 
  Frank Tortorich, Jr., The Opening of the Carson River Route, 18 Overland Journal 1, 22 (Spring 2000); Jeff Munson, “Emigrant Trail tour promises spectacular colors,” Tahoe Daily Tribune (Oct. 12, 2005), </t>
    </r>
    <r>
      <rPr>
        <rFont val="Arial"/>
        <color rgb="FF1155CC"/>
        <sz val="12.0"/>
        <u/>
      </rPr>
      <t>https://www.tahoedailytribune.com/news/emigrant-trail-tour-promises-spectacular-colors/.</t>
    </r>
    <r>
      <rPr>
        <rFont val="Arial"/>
        <color rgb="FF000000"/>
        <sz val="12.0"/>
      </rPr>
      <t xml:space="preserve">
</t>
    </r>
  </si>
  <si>
    <t>Email correspondence with Herman Miller, Culture/Language Resources Director, Washoe Tribe of Nevada and California (Oct. 16, 2024) (on file with the author)</t>
  </si>
  <si>
    <t>Herman</t>
  </si>
  <si>
    <t>Claire Cudahy, “Washoe youth follow ancestors’ footsteps in Hope Valley,” Tahoe Daily Tribune (Jan. 25, 2018), https://www.tahoedailytribune.com/news/local/washoe-youth-follow-ancestors-footsteps-in-hope-valley-video/</t>
  </si>
  <si>
    <t>Cudahy</t>
  </si>
  <si>
    <t>U.S. Forest Service, Carson Ranger District, East Carson River Strategy, 4-5 (July 2007), http://www.theanglersedge.com/downloads/East_Carson_River_Strategy_061907.pdf</t>
  </si>
  <si>
    <t>Carson</t>
  </si>
  <si>
    <t>The Washoe Tribe of Nevada and California, WA SHE SHU: “The Washoe People” Past and Present (2009), https://www.fs.usda.gov/Internet/FSE_DOCUMENTS/stelprdb5251066.pdf</t>
  </si>
  <si>
    <t>Washoe USDA</t>
  </si>
  <si>
    <t>Washoe Tribe of California and Nevada, Washoe History: A Brief Summary (2020), https://washoetribe.us/aboutpage/4-Page-washoe-history</t>
  </si>
  <si>
    <t>Washoe History</t>
  </si>
  <si>
    <r>
      <rPr>
        <rFont val="Arial"/>
        <color rgb="FF000000"/>
        <sz val="12.0"/>
      </rPr>
      <t xml:space="preserve">Frank Tortorich, Jr., The Opening of the Carson River Route, 18 Overland Journal 1, 22 (Spring 2000); Jeff Munson, “Emigrant Trail tour promises spectacular colors,” Tahoe Daily Tribune (Oct. 12, 2005), </t>
    </r>
    <r>
      <rPr>
        <rFont val="Arial"/>
        <color rgb="FF1155CC"/>
        <sz val="12.0"/>
        <u/>
      </rPr>
      <t>https://www.tahoedailytribune.com/news/emigrant-trail-tour-promises-spectacular-colors/.</t>
    </r>
  </si>
  <si>
    <t>Frank Tortorich, Jr., The Opening of the Carson River Route, 18 Overland Journal 1, 22 (Spring 2000)</t>
  </si>
  <si>
    <t>Tortorich</t>
  </si>
  <si>
    <r>
      <rPr>
        <rFont val="Arial"/>
        <color rgb="FF000000"/>
        <sz val="12.0"/>
      </rPr>
      <t xml:space="preserve">Jeff Munson, “Emigrant Trail tour promises spectacular colors,” Tahoe Daily Tribune (Oct. 12, 2005), </t>
    </r>
    <r>
      <rPr>
        <rFont val="Arial"/>
        <color rgb="FF1155CC"/>
        <sz val="12.0"/>
        <u/>
      </rPr>
      <t>https://www.tahoedailytribune.com/news/emigrant-trail-tour-promises-spectacular-colors/</t>
    </r>
  </si>
  <si>
    <t>Munson</t>
  </si>
  <si>
    <r>
      <rPr>
        <rFont val="Arial"/>
        <color rgb="FF000000"/>
        <sz val="12.0"/>
      </rPr>
      <t xml:space="preserve">For the Forest Service’s most current Winter Recreation Map for Hope Valley and surrounding areas, see </t>
    </r>
    <r>
      <rPr>
        <rFont val="Arial"/>
        <color rgb="FF1155CC"/>
        <sz val="12.0"/>
        <u/>
      </rPr>
      <t>https://www.fs.usda.gov/Internet/FSE_DOCUMENTS/stelprdb5294291.pdf.</t>
    </r>
  </si>
  <si>
    <t>https://www.fs.usda.gov/Internet/FSE_DOCUMENTS/stelprdb5294291.pdf.</t>
  </si>
  <si>
    <t>Hope Valley Recreation</t>
  </si>
  <si>
    <t>Memorandum of Opinion and Order, Friends of Hope Valley v. U.S. Forest Serv., No. 2:00-cv-01900-DFL-KJM, 2 (E.D. Cal. Sept. 30, 2004).</t>
  </si>
  <si>
    <t>Memorandum of Opinion and Order, Friends of Hope Valley v. U.S. Forest Serv., No. 2:00-cv-01900-DFL-KJM, 2 (E.D. Cal. Sept. 30, 2004)</t>
  </si>
  <si>
    <t>Memorandum</t>
  </si>
  <si>
    <t>Memorandum of Opinion and Order, Friends of Hope Valley v. U.S. Forest Serv., No. 2:00-cv-01900-DFL-KJM, 6 (E.D. Cal. Sept. 30, 2004).</t>
  </si>
  <si>
    <t>Memorandum of Opinion and Order, Friends of Hope Valley v. U.S. Forest Serv., No. 2:00-cv-01900-DFL-KJM, 6 (E.D. Cal. Sept. 30, 2004)</t>
  </si>
  <si>
    <t/>
  </si>
  <si>
    <t>Friends of Hope Valley v. U.S. Forest Service, 203 Fed. Appx. 883 (9th Cir. 2006) (unpublished).</t>
  </si>
  <si>
    <t>Friends of Hope Valley v. U.S. Forest Service, 203 Fed. Appx. 883 (9th Cir. 2006) (unpublished)</t>
  </si>
  <si>
    <t>Friends of Hope Valley v US Forest Service</t>
  </si>
  <si>
    <t>Id. The APA is found at 5 U.S.C. §§ 551-553, 701-706. This Article is concerned with only APA remands. There are, of course, many other types of remands (to administrative law judges, bankruptcy courts, state courts, and so on), and in a few footnotes I have noted ways in which jurisprudence concerning such other remands is relevant to the administrative-remand rule. See infra notes 113, 151-153.</t>
  </si>
  <si>
    <t>Id.</t>
  </si>
  <si>
    <t>5 U.S.C. §§ 551-553, 701-706</t>
  </si>
  <si>
    <t>APA</t>
  </si>
  <si>
    <t>infra notes 113, 151-153</t>
  </si>
  <si>
    <t>Infra Notes 113, 151-153</t>
  </si>
  <si>
    <t>Friends of Hope Valley, 203 Fed. Appx. at 883 (citing Alsea Valley Alliance v. Dep’t of Commerce, 358 F.3d 1181, 1184 (9th Cir. 2004)).</t>
  </si>
  <si>
    <t>Friends of Hope Valley, 203 Fed. Appx. at 883</t>
  </si>
  <si>
    <t>Alsea Valley Alliance v. Dep’t of Commerce, 358 F.3d 1181, 1184 (9th Cir. 2004)</t>
  </si>
  <si>
    <t>Alsea Valley Alliance v Dep't of Commerce</t>
  </si>
  <si>
    <t>Alsea Valley Alliance, 358 F.3d at 1184 (emphasis removed). For more detail on section 1291, see infra Part I.B. Also, as infra note 23 explains, some courts and commentators conceive of the rule as being narrower: A decision remanding an agency action is not final and appealable, and an appeal by the agency is an “exception” to that rule instead of part of the rule itself.</t>
  </si>
  <si>
    <t>Alsea Valley Alliance, 358 F.3d at 1184</t>
  </si>
  <si>
    <t>infra Part I.B</t>
  </si>
  <si>
    <t>Infra Part IB</t>
  </si>
  <si>
    <t>infra note 23</t>
  </si>
  <si>
    <t>Infra Note 23</t>
  </si>
  <si>
    <t>The Tenth Circuit coined the term “administrative-remand rule,” and as of 2021, it was “unique” to that circuit. C.W. by and through B.W. v. Denver Cnty. Sch. Dist. No. 1, 994 F.3d 1215, 1220 n.2 (10th Cir. 2021). However, at least two other courts have since started to use that term. See Montana Env’t Info. Ctr. v. Haaland, No. 22-36002, 2023 WL 8166779, at *1 (9th Cir. Nov. 24, 2023); DCOR, LLC v. U.S. Dep’t of the Interior, No. 3:21-CV-00120-N, 2023 WL 8628322, at *1 (N.D. Tex. Dec. 13, 2023).</t>
  </si>
  <si>
    <t>C.W. by and through B.W. v. Denver Cnty. Sch. Dist. No. 1, 994 F.3d 1215, 1220 n.2 (10th Cir. 2021)</t>
  </si>
  <si>
    <t>Denver Cnty</t>
  </si>
  <si>
    <t>Montana Env’t Info. Ctr. v. Haaland, No. 22-36002, 2023 WL 8166779, at *1 (9th Cir. Nov. 24, 2023)</t>
  </si>
  <si>
    <t>Montana Env't Info CTR</t>
  </si>
  <si>
    <t>DCOR, LLC v. U.S. Dep’t of the Interior, No. 3:21-CV-00120-N, 2023 WL 8628322, at *1 (N.D. Tex. Dec. 13, 2023)</t>
  </si>
  <si>
    <t>Dcor</t>
  </si>
  <si>
    <t>Part I, infra, discusses this case law in detail. Notably, the rise of the administrative-remand rule coincided, unsurprisingly, with the rise of the administrative state. For more on the latter, see, e.g., Jon D. Michaels, Constitutional Coup: Privatization’s Threat to the American Republic, 21-77 (2017); Developments in the Law—Presidential Authority, V. Executive Appointments, 125 Harv. L. Rev. 2135, 2138 (2012); Daniel E. Ho &amp; Erica L. Ross, Did Liberal Justices Invent the Standing Doctrine? An Empirical Study of the Evolution of Standing, 1921-2006, 62 Stan. L. Rev. 591, 647 &amp; n.231 (2010); William S. Jordan, III, Judges, Ideology, and Policy in the Administrative State: Lessons from A Decade of Hard Look Remands of EPA Rules, 53 Admin. L. Rev. 45, 46 (2001).</t>
  </si>
  <si>
    <t>Part I, infra</t>
  </si>
  <si>
    <t>Infra Part I</t>
  </si>
  <si>
    <t>Jon D. Michaels, Constitutional Coup: Privatization’s Threat to the American Republic, 21-77 (2017)</t>
  </si>
  <si>
    <t>Michaels</t>
  </si>
  <si>
    <t>Developments in the Law—Presidential Authority, V. Executive Appointments, 125 Harv. L. Rev. 2135, 2138 (2012)</t>
  </si>
  <si>
    <t>Developments</t>
  </si>
  <si>
    <t>Daniel E. Ho &amp; Erica L. Ross, Did Liberal Justices Invent the Standing Doctrine? An Empirical Study of the Evolution of Standing, 1921-2006, 62 Stan. L. Rev. 591, 647 &amp; n.231 (2010)</t>
  </si>
  <si>
    <t>Ho</t>
  </si>
  <si>
    <t>William S. Jordan, III, Judges, Ideology, and Policy in the Administrative State: Lessons from A Decade of Hard Look Remands of EPA Rules, 53 Admin. L. Rev. 45, 46 (2001)</t>
  </si>
  <si>
    <t>Jordan</t>
  </si>
  <si>
    <t>The Court came closest to considering the rule in Sullivan v. Finkelstein, 496 U.S. 617, 625 (1990), which interpreted a specific finality statute to permit appeals of district court remands in Social Security cases. See infra notes 89-97 and accompanying text pp. 17-19 (discussing Finkelstein in detail).</t>
  </si>
  <si>
    <t>Sullivan v. Finkelstein, 496 U.S. 617, 625 (1990)</t>
  </si>
  <si>
    <t>Finkelstein</t>
  </si>
  <si>
    <t>infra notes 89-97 and accompanying text pp. 17-19</t>
  </si>
  <si>
    <t>Infra Notes 89-97 and Accompanying Text Pp 17-19</t>
  </si>
  <si>
    <t>Professor Bryan Lammon at the University of Toledo College of Law has written most extensively about the administrative-remand rule, though in the more general context of finality and appellate jurisdiction. See Bryan Lammon, Finality, Appealability, and the Scope of Interlocutory Review, 93 Wash. L. Rev. 1809, 1834-37 (2018); Bryan Lammon, Dizzying Gillespie: The Exaggerated Death of the Balancing Approach and the Inescapable Allure of Flexibility in Appellate Jurisdiction, 51 U. Rich. L. Rev. 371, 386-93 (2017). The rule has received passing attention in other scholarship. See, e.g., Harold J. Krent, Situating Structural Challenges to Agency Authority Within the Framework of the Finality Principle, 98 Ind. L.J. Supplement 1, 10 n.73 (2023); Jennifer L. Biever &amp; Ana Maria Gutierrez, The Uncertain Question of Remedies Should a Challenge Prevail, 2016 NO. 5 RMMLF-INST PAPER NO. 13, 28-29 (2016); Michele D. Lynch, Remands Are A Consequence of Administrative Law, So Why Are We All So Frustrated?, 23 Tul. J. Int’l &amp; Comp. L. 383, 392 (2015). Finally, a few treatises discuss the rule. See, e.g., Federal Practice &amp; Procedure, § 3914.32 Orders Prior to Trial—Administrative Review, 15B Fed. Prac. &amp; Proc. Juris. § 3914.32 (2d ed. June 2024 Update); Federal Practice &amp; Procedure, § 3903 Pragmatic Finality, 15A Fed. Prac. &amp; Proc. Juris. § 3913 (3d ed. June 2024 Update); see also, e.g., 73A C.J.S. Pub. Admin. Law &amp; Proc. § 561 (May 2024); Fed. Ct. App. Manual § 2:3 (7th ed. May 2024).</t>
  </si>
  <si>
    <t>Bryan Lammon, Finality, Appealability, and the Scope of Interlocutory Review, 93 Wash. L. Rev. 1809, 1834-37 (2018)</t>
  </si>
  <si>
    <t>Lammon Appealability</t>
  </si>
  <si>
    <t>Bryan Lammon, Dizzying Gillespie: The Exaggerated Death of the Balancing Approach and the Inescapable Allure of Flexibility in Appellate Jurisdiction, 51 U. Rich. L. Rev. 371, 386-93 (2017)</t>
  </si>
  <si>
    <t>Lammon Dizzying</t>
  </si>
  <si>
    <t>Harold J. Krent, Situating Structural Challenges to Agency Authority Within the Framework of the Finality Principle, 98 Ind. L.J. Supplement 1, 10 n.73 (2023)</t>
  </si>
  <si>
    <t>Krent</t>
  </si>
  <si>
    <t>Jennifer L. Biever &amp; Ana Maria Gutierrez, The Uncertain Question of Remedies Should a Challenge Prevail, 2016 NO. 5 RMMLF-INST PAPER NO. 13, 28-29 (2016)</t>
  </si>
  <si>
    <t>Biever</t>
  </si>
  <si>
    <t>Michele D. Lynch, Remands Are A Consequence of Administrative Law, So Why Are We All So Frustrated?, 23 Tul. J. Int’l &amp; Comp. L. 383, 392 (2015)</t>
  </si>
  <si>
    <t>Lynch</t>
  </si>
  <si>
    <t>Federal Practice &amp; Procedure, § 3914.32 Orders Prior to Trial—Administrative Review, 15B Fed. Prac. &amp; Proc. Juris. § 3914.32 (2d ed. June 2024 Update)</t>
  </si>
  <si>
    <t>Federal Practice 3914 32</t>
  </si>
  <si>
    <t>Federal Practice &amp; Procedure, § 3903 Pragmatic Finality, 15A Fed. Prac. &amp; Proc. Juris. § 3913 (3d ed. June 2024 Update)</t>
  </si>
  <si>
    <t>Federal Practice 3903</t>
  </si>
  <si>
    <t>73A C.J.S. Pub. Admin. Law &amp; Proc. § 561 (May 2024)</t>
  </si>
  <si>
    <t>73a CJS</t>
  </si>
  <si>
    <t>Fed. Ct. App. Manual § 2:3 (7th ed. May 2024)</t>
  </si>
  <si>
    <t>Fed Ct</t>
  </si>
  <si>
    <t>Section 1291 is Congress’ enshrinement of the final-judgment rule. See infra notes 39-51 and accompanying text (discussing the final-judgment rule in detail).</t>
  </si>
  <si>
    <t>infra notes 39-51 and accompanying text</t>
  </si>
  <si>
    <t>Infra Notes 39-51 and Accompanying Text</t>
  </si>
  <si>
    <t>See infra notes 46-48 and accompanying text (discussing the final-judgment rule’s rationales and benefits).</t>
  </si>
  <si>
    <t>infra notes 46-48 and accompanying text</t>
  </si>
  <si>
    <t>Infra Notes 46-48 and Accompanying Text</t>
  </si>
  <si>
    <t>See Pueblo of Sandia v. Babbitt, 231 F.3d 878, 880 (D.C. Cir. 2000) (“Deferring review also leaves open the possibility that no appeal will be taken in the event the proceedings on remand satisfy all parties.”).</t>
  </si>
  <si>
    <t>Pueblo of Sandia v. Babbitt, 231 F.3d 878, 880 (D.C. Cir. 2000)</t>
  </si>
  <si>
    <t>Pueblo of Sandia v Babbitt</t>
  </si>
  <si>
    <t>Two Ninth Circuit judges recently called for reconsidering the rule en banc in the remand-with-vacatur context, explaining that vacatur “operates like a final judgment or an injunction such that we should have jurisdiction over appeals of remands-with-vacatur under 28 U.S.C. § 1291, § 1292, or both.” Ctr. for Biological Diversity v. Bureau of Land Mgmt., 69 F.4th 588, 597-98 (9th Cir. 2023) (Friedland and Bennett, JJ., concurring). A Second Circuit panel has expressed similar concerns. See N.Y. Legal Assistance Grp. v. Cardona, No. 21-888-CV, 2024 WL 64220, at *3-4 (2d Cir. Jan. 5, 2024).</t>
  </si>
  <si>
    <t>Ctr. for Biological Diversity v. Bureau of Land Mgmt., 69 F.4th 588, 597-98 (9th Cir. 2023) (Friedland and Bennett, JJ., concurring)</t>
  </si>
  <si>
    <t>CTR for Biological Diversity v Bureau of Land MGMT</t>
  </si>
  <si>
    <t>N.Y. Legal Assistance Grp. v. Cardona, No. 21-888-CV, 2024 WL 64220, at *3-4 (2d Cir. Jan. 5, 2024)</t>
  </si>
  <si>
    <t>NY Legal Assistance GRP v Cardona</t>
  </si>
  <si>
    <t>See infra notes 132-192 and accompanying text.</t>
  </si>
  <si>
    <t>infra notes 132-192 and accompanying text</t>
  </si>
  <si>
    <t>Infra Notes 132-192 and Accompanying Text</t>
  </si>
  <si>
    <t>See infra notes 193-194, 262-270 and accompanying text.</t>
  </si>
  <si>
    <t>infra notes 193-194, 262-270 and accompanying text</t>
  </si>
  <si>
    <t>Infra Notes 193-194</t>
  </si>
  <si>
    <t>Temporal forum-shopping is “the practice of choosing the most favorable jurisdiction or court in which a claim might be heard across time.” Zachary D. Clopton &amp; Katherine Shaw, Public Law Litigation and Electoral Time, 2023 Wis. L. Rev. 1513, 1521–22 (2023).</t>
  </si>
  <si>
    <t>Zachary D. Clopton &amp; Katherine Shaw, Public Law Litigation and Electoral Time, 2023 Wis. L. Rev. 1513, 1521–22 (2023)</t>
  </si>
  <si>
    <t>Clopton</t>
  </si>
  <si>
    <t>This Article focuses on review by the federal courts of appeals of remand orders issued by federal district courts under the APA. Various states have adopted their own versions of the administrative-remand rule, which a future article could examine. See, e.g., Jackson v. Bd. of Civ. Serv. Comm’rs of City of Los Angeles, 99 Cal. App. 5th 648, 655-62, 318 Cal. Rptr. 3d 79 (2024) (applying Dhillon v. John Muir Health, 2 Cal. 5th 1109, 1116, 394 P.3d 1048 (2017)); Federman v. Bd. of Appeals of Marblehead, 35 Mass. App. Ct. 727, 729-30, 626 N.E. 2d 8 (Mass. 1994); Holton Transp., Inc. v. Kansas Corp. Comm’n, 10 Kan. App. 2d 12, 12-13, 690 P.2d 399 (Kan. 1984); Bearns v. Dep’t of Indus., Labor &amp; Human Relations, 76-78. 306 N.W. 2d 22 (Wis. 1981).</t>
  </si>
  <si>
    <t>Jackson v. Bd. of Civ. Serv. Comm’rs of City of Los Angeles, 99 Cal. App. 5th 648, 655-62, 318 Cal. Rptr. 3d 79 (2024)</t>
  </si>
  <si>
    <t>Jackson</t>
  </si>
  <si>
    <t>Dhillon v. John Muir Health, 2 Cal. 5th 1109, 1116, 394 P.3d 1048 (2017)</t>
  </si>
  <si>
    <t>John Muir Health</t>
  </si>
  <si>
    <t>Federman v. Bd. of Appeals of Marblehead, 35 Mass. App. Ct. 727, 729-30, 626 N.E. 2d 8 (Mass. 1994)</t>
  </si>
  <si>
    <t>Federman</t>
  </si>
  <si>
    <t>Holton Transp., Inc. v. Kansas Corp. Comm’n, 10 Kan. App. 2d 12, 12-13, 690 P.2d 399 (Kan. 1984)</t>
  </si>
  <si>
    <t>Holton</t>
  </si>
  <si>
    <t>Bearns v. Dep’t of Indus., Labor &amp; Human Relations, 76-78. 306 N.W. 2d 22 (Wis. 1981)</t>
  </si>
  <si>
    <t>Bearns</t>
  </si>
  <si>
    <t>The administrative-remand rule applies to appeals to the circuit courts of district-court remand orders. There is no equivalent rule that covers appeals to the Supreme Court of circuit-court remand orders or of circuit-court decisions upholding district-court remand orders. The Supreme Court does have, however, a longstanding, general rule against interlocutory review. See Am. Constr. Co. v. Jacksonville, Tampa &amp; Key West Ry. Co., 148 U.S. 372, 384 (1893) (“[M]any orders made in the progress of a suit become quite unimportant by reason of the final result, or of intervening matters.”).</t>
  </si>
  <si>
    <t>Am. Constr. Co. v. Jacksonville, Tampa &amp; Key West Ry. Co., 148 U.S. 372, 384 (1893)</t>
  </si>
  <si>
    <t>Am Constr Co</t>
  </si>
  <si>
    <t>Some courts and commentators conceive of the rule as being narrower: A decision remanding an agency action is not final and appealable, and an appeal by the agency is an “exception” to that rule instead of part of the rule itself. See infra notes 29, 94, 113. This narrow framing allows a circuit court to reject an appeal of a remand by an agency, which, we will see, the circuits almost never do. As a result, under either this narrower or my broader framing the result is the same: Typically only agencies may appeal orders remanding their decisions for further proceedings.</t>
  </si>
  <si>
    <t>infra notes 29, 94, 113</t>
  </si>
  <si>
    <t>Infra Notes 29</t>
  </si>
  <si>
    <t>28 U.S.C. § 1291. Some types of administrative-agency remands occur under special final-judgment statutes that either mimic or intentionally depart from section 1291. I discuss those below where relevant.</t>
  </si>
  <si>
    <t>28 U.S.C. § 1291</t>
  </si>
  <si>
    <t>28 U.S.C. § 1292(a).</t>
  </si>
  <si>
    <t>28 U.S.C. § 1292</t>
  </si>
  <si>
    <t>The two most common vehicles for certification are Federal Rule of Civil Procedure 54(b) and 28 U.S.C. § 1292(b). See infra notes 280, 298 and accompanying text (discussing relationship between certification under these provisions and the administrative-remand rule).</t>
  </si>
  <si>
    <t>Federal Rule of Civil Procedure 54(b)</t>
  </si>
  <si>
    <t>Federal Rule</t>
  </si>
  <si>
    <t>28 U.S.C. § 1292(b)</t>
  </si>
  <si>
    <t>infra notes 280, 298 and accompanying text</t>
  </si>
  <si>
    <t>Infra Notes 280</t>
  </si>
  <si>
    <t>Collord v. U.S. Dep’t of the Interior, 154 F.3d 933, 935 (9th Cir. 1998); see also infra notes 132-181 (discussing the primacy of this concern across the circuits and citing many cases that discuss it).</t>
  </si>
  <si>
    <t>Collord v. U.S. Dep’t of the Interior, 154 F.3d 933, 935 (9th Cir. 1998)</t>
  </si>
  <si>
    <t>Collord v US Dep't of the Interior</t>
  </si>
  <si>
    <t>infra notes 132-181</t>
  </si>
  <si>
    <t>Infra Notes 132-181</t>
  </si>
  <si>
    <t>Alsea Valley Alliance, 358. F3d at 1184 (“An agency, after all, cannot appeal the result of its own decision.”). As the Seventh Circuit put it, “an order remanding a case to an agency is final for purposes of 28 U.S.C. § 1291 if it terminates the agency’s judicial remedies other than contempt.” Crowder v. Sullivan, 897 F.2d 252, 253 (7th Cir. 1990) (per curiam); see also 15B Fed. Prac. &amp; Proc. Juris. § 3914.32 (“The most cogent explanation for most of these decisions must be that administrative agencies, as more or less coordinate branches of government, deserve the protection of special appeal opportunities. The need to settle important questions, and to get them right, underlies the most persuasive decisions. There actually is reason to worry that an agency cannot appeal its own decision in favor of a claimant if the decision was compelled by a district court remand that the agency believes wrong.”).</t>
  </si>
  <si>
    <t>Alsea Valley Alliance, 358. F3d at 1184</t>
  </si>
  <si>
    <t>Crowder v. Sullivan, 897 F.2d 252, 253 (7th Cir. 1990) (per curiam)</t>
  </si>
  <si>
    <t>Crowder v Sullivan</t>
  </si>
  <si>
    <t>15B Fed. Prac. &amp; Proc. Juris. § 3914.32</t>
  </si>
  <si>
    <t>This Article avoids framing the circumstances in which the circuit courts deem remands appealable as “exceptions” to the final-judgment rule or administrative-remand rule, even though many courts do just that. The “courts of appeals do not have authority to create exceptions to congressional limits on jurisdiction.” Papotto v. Hartford Life &amp; Accid. Insur. Co., 731 F.3d 265, 270-71 (3d Cir. 2013) (citing supporting cases). Rather, the circuit courts’ prudential development of circumstances in which remands are final, despite the general rule they are not, is simply a “practical construction of finality.” Kreider Dairy Farms, Inc. v. Glickman, 190 F.3d 113, 124 (3d Cir. 1999) (Sloviter, J., concurring); see also Digital Equip. Corp. v. Desktop Direct, Inc., 511 U.S. 863, 867 (1994) (“The collateral order doctrine is best understood not as an exception to the ‘final decision’ rule laid down in Congress in § 1291, but as a ‘practical construction’ of it.”).</t>
  </si>
  <si>
    <t>Papotto v. Hartford Life &amp; Accid. Insur. Co., 731 F.3d 265, 270-71 (3d Cir. 2013)</t>
  </si>
  <si>
    <t>Papotto</t>
  </si>
  <si>
    <t>Kreider Dairy Farms, Inc. v. Glickman, 190 F.3d 113, 124 (3d Cir. 1999) (Sloviter, J., concurring)</t>
  </si>
  <si>
    <t>Kreider</t>
  </si>
  <si>
    <t>Digital Equip. Corp. v. Desktop Direct, Inc., 511 U.S. 863, 867 (1994)</t>
  </si>
  <si>
    <t>Digital Equip Corp</t>
  </si>
  <si>
    <t>Nicholas Bagley, Remedial Restraint in Administrative Law, 117 Colum. L. Rev. 253, 258 (2017) (quoting 5 U.S.C. § 706(2)).</t>
  </si>
  <si>
    <t>Nicholas Bagley, Remedial Restraint in Administrative Law, 117 Colum. L. Rev. 253, 258 (2017)</t>
  </si>
  <si>
    <t>Bagley</t>
  </si>
  <si>
    <t>5 U.S.C. § 706(2)</t>
  </si>
  <si>
    <t>Securities &amp; Exch. Comm’n v. Chenery Corp., 332 U.S. 194, 196 (1947); see also Food &amp; Drug Admin. v. Wages &amp; White Lion Invs., LLC, 604 U.S. 542, 588-91 (2025) (most recent Supreme Court case discussing history and bounds of ordinary-remand rule); Robert L. Glicksman &amp; Emily Hammond, Agency Behavior and Discretion on Remand, 32 J. Land Use &amp; Env’t L. 483, 492-93 (2017) (discussing ordinary-remand rule); Christopher J. Walker, Referral, Remand, and Dialogue in Administrative Law, 101 Iowa L. Rev. Online 84, 86 (2016) (same); Christopher J. Walker, The Ordinary Remand Rule and the Judicial Toolbox for Agency Dialogue, 82 Geo. Wash. L. Rev. 1553, 1563 (2014) (same).</t>
  </si>
  <si>
    <t>Securities &amp; Exch. Comm’n v. Chenery Corp., 332 U.S. 194, 196 (1947)</t>
  </si>
  <si>
    <t>Chenery Corp</t>
  </si>
  <si>
    <t>Food &amp; Drug Admin. v. Wages &amp; White Lion Invs., LLC, 604 U.S. 542, 588-91 (2025)</t>
  </si>
  <si>
    <t>Wages and White Lion Invs</t>
  </si>
  <si>
    <t>Robert L. Glicksman &amp; Emily Hammond, Agency Behavior and Discretion on Remand, 32 J. Land Use &amp; Env’t L. 483, 492-93 (2017)</t>
  </si>
  <si>
    <t>Glicksman</t>
  </si>
  <si>
    <t>Christopher J. Walker, Referral, Remand, and Dialogue in Administrative Law, 101 Iowa L. Rev. Online 84, 86 (2016)</t>
  </si>
  <si>
    <t>Walker Referral</t>
  </si>
  <si>
    <t>Christopher J. Walker, The Ordinary Remand Rule and the Judicial Toolbox for Agency Dialogue, 82 Geo. Wash. L. Rev. 1553, 1563 (2014)</t>
  </si>
  <si>
    <t>Walker Ordinary</t>
  </si>
  <si>
    <t>See infra notes 257-261 and accompanying text for more discussion of remands with and without vacatur.</t>
  </si>
  <si>
    <t>infra notes 257-261 and accompanying text</t>
  </si>
  <si>
    <t>Infra Notes 257-261 and Accompanying Text</t>
  </si>
  <si>
    <t>Joshua Revesz, Voluntary Remands: A Critical Reassessment, 70 Admin. L. Rev. 361, 366-69 (2018); Toni M. Fine, Agency Requests for “Voluntary” Remand: A Proposal for the Development of Judicial Standards, 28 Ariz. St. L.J. 1079, 1080 (1996).</t>
  </si>
  <si>
    <t>Joshua Revesz, Voluntary Remands: A Critical Reassessment, 70 Admin. L. Rev. 361, 366-69 (2018)</t>
  </si>
  <si>
    <t>Revesz</t>
  </si>
  <si>
    <t>Toni M. Fine, Agency Requests for “Voluntary” Remand: A Proposal for the Development of Judicial Standards, 28 Ariz. St. L.J. 1079, 1080 (1996)</t>
  </si>
  <si>
    <t>Fine</t>
  </si>
  <si>
    <t>Motor Vehicle Mfrs. Ass’n of U.S., Inc. v. State Farm Mut. Auto. Ins. Co., 463 U.S. 29, 43 (1983).</t>
  </si>
  <si>
    <t>Motor Vehicle Mfrs. Ass’n of U.S., Inc. v. State Farm Mut. Auto. Ins. Co., 463 U.S. 29, 43 (1983)</t>
  </si>
  <si>
    <t>Motor Vehicle Mfrs</t>
  </si>
  <si>
    <t>Henry J. Friendly, Chenery Revisited: Reflections on Reversal and Remand of Administrative Orders, 1969 Duke L.J. 199, 205-18 (1969); Lynch, supra note 13, at 388.</t>
  </si>
  <si>
    <t>Henry J. Friendly, Chenery Revisited: Reflections on Reversal and Remand of Administrative Orders, 1969 Duke L.J. 199, 205-18 (1969)</t>
  </si>
  <si>
    <t>Friendly</t>
  </si>
  <si>
    <t>Lynch, supra note 13, at 388</t>
  </si>
  <si>
    <t>Julie C. Mendoza &amp; R. Will Planert, Agency Remands Before the United States Court of International Trade: Objectives and Obstacles, 17 Tul. J. Int’l &amp; Comp. L. 463, 470-89 (2009).</t>
  </si>
  <si>
    <t>Julie C. Mendoza &amp; R. Will Planert, Agency Remands Before the United States Court of International Trade: Objectives and Obstacles, 17 Tul. J. Int’l &amp; Comp. L. 463, 470-89 (2009)</t>
  </si>
  <si>
    <t>Mendoza</t>
  </si>
  <si>
    <t>Pauly v. U.S. Dept. of Agri., 348 F.3d 1143, 1148 (9th Cir. 2003).</t>
  </si>
  <si>
    <t>Pauly v. U.S. Dept. of Agri., 348 F.3d 1143, 1148 (9th Cir. 2003)</t>
  </si>
  <si>
    <t>Pauly v US Dept of Agri</t>
  </si>
  <si>
    <t>Vista Health Plan, Inc. v. U.S. Dep’t of Health &amp; Human Servs., 31 F.4th 946, 951 (5th Cir. 2022).</t>
  </si>
  <si>
    <t>Vista Health Plan, Inc. v. U.S. Dep’t of Health &amp; Human Servs., 31 F.4th 946, 951 (5th Cir. 2022)</t>
  </si>
  <si>
    <t>Vista</t>
  </si>
  <si>
    <t>Act of Sept. 24, 1789, 1 Stat. 73, c. 20 §§ 21-22.</t>
  </si>
  <si>
    <t>Act of Sept. 24, 1789, 1 Stat. 73, c. 20 §§ 21-22</t>
  </si>
  <si>
    <t>Act of Sept 24</t>
  </si>
  <si>
    <t>Federal Practice &amp; Procedure, § 3906 History, 15A Fed. Prac. &amp; Proc. Juris. § 3906 (3d ed. June 2024 Update) (citing Metcalfe’s Case, 11 Co. Rep. 38a, 77 Eng. Rep. 1193 (K.B. 1615) and intervening American cases).</t>
  </si>
  <si>
    <t>Federal Practice &amp; Procedure, § 3906 History, 15A Fed. Prac. &amp; Proc. Juris. § 3906 (3d ed. June 2024 Update)</t>
  </si>
  <si>
    <t>Federal Practice 3906</t>
  </si>
  <si>
    <t>Metcalfe’s Case, 11 Co. Rep. 38a, 77 Eng. Rep. 1193 (K.B. 1615)</t>
  </si>
  <si>
    <t>Metcalfe</t>
  </si>
  <si>
    <t>Catlin v. United States, 324 U.S. 229, 233 (1945).</t>
  </si>
  <si>
    <t>Catlin v. United States, 324 U.S. 229, 233 (1945)</t>
  </si>
  <si>
    <t>Catlin v United States</t>
  </si>
  <si>
    <t>28 U.S.C. §§ 1291-1292, 62 Stat. 929 (1948).</t>
  </si>
  <si>
    <t>62 Stat. 929 (1948)</t>
  </si>
  <si>
    <t>62 Stat</t>
  </si>
  <si>
    <t>Bachowski v. Usery, 545 F.2d 363, 367 (3d Cir. 1976). These “instances” included grants or denials of preliminary injunctions, orders in receivership cases, and orders determining liability in admiralty cases prior to the assessment of damages. Katz v. Carte Blanche Corp., 496 F.2d 747, 753 (3d Cir. 1974). These interlocutory orders still make up the orders appealable under section 1292(a). See 28 U.S.C. § 1292(a).</t>
  </si>
  <si>
    <t>Bachowski v. Usery, 545 F.2d 363, 367 (3d Cir. 1976)</t>
  </si>
  <si>
    <t>Bachowski v Usery</t>
  </si>
  <si>
    <t>Katz v. Carte Blanche Corp., 496 F.2d 747, 753 (3d Cir. 1974)</t>
  </si>
  <si>
    <t>Katz v Carte Blanche Corp</t>
  </si>
  <si>
    <t>28 U.S.C. § 1292(a)</t>
  </si>
  <si>
    <t>Bachowski, 545 F.2d at 367.</t>
  </si>
  <si>
    <t>Bachowski, 545 F.2d at 367</t>
  </si>
  <si>
    <t>Congress enacted 28 U.S.C. §§ 1291 and 1292 in 1948, only two years after enacting the APA. See P. Law 79-404, 60 Stat. 237 (1946).</t>
  </si>
  <si>
    <t>P. Law 79-404, 60 Stat. 237 (1946)</t>
  </si>
  <si>
    <t>P. Law 79</t>
  </si>
  <si>
    <t>Cobbledick v. United States, 309 U.S. 323, 326 (1940); see also § 3907 Purposes, 15A Fed. Prac. &amp; Proc. Juris. § 3907 (3d ed.) (describing the final-judgment rule as “the heart of appellate jurisdiction in the federal system”).</t>
  </si>
  <si>
    <t>Cobbledick v. United States, 309 U.S. 323, 326 (1940)</t>
  </si>
  <si>
    <t>Cobbledick</t>
  </si>
  <si>
    <t>§ 3907 Purposes, 15A Fed. Prac. &amp; Proc. Juris. § 3907 (3d ed.)</t>
  </si>
  <si>
    <t>Federal Practice 3907</t>
  </si>
  <si>
    <t>See, e.g., Microsoft Corp. v. Baker, 582 U.S. 23, 27-29 (2017); Mohawk Indus., Inc. v. Carpenter, 558 U.S. 100, 106-07 (2009); Johnson v. Jones, 515 U.S. 304, 309 (1995); Digital Equip. Corp., 511 U.S. at 867-84; Di Bella v. United States, 369 U.S. 121, 124-26 (1962); Cobbledick, 309 U.S. at 325; Federal Practice &amp; Procedure, § 3907 Purposes, 15A Fed. Prac. &amp; Proc. Juris. § 3907 (3d ed. June 2024 Update); Bryan Lammon, Disarming the Finality Trap, 97 NYU L. Rev. Online 173, 178 (2022); Theodore D. Frank, Requiem for the Final Judgment Rule, 45 Tex. L. Rev. 292, 294-98 (1966); see also infra notes 53-97 and accompanying text (discussing these and other Supreme Court finality cases, many of which examine the final-judgment rule’s rationales and benefits).</t>
  </si>
  <si>
    <t>Microsoft Corp. v. Baker, 582 U.S. 23, 27-29 (2017)</t>
  </si>
  <si>
    <t>Microsoft Corp v Baker</t>
  </si>
  <si>
    <t>Mohawk Indus., Inc. v. Carpenter, 558 U.S. 100, 106-07 (2009)</t>
  </si>
  <si>
    <t>Mohawk</t>
  </si>
  <si>
    <t>Johnson v. Jones, 515 U.S. 304, 309 (1995)</t>
  </si>
  <si>
    <t>Johnson v Jones</t>
  </si>
  <si>
    <t>Digital Equip. Corp., 511 U.S. at 867-84</t>
  </si>
  <si>
    <t>Di Bella v. United States, 369 U.S. 121, 124-26 (1962)</t>
  </si>
  <si>
    <t>Di Bella v United States</t>
  </si>
  <si>
    <t>Cobbledick, 309 U.S. at 325</t>
  </si>
  <si>
    <t>Federal Practice &amp; Procedure, § 3907 Purposes, 15A Fed. Prac. &amp; Proc. Juris. § 3907 (3d ed. June 2024 Update)</t>
  </si>
  <si>
    <t>Bryan Lammon, Disarming the Finality Trap, 97 NYU L. Rev. Online 173, 178 (2022)</t>
  </si>
  <si>
    <t>Lammon Disarming</t>
  </si>
  <si>
    <t>Theodore D. Frank, Requiem for the Final Judgment Rule, 45 Tex. L. Rev. 292, 294-98 (1966)</t>
  </si>
  <si>
    <t>Frank</t>
  </si>
  <si>
    <t>infra notes 53-97 and accompanying text</t>
  </si>
  <si>
    <t>Infra Notes 53-97 and Accompanying Text</t>
  </si>
  <si>
    <t>15A Fed. Prac. &amp; Proc. Juris. § 3907.</t>
  </si>
  <si>
    <t>15A Fed. Prac. &amp; Proc. Juris. § 3907</t>
  </si>
  <si>
    <t>Mohawk Indus., Inc., 558 U.S. at 106-07 (quoting Firestone Tire &amp; Rubber Co. v. Risjord, 449 U.S. 368, 374 (1981) and citing Richardson-Merrell Inc. v. Koller, 472 U.S. 424, 436 (1985)).</t>
  </si>
  <si>
    <t>Mohawk Indus., Inc., 558 U.S. at 106-07</t>
  </si>
  <si>
    <t>Firestone Tire &amp; Rubber Co. v. Risjord, 449 U.S. 368, 374 (1981)</t>
  </si>
  <si>
    <t>Firestone Tire and Rubber Co v Risjord</t>
  </si>
  <si>
    <t>Richardson-Merrell Inc. v. Koller, 472 U.S. 424, 436 (1985)</t>
  </si>
  <si>
    <t>Richardson-Merrell Inc v Koller</t>
  </si>
  <si>
    <t>Rebecca A. Cochran, Gaining Appellate Review by “Manufacturing” A Final Judgment Through Voluntary Dismissal of Peripheral Claims, 48 Mercer L. Rev. 979, 979-80 (1997). Part I.C, infra, explores this narrowing in more detail.</t>
  </si>
  <si>
    <t>Rebecca A. Cochran, Gaining Appellate Review by “Manufacturing” A Final Judgment Through Voluntary Dismissal of Peripheral Claims, 48 Mercer L. Rev. 979, 979-80 (1997)</t>
  </si>
  <si>
    <t>Cochran</t>
  </si>
  <si>
    <t>Part I.C, infra</t>
  </si>
  <si>
    <t>Infra Part IC</t>
  </si>
  <si>
    <t>Lammon, supra note 13, 93 Wash. L. Rev. at 1837; see also Richard L. Heppner, Jr., Conceptualizing Appealability: Resisting the Supreme Court’s Categorical Imperative, 55 Tulsa L. Rev. 395, 398 (2020) (discussing judges’ ability to be “endlessly creative in how they conceive of different categories of orders” when considering finality).</t>
  </si>
  <si>
    <t>Lammon, supra note 13, 93 Wash. L. Rev. at 1837</t>
  </si>
  <si>
    <t>Richard L. Heppner, Jr., Conceptualizing Appealability: Resisting the Supreme Court’s Categorical Imperative, 55 Tulsa L. Rev. 395, 398 (2020)</t>
  </si>
  <si>
    <t>Heppner</t>
  </si>
  <si>
    <t>See infra Part I.C.</t>
  </si>
  <si>
    <t>infra Part I.C</t>
  </si>
  <si>
    <t>This Part is best read alongside Federal Practice &amp; Procedure, § 3909 Leading Finality Decisions, 15A Fed. Prac. &amp; Proc. Juris. § 3909 (3d ed. June 2024 Update).</t>
  </si>
  <si>
    <t>Federal Practice &amp; Procedure, § 3909 Leading Finality Decisions, 15A Fed. Prac. &amp; Proc. Juris. § 3909 (3d ed. June 2024 Update)</t>
  </si>
  <si>
    <t>Federal Practice 3909</t>
  </si>
  <si>
    <t>309 U.S. 323.</t>
  </si>
  <si>
    <t>309 U.S. 323</t>
  </si>
  <si>
    <t>Id. at 324. Cobbledick construed 28 U.S.C. § 225, the predecessor to section 1291, which also limited review by the circuit courts to “final decisions” of the district courts. Id.</t>
  </si>
  <si>
    <t>Id. at 324</t>
  </si>
  <si>
    <t>28 U.S.C. § 225</t>
  </si>
  <si>
    <t>28 USC 225</t>
  </si>
  <si>
    <t>Id. at 325. This characteristic, often referred to as nisi prius (“unless before”), had long existed in English common law, and the First Congress made it part of the First Judiciary Act, §§ 21-22, 25, 1 Stat. 73, 83-85 (1789). See Di Bella, 369 U.S. at 124.</t>
  </si>
  <si>
    <t>Id. at 325</t>
  </si>
  <si>
    <t>§§ 21-22, 25, 1 Stat. 73, 83-85 (1789)</t>
  </si>
  <si>
    <t>Di Bella, 369 U.S. at 124</t>
  </si>
  <si>
    <t>Cobbledick, 309 U.S. at 325.</t>
  </si>
  <si>
    <t>324 U.S. 229.</t>
  </si>
  <si>
    <t>324 U.S. 229</t>
  </si>
  <si>
    <t>Id. at 230-32.</t>
  </si>
  <si>
    <t>Id. at 230-32</t>
  </si>
  <si>
    <t>Id. at 233.</t>
  </si>
  <si>
    <t>Id. at 233</t>
  </si>
  <si>
    <t>Id. at 233-34.</t>
  </si>
  <si>
    <t>Id. at 233-34</t>
  </si>
  <si>
    <t>337 U.S. 541 (1949).</t>
  </si>
  <si>
    <t>337 U.S. 541 (1949)</t>
  </si>
  <si>
    <t>Cohen</t>
  </si>
  <si>
    <t>For a broader discussion of these statutes and appellate jurisdiction, see Thomas E. Baker, Fed. Judicial Ctr., A Primer on the Jurisdiction of the U.S. Courts of Appeals, 85-90 (2d ed. 2009), https://www.fjc.gov/sites/default/files/materials/06/PrimerBakerFinal0802.pdf. And for more on these and other key finality decisions, see 15A Fed. Prac. &amp; Proc. Juris. § 3909.</t>
  </si>
  <si>
    <t>Thomas E. Baker, Fed. Judicial Ctr., A Primer on the Jurisdiction of the U.S. Courts of Appeals, 85-90 (2d ed. 2009), https://www.fjc.gov/sites/default/files/materials/06/PrimerBakerFinal0802.pdf</t>
  </si>
  <si>
    <t>Baker</t>
  </si>
  <si>
    <t>15A Fed. Prac. &amp; Proc. Juris. § 3909</t>
  </si>
  <si>
    <t>Cohen, 337 U.S. at 545.</t>
  </si>
  <si>
    <t>Cohen, 337 U.S. at 545</t>
  </si>
  <si>
    <t>See Lammon, supra note 13, 93 Wash. L. Rev. at 1814-15 (discussing section 1292 and other “alternative grounds for appellate jurisdiction”).</t>
  </si>
  <si>
    <t>Lammon, supra note 13, 93 Wash. L. Rev. at 1814-15</t>
  </si>
  <si>
    <t>Cohen, 337 U.S. at 546-47. The collateral-order doctrine gets more air time below, but for now: “This decision appears to fall in that small class which finally determine claims of right separable from, and collateral to rights asserted in the action, too important to be denied review and too independent of the cause itself to require that appellate consideration be deferred until the whole case is adjudicated.” Id. at 546. Note that the collateral-order doctrine is a judicial (prudential) construction of the final judgment rule in 28 U.S.C. § 1291, while 28 U.S.C. § 1292 is itself a set of statutory exceptions for interlocutory appeal of certain nonfinal orders. Matthew R. Pikor, The Collateral Order Doctrine in Disorder: Redefining Finality, 92 Chi.-Kent L. Rev. 619, 622 (2017).</t>
  </si>
  <si>
    <t>Cohen, 337 U.S. at 546-47</t>
  </si>
  <si>
    <t>Id. at 546</t>
  </si>
  <si>
    <t>Matthew R. Pikor, The Collateral Order Doctrine in Disorder: Redefining Finality, 92 Chi.-Kent L. Rev. 619, 622 (2017)</t>
  </si>
  <si>
    <t>Pikor</t>
  </si>
  <si>
    <t>Van Cauwenberghe v. Biard, 486 U.S. 517, 522 (1988) (internal quotation marks omitted); accord Mohawk Indus., Inc., 558 U.S. at 107.</t>
  </si>
  <si>
    <t>Van Cauwenberghe v. Biard, 486 U.S. 517, 522 (1988)</t>
  </si>
  <si>
    <t>Van Cauwenberghe v Biard</t>
  </si>
  <si>
    <t>Mohawk Indus., Inc., 558 U.S. at 107</t>
  </si>
  <si>
    <t>See infra notes 98-194 and accompanying text.</t>
  </si>
  <si>
    <t>infra notes 98-194 and accompanying text</t>
  </si>
  <si>
    <t>Infra Notes 98-194 and Accompanying Text</t>
  </si>
  <si>
    <t>369 U.S. 121 (1962).</t>
  </si>
  <si>
    <t>369 U.S. 121 (1962)</t>
  </si>
  <si>
    <t>Id. at 129-31.</t>
  </si>
  <si>
    <t>Id. at 129-31</t>
  </si>
  <si>
    <t>Id. at 124.</t>
  </si>
  <si>
    <t>Id. at 124</t>
  </si>
  <si>
    <t>379 U.S. 148 (1964).</t>
  </si>
  <si>
    <t>379 U.S. 148 (1964)</t>
  </si>
  <si>
    <t>Gillespie</t>
  </si>
  <si>
    <t>Id. at 152.</t>
  </si>
  <si>
    <t>Id. at 152</t>
  </si>
  <si>
    <t>Id. at 153.</t>
  </si>
  <si>
    <t>Id. at 153</t>
  </si>
  <si>
    <t>Id. at 153-54 (quoting United States v. General Motors Corp., 323 U.S. 373, 377 (1945)).</t>
  </si>
  <si>
    <t>Id. at 153-54</t>
  </si>
  <si>
    <t>United States v. General Motors Corp., 323 U.S. 373, 377 (1945)</t>
  </si>
  <si>
    <t>United States v General Motors Corp</t>
  </si>
  <si>
    <t>417 U.S. 156 (1974).</t>
  </si>
  <si>
    <t>417 U.S. 156 (1974)</t>
  </si>
  <si>
    <t>417 US</t>
  </si>
  <si>
    <t>Id. at 172. Most relevant is the Court’s discussion of how difficult finality determinations are—citing McGourkey v. Toledo &amp; Ohio C.R. Co., 146 U.S. 536, 544-45 (1892)—and explaining that the “inquiry requires some evaluation of the competing considerations underlying all questions of finality—‘the inconvenience and costs of piecemeal review on the one hand and the danger of denying justice by delay on the other.’” Id. at 171 (quoting Dickinson v. Petroleum Conversion Corp., 338 U.S. 507, 513 (1950)).</t>
  </si>
  <si>
    <t>Id. at 172</t>
  </si>
  <si>
    <t>McGourkey v. Toledo &amp; Ohio C.R. Co., 146 U.S. 536, 544-45 (1892)</t>
  </si>
  <si>
    <t>McGourkey v Toledo and Ohio CR Co</t>
  </si>
  <si>
    <t>Id. at 171</t>
  </si>
  <si>
    <t>Dickinson v. Petroleum Conversion Corp., 338 U.S. 507, 513 (1950)</t>
  </si>
  <si>
    <t>Dickinson v Petroleum Conversion Corp</t>
  </si>
  <si>
    <t>As Federal Practice &amp; Procedure puts it, Gillespie presented “spectacular possibilities” that have devolved into a “dismal limbo.” 15A Fed. Prac. &amp; Proc. Juris. § 3913. However, as we shall see, Gillespie continues to animate the administrative-remand rule in at least some circuits. See, e.g., In re Long-Distance Tel. Serv. Fed. Excise Tax Refund Litig., 751 F.3d 629, 633 (D.C. Cir. 2014) (“The Supreme Court has endorsed this ‘practical’ approach to finality, particularly in the ‘twilight zone’ where “it is impossible to devise a formula to resolve all marginal cases.” (quoting Gillespie, 379 U.S. at 152)).</t>
  </si>
  <si>
    <t>15A Fed. Prac. &amp; Proc. Juris. § 3913</t>
  </si>
  <si>
    <t>In re Long-Distance Tel. Serv. Fed. Excise Tax Refund Litig., 751 F.3d 629, 633 (D.C. Cir. 2014)</t>
  </si>
  <si>
    <t>In Re Long-Distance Tel Serv Fed Excise Tax Refund Litig</t>
  </si>
  <si>
    <t>Gillespie, 379 U.S. at 152</t>
  </si>
  <si>
    <t>437 U.S. 463 (1978). As “more or less” implies, the Court’s enforcement of the final-judgment rule has ebbed and flowed, but the general trend has been tighter appellate jurisdiction. See, e.g., Adam Reed Moore, A Textualist Defense of A New Collateral Order Doctrine, 99 Notre Dame L. Rev. Reflection 1, 11 (2023) (“In the last decade, the Court has grown skeptical of the collateral order doctrine.”); Lloyd C. Anderson, The Collateral Order Doctrine: A New “Serbonian Bog” and Four Proposals for Reform, 46 Drake L. Rev. 539, 568 (1998), 568-85 (describing ebbs and flows and the Court’s “retrenchment” from broad collateral-order review after 1985).</t>
  </si>
  <si>
    <t>437 U.S. 463 (1978)</t>
  </si>
  <si>
    <t>437 US</t>
  </si>
  <si>
    <t>Adam Reed Moore, A Textualist Defense of A New Collateral Order Doctrine, 99 Notre Dame L. Rev. Reflection 1, 11 (2023)</t>
  </si>
  <si>
    <t>Adam</t>
  </si>
  <si>
    <t>Lloyd C. Anderson, The Collateral Order Doctrine: A New “Serbonian Bog” and Four Proposals for Reform, 46 Drake L. Rev. 539, 568 (1998), 568-85</t>
  </si>
  <si>
    <t>Anderson</t>
  </si>
  <si>
    <t>Id. at 472-75.</t>
  </si>
  <si>
    <t>Id. at 472-75</t>
  </si>
  <si>
    <t>Firestone Tire &amp; Rubber Co., 449 U.S. at 370 (orders denying disqualification in civil cases); Flanagan v. United States, 465 U.S. 259, 270 (1984) (orders granting disqualification in criminal cases); Richardson-Merrell, Inc., 472 U.S. at 426 (orders granting disqualification in civil cases).</t>
  </si>
  <si>
    <t>Firestone Tire &amp; Rubber Co., 449 U.S. at 370</t>
  </si>
  <si>
    <t>Flanagan v. United States, 465 U.S. 259, 270 (1984)</t>
  </si>
  <si>
    <t>Flanagan v United States</t>
  </si>
  <si>
    <t>Richardson-Merrell, Inc., 472 U.S. at 426</t>
  </si>
  <si>
    <t>Stringfellow v. Concerned Neighbors in Action, 480 U.S. 370, 380 (1987). In Dickinson, 338 U.S. at 513, the Court held that a decision denying intervention as of right is final and appealable.</t>
  </si>
  <si>
    <t>Stringfellow v. Concerned Neighbors in Action, 480 U.S. 370, 380 (1987)</t>
  </si>
  <si>
    <t>Stringfellow v Concerned Neighbors in Action</t>
  </si>
  <si>
    <t>Dickinson, 338 U.S. at 513</t>
  </si>
  <si>
    <t>Digital Equip. Corp., 511 U.S. at 865.</t>
  </si>
  <si>
    <t>Digital Equip. Corp., 511 U.S. at 865</t>
  </si>
  <si>
    <t>Coopers &amp; Lybrand, 437 U.S. at 477 n.30.</t>
  </si>
  <si>
    <t>Coopers &amp; Lybrand, 437 U.S. at 477 n.30</t>
  </si>
  <si>
    <t>Id. at 473. Coopers &amp; Lybrand was later abrogated in 1998, after Congress passed the Rules Enabling Act, 28 U.S.C. § 2071 et seq., and the Supreme Court, pursuant to it, approved Federal Rule of Civil Procedure 23(f). That rule authorizes “permissive interlocutory appeal” from adverse class-certification orders in “the sole discretion of the court of appeals.” Fed. R. Civ. P. 23(f); see also Microsoft Corp. v. Baker, 528 U.S. 23, 30-33 (2017) (recognizing such abrogation).</t>
  </si>
  <si>
    <t>Id. at 473</t>
  </si>
  <si>
    <t>Rules Enabling Act, 28 U.S.C. § 2071 et seq.</t>
  </si>
  <si>
    <t>Rules</t>
  </si>
  <si>
    <t>Fed. R. Civ. P. 23(f)</t>
  </si>
  <si>
    <t>FRCP 23(f)</t>
  </si>
  <si>
    <t>Microsoft Corp. v. Baker, 528 U.S. 23, 30-33 (2017)</t>
  </si>
  <si>
    <t>Digital Equip. Corp., 511 U.S. at 868.</t>
  </si>
  <si>
    <t>Digital Equip. Corp., 511 U.S. at 868</t>
  </si>
  <si>
    <t>496 U.S. 617 (1990).</t>
  </si>
  <si>
    <t>496 U.S. 617 (1990)</t>
  </si>
  <si>
    <t>Id. at 619.</t>
  </si>
  <si>
    <t>Id. at 619</t>
  </si>
  <si>
    <t>Id. at 624-25.</t>
  </si>
  <si>
    <t>Id. at 624-25</t>
  </si>
  <si>
    <t>There was, first, the decision itself, which allowed the government to appeal the district court’s remand. Second, Finkelstein facilitated the Court’s decision, eight years later, that a claimant could appeal the same type of remand at issue in Finkelstein. See Forney v. Apfel, 524 U.S. 266, 270-71 (1998). Third, Finkelstein promisingly recognized a “great variety in remands,” with one example being “a remand to the agency but the person seeking judicial review may seek to appeal on the ground that broader relief should have been granted by the district court.” Finkelstein, 496 U.S. at 623 &amp; n.3.</t>
  </si>
  <si>
    <t>Forney v. Apfel, 524 U.S. 266, 270-71 (1998)</t>
  </si>
  <si>
    <t>Forney v Apfel</t>
  </si>
  <si>
    <t>Finkelstein, 496 U.S. at 623 &amp; n.3</t>
  </si>
  <si>
    <t>Id. at 623. Similarly, the Court explained that the situations discussed in supra note 92 were not presented, “and we express no opinion about appealability in those circumstances.” Id. at 623 n.3.</t>
  </si>
  <si>
    <t>Id. at 623</t>
  </si>
  <si>
    <t>supra note 92</t>
  </si>
  <si>
    <t>Supra Note 92</t>
  </si>
  <si>
    <t>Id. at 623 n.3</t>
  </si>
  <si>
    <t>FInkelstein</t>
  </si>
  <si>
    <t>See, e.g., Kreider Dairy Farms, Inc., 190 F.3d at 123 (Sloviter, J., concurring) (explaining that Finkelstein and Forney “represent an exception to the final judgment rule. But the exception is one made by Congress, not the courts.”); see also supra note 29 (explaining why “circumstances” is a better term than “exception” for instances in which appeals of remands are deemed final).</t>
  </si>
  <si>
    <t>Kreider Dairy Farms, Inc., 190 F.3d at 123 (Sloviter, J., concurring)</t>
  </si>
  <si>
    <t>supra note 29</t>
  </si>
  <si>
    <t>Supra Note 29</t>
  </si>
  <si>
    <t>As Part I.D below shows, some circuit courts explicitly relied on Finkelstein to allow interlocutory appeals of remands by agencies outside the social-security context. See, e.g., Baca-Prieto v. A1 Guigni, 95 F.3d 1006, 1009 (10th Cir. 1996) (in allowing agency to appeal remand requiring it to grant habeas relief, stating: “In light of the special relevance, both historical and analytical, of practical finality considerations in the administrative-remand context, illustrated by Bender and Cotton Petroleum and supported by Finkelstein and subsequent cases, we do not deem the recent criticism of the Gillespie doctrine pertinent here.”); Travelstead v. Derwinski, 978 F.2d 1244, 1249 (Fed. Cir. 1992) (remand of decision denying waiver of indebtedness on veteran’s home loan; the “principal directive of Finkelstein is that remands are not all of the same nature. Some are final, some are not.”); St. Francis Med. Ctr. v. Sullivan, 962 F.2d 1110, 1114 (3d Cir. 1992) (remand overturning agency’s refusal of Medicare provider’s request for hearing on reimbursement claim).</t>
  </si>
  <si>
    <t>Baca-Prieto v. A1 Guigni, 95 F.3d 1006, 1009 (10th Cir. 1996)</t>
  </si>
  <si>
    <t>Baca-Prieto v A1 Guigni</t>
  </si>
  <si>
    <t>Travelstead v. Derwinski, 978 F.2d 1244, 1249 (Fed. Cir. 1992)</t>
  </si>
  <si>
    <t>Travelstead v Derwinski</t>
  </si>
  <si>
    <t>St. Francis Med. Ctr. v. Sullivan, 962 F.2d 1110, 1114 (3d Cir. 1992)</t>
  </si>
  <si>
    <t>St Francis Med CTR v Sullivan</t>
  </si>
  <si>
    <t>There have been other occasional cracks in the Supreme Court’s strict view of the final-judgment rule. See, e.g., American Export Lines v. Alvez, 446 U.S. 274, 279 (1980) (relying on Gillespie to conclude that, “[a]s a practical matter,” it had jurisdiction to review what might have otherwise been a non-final, interlocutory order).</t>
  </si>
  <si>
    <t>American Export Lines v. Alvez, 446 U.S. 274, 279 (1980)</t>
  </si>
  <si>
    <t>American Export Lines v Alvez</t>
  </si>
  <si>
    <t>See, e.g., Mohawk Indus., Inc., 558 U.S. at 106-14 (continuing to recognize practical finality doctrine under Gillespie but nonetheless holding that adverse attorney-client-privilege rulings are not immediately appealable under Cohen); see also Lammon, supra note 13, 51 U. Rich. L. Rev. at 410-11 (discussing Supreme Court’s repeated efforts to cabin Gillespie).</t>
  </si>
  <si>
    <t>Mohawk Indus., Inc., 558 U.S. at 106-14</t>
  </si>
  <si>
    <t>Lammon, supra note 13, 51 U. Rich. L. Rev. at 410-11</t>
  </si>
  <si>
    <t>See Bohms v. Gardner, 381 F.2d 283, 285-86 (8th Cir. 1967); Mayersky v. Celebrezze, 353 F.2d 89, 89 (3d Cir. 1965) (per curiam); Marshall v. Celebrezze, 351 F.2d 467, 468 (3d Cir. 1965) (per curiam). Bohms cited Mayersky and Marshall as well as Stathatos v. Arnold Bernstein S.S. Corp., 202 F.2d 525, 526 (2d Cir. 1953) (remand to arbitrator not appealable and citing earlier cases to the same effect).</t>
  </si>
  <si>
    <t>Bohms v. Gardner, 381 F.2d 283, 285-86 (8th Cir. 1967)</t>
  </si>
  <si>
    <t>Bohms v Gardner</t>
  </si>
  <si>
    <t>Mayersky v. Celebrezze, 353 F.2d 89, 89 (3d Cir. 1965) (per curiam)</t>
  </si>
  <si>
    <t>Mayersky v Celebrezze</t>
  </si>
  <si>
    <t>Marshall v. Celebrezze, 351 F.2d 467, 468 (3d Cir. 1965) (per curiam)</t>
  </si>
  <si>
    <t>Marshall v Celebrezze</t>
  </si>
  <si>
    <t>Stathatos v. Arnold Bernstein S.S. Corp., 202 F.2d 525, 526 (2d Cir. 1953)</t>
  </si>
  <si>
    <t>Stathatos v Arnold Bernstein SS Corp</t>
  </si>
  <si>
    <t>412 F.2d 44 (5th Cir. 1969), rev’d on other grounds, Richardson v. Perales, 402 U.S. 389 (1971).</t>
  </si>
  <si>
    <t>412 F.2d 44 (5th Cir. 1969)</t>
  </si>
  <si>
    <t>412 F 2d</t>
  </si>
  <si>
    <t>Richardson v. Perales, 402 U.S. 389 (1971)</t>
  </si>
  <si>
    <t>Richardson v Perales</t>
  </si>
  <si>
    <t>Id. at 48. The court held that the district court’s order was also appealable under a separate provision of the Social Security Act. Id.</t>
  </si>
  <si>
    <t>Id. at 48</t>
  </si>
  <si>
    <t>Gold v. Weinberger, 473 F.2d 1376, 1378 (5th Cir. 1973).</t>
  </si>
  <si>
    <t>Gold v. Weinberger, 473 F.2d 1376, 1378 (5th Cir. 1973)</t>
  </si>
  <si>
    <t>Gold v Weinberger</t>
  </si>
  <si>
    <t>Gueory v. Hampton, 510 F.2d 1222, 1224-25 (D.C. Cir. 1974).</t>
  </si>
  <si>
    <t>Gueory v. Hampton, 510 F.2d 1222, 1224-25 (D.C. Cir. 1974)</t>
  </si>
  <si>
    <t>Gueory v Hampton</t>
  </si>
  <si>
    <t>545 F.2d 363.</t>
  </si>
  <si>
    <t>545 F.2d 363</t>
  </si>
  <si>
    <t>Id. at 365-66.</t>
  </si>
  <si>
    <t>Id. at 365-66</t>
  </si>
  <si>
    <t>Id. at 367, 373.</t>
  </si>
  <si>
    <t>Id. at 367, 373</t>
  </si>
  <si>
    <t>Id. Bachowski provides a thoughtful weighing of the pros and cons of appellate review of remands and of the final-judgment rule. See id. at 366-73.</t>
  </si>
  <si>
    <t>id. at 366-73</t>
  </si>
  <si>
    <t>See, e.g., Harper v. Bowen, 854 F.2d 678, 680-81 (4th Cir. 1988) (remand to properly allocate burden of proof not appealable by agency in the absence of an “egregious misstatement of an important point of law”); Cabot Corp. v. United States, 788 F.2d 1539, 1543-44 (Fed. Cir. 1986) (remand not final (under 28 U.S.C. § 1295) and appealable by agency under practical finality or collateral-order doctrine); Pauls v. Sec’y of the Air Force, 457 F.2d 294, 297-98 (1st Cir. 1972) (holding unappealable by agency remand for further factfinding). The Eighth Circuit had explained that, absent certification under 28 U.S.C. § 1292(b), remands to the Social Security Administration were not final and appealable by the agency. McCoy v. Schweiker, 683 F.2d 1138, 1141 n.2 (8th Cir. 1998) (en banc), abrogated by Finkelstein, 496 U.S. 617.</t>
  </si>
  <si>
    <t>Harper v. Bowen, 854 F.2d 678, 680-81 (4th Cir. 1988)</t>
  </si>
  <si>
    <t>Harper v Bowen</t>
  </si>
  <si>
    <t>Cabot Corp. v. United States, 788 F.2d 1539, 1543-44 (Fed. Cir. 1986)</t>
  </si>
  <si>
    <t>Cabot Corp v United States</t>
  </si>
  <si>
    <t>Pauls v. Sec’y of the Air Force, 457 F.2d 294, 297-98 (1st Cir. 1972)</t>
  </si>
  <si>
    <t>Pauls v Sec'y of the Air Force</t>
  </si>
  <si>
    <t>McCoy v. Schweiker, 683 F.2d 1138, 1141 n.2 (8th Cir. 1998) (en banc)</t>
  </si>
  <si>
    <t>McCoy v Schweiker</t>
  </si>
  <si>
    <t>Finkelstein, 496 U.S. 617</t>
  </si>
  <si>
    <t>For early (pre-Finkelstein) cases holding that agencies could appeal district-court remands, see, e.g., Doughty v. Bowen, 839 F.2d 644, 645-46 (10th Cir. 1988) (remand requiring payment of interim benefits); Pierre v. Rivkind, 825 F.2d 1501, 1504 (11th Cir. 1987) (remand to reconsider asylum application); AJA Assocs. v. Army Corps of Eng’rs, 817 F.2d 1070, 1073 (3d Cir. 1987) (remand for informal oral hearing on dredge-and-fill permit); Huie v. Bowen, 788 F.2d 698, 701-03 (11th Cir. 1986) (voluntary remand to apply new law and impose retrospective benefits to claimant); Regents of the Univ. of Calif. v. Heckler, 771 F.2d 1182, 1186-87 (9th Cir. 1985) (remand to revise regulation to comply with governing statute), overruled on other grounds, Good Samaritan Hosp. v. Shalala, 508 U.S. 402 (1993); Bender v. Clark, 744 F.2d 1424, 1426-28 (10th Cir. 1984) (remand to administrative law judge for determination of whether plaintiff showed agency error by a preponderance of the evidence); Stone v. Heckler, 722 F.2d 464, 466-68 (9th Cir. 1983) (remand for specific findings as to claimant’s work functionality); United States v. Alcon Labs., 636 F.2d 876, 884-85 (1st Cir. 1981) (remand requiring agency to release seized inventories, which concerned “broader questions of how [agency] enforcement actions are to proceed”); Gold, 473 F.2d at 1378 (Fifth Circuit remand imposing new procedures).</t>
  </si>
  <si>
    <t>Doughty v. Bowen, 839 F.2d 644, 645-46 (10th Cir. 1988)</t>
  </si>
  <si>
    <t>Doughty v Bowen</t>
  </si>
  <si>
    <t>Pierre v. Rivkind, 825 F.2d 1501, 1504 (11th Cir. 1987)</t>
  </si>
  <si>
    <t>Pierre v Rivkind</t>
  </si>
  <si>
    <t>AJA Assocs. v. Army Corps of Eng’rs, 817 F.2d 1070, 1073 (3d Cir. 1987)</t>
  </si>
  <si>
    <t>Aja Assocs v Army Corps of Eng'rs</t>
  </si>
  <si>
    <t>Huie v. Bowen, 788 F.2d 698, 701-03 (11th Cir. 1986)</t>
  </si>
  <si>
    <t>Huie v Bowen</t>
  </si>
  <si>
    <t>Regents of the Univ. of Calif. v. Heckler, 771 F.2d 1182, 1186-87 (9th Cir. 1985)</t>
  </si>
  <si>
    <t>Regents of the Univ of Calif v Heckler</t>
  </si>
  <si>
    <t>Good Samaritan Hosp. v. Shalala, 508 U.S. 402 (1993)</t>
  </si>
  <si>
    <t>Good Samaritan Hosp v Shalala</t>
  </si>
  <si>
    <t>Bender v. Clark, 744 F.2d 1424, 1426-28 (10th Cir. 1984)</t>
  </si>
  <si>
    <t>Bender v Clark</t>
  </si>
  <si>
    <t>Stone v. Heckler, 722 F.2d 464, 466-68 (9th Cir. 1983)</t>
  </si>
  <si>
    <t>Stone v Heckler</t>
  </si>
  <si>
    <t>United States v. Alcon Labs., 636 F.2d 876, 884-85 (1st Cir. 1981)</t>
  </si>
  <si>
    <t>United States v Alcon Labs</t>
  </si>
  <si>
    <t>Gold, 473 F.2d at 1378</t>
  </si>
  <si>
    <t>For early cases holding that non-agency parties could not appeal district-court remands, see, e.g., Mall Props., Inc. v. Marsh, 841 F.2d 440, 441-44 (1st Cir. 1988) (per curiam) (remand not appealable by intervenor-defendant city); Jeannette Sheet Glass Corp. v. United States, 803 F.2d 1576, 1579-83 (Fed. Cir. 1986) (remand not appealable by plaintiff); Mem’l Hosp. Sys. v. Heckler, 769 F.2d 1043, 1044 (5th Cir. 1985) (remand to agency to receive new evidence not appealable by plaintiff hospital); Farr v. Heckler, 729 F.2d 1426, 1427-28 (11th Cir. 1984) (en banc) (remand for further benefits eligibility determination not appealable by claimant); Eluska v. Andrus, 587 F.2d 996, 999-1002 (9th Cir. 1978) (voluntary remand not appealable by plaintiff); Giordano v. Roudebush, 565 F.2d 1015, 1017-18 (8th Cir. 1977) (per curiam) (remand for rehearing with new evidence not appealable by plaintiff).</t>
  </si>
  <si>
    <t>Mall Props., Inc. v. Marsh, 841 F.2d 440, 441-44 (1st Cir. 1988) (per curiam)</t>
  </si>
  <si>
    <t>Mall</t>
  </si>
  <si>
    <t>Jeannette Sheet Glass Corp. v. United States, 803 F.2d 1576, 1579-83 (Fed. Cir. 1986)</t>
  </si>
  <si>
    <t>Jeannette Sheet Glass Corp v United States</t>
  </si>
  <si>
    <t>Mem’l Hosp. Sys. v. Heckler, 769 F.2d 1043, 1044 (5th Cir. 1985)</t>
  </si>
  <si>
    <t>Mem'l Hosp Sys v Heckler</t>
  </si>
  <si>
    <t>Farr v. Heckler, 729 F.2d 1426, 1427-28 (11th Cir. 1984) (en banc)</t>
  </si>
  <si>
    <t>Farr v Heckler</t>
  </si>
  <si>
    <t>Eluska v. Andrus, 587 F.2d 996, 999-1002 (9th Cir. 1978)</t>
  </si>
  <si>
    <t>Eluska v Andrus</t>
  </si>
  <si>
    <t>Giordano v. Roudebush, 565 F.2d 1015, 1017-18 (8th Cir. 1977) (per curiam)</t>
  </si>
  <si>
    <t>Giordano v Roudebush</t>
  </si>
  <si>
    <t>Writing in 1989, the D.C. Circuit explained that the courts of appeals had “uniformly held that, as a general rule,” remands to administrative agencies are not final and appealable, with an “exception” for agency appellants. Although that rule produce “asymmetrical results”—private parties cannot appeal while agencies can—“that asymmetry derives . . . from the formulation of the Cohen test, under which the question of appealability turns to a great extent on whether a putative appellant could challenge the remand order after a final determination on the merits.” Occidental Petroleum Corp., 873 F.2d at 331-32.</t>
  </si>
  <si>
    <t>Occidental Petroleum Corp., 873 F.2d at 331-32</t>
  </si>
  <si>
    <t>Occidental Petroleum Corp</t>
  </si>
  <si>
    <t>There were exceptions, the most notable being the Tenth Circuit’s decision in Bender. There the court concluded that the collateral-order doctrine did not apply to an agency’s appeal of a remand, but that the court nonetheless had jurisdiction under a “practical application” of 28 U.S.C. § 1291 “viewed under the circumstances of each case.” 744 F.2d at 1427. But this is a distinction without a difference. The collateral-order doctrine itself arises from a notion of “practical” finality, Cohen, 337 U.S. at 546, meaning that the circuit courts’ prudential development of circumstances in which remands are final always boils down to a “practical construction of finality.” Kreider Dairy Farms, Inc., 190 F.3d at 124 (Sloviter, J., concurring); see also Lammon, supra note 13, 51 U. Rich. L. Rev. at 377 (explaining that the lines between these doctrines are murky, the collateral-order doctrine is probably best understood as an application of the “practical finality” doctrine, and the collateral-order doctrine is now the most common example of prudential balancing “the interests between immediate review and delaying appeals”).</t>
  </si>
  <si>
    <t>744 F.2d at 1427</t>
  </si>
  <si>
    <t>Cohen, 337 U.S. at 546</t>
  </si>
  <si>
    <t>Kreider Dairy Farms, Inc., 190 F.3d at 124 (Sloviter, J., concurring)</t>
  </si>
  <si>
    <t>Lammon, supra note 13, 51 U. Rich. L. Rev. at 377</t>
  </si>
  <si>
    <t>A consistent exception are remands of remedy orders under the Individuals with Disabilities Education Act (“IDEA”), 20 U.S.C. § 1400 et seq. Such remands are not appealable, even by school districts and educational boards. See, e.g., S.S. by and through A.S. v. Cobb Cnty. Sch. Dist., 43 F.4th 1165, 1171 (11th Cir. 2022) (collecting cases); C.W. by and through B.W., 994 F.3d at 1222; Shapiro v. Paradise Valley Unified Sch. Dist., 152 F.3d 1159, 1160-61 (9th Cir. 1998) (per curiam). Another, less consistent exception are remands to Employee Retirement Income Security Act (“ERISA”) administrators. Some circuits allow appeals by administrators while others do not. See, e.g., Mead v. Reliastar Life Ins. Co., 768 F.3d 102, 108 (2d Cir. 2014) (discussing circuits’ differing approaches). Finally, there are rare, ad hoc exceptions. See, e.g., World Fuel Corp. v. Geithner, 568 F.3d 1345, 1349 (11th Cir. 2009) (Office of Foreign Assets Control in U.S. Treasury Department could not appeal remand directing it to develop new legal standard under the International Emergency Economic Powers Act); see also Miami Tribe of Okla. v. United States, 656 F.3d 1129, 1140 (10th Cir. 2011) (explaining that prior remand would not have been appealable by agency because it contemplated further district-court proceedings); Nat’l Air Traffic Controllers Ass’n v. Sec’y of Transp., No. 06-3466, 2007 WL 2141941, *3 (6th Cir. 2007) (per curiam) (in rejecting appeal of remand by plaintiffs, stating that even the agency would not be able to appeal given the limited nature of the remand).</t>
  </si>
  <si>
    <t>Individuals with Disabilities Education Act (“IDEA”), 20 U.S.C. § 1400 et seq.</t>
  </si>
  <si>
    <t>Individuals</t>
  </si>
  <si>
    <t>S.S. by and through A.S. v. Cobb Cnty. Sch. Dist., 43 F.4th 1165, 1171 (11th Cir. 2022)</t>
  </si>
  <si>
    <t>Cobb Cnty</t>
  </si>
  <si>
    <t>C.W. by and through B.W., 994 F.3d at 1222</t>
  </si>
  <si>
    <t>Shapiro v. Paradise Valley Unified Sch. Dist., 152 F.3d 1159, 1160-61 (9th Cir. 1998) (per curiam)</t>
  </si>
  <si>
    <t>Shapiro v Paradise Valley Unified SCH Dist</t>
  </si>
  <si>
    <t>Mead v. Reliastar Life Ins. Co., 768 F.3d 102, 108 (2d Cir. 2014)</t>
  </si>
  <si>
    <t>Mead v Reliastar Life Ins Co</t>
  </si>
  <si>
    <t>World Fuel Corp. v. Geithner, 568 F.3d 1345, 1349 (11th Cir. 2009)</t>
  </si>
  <si>
    <t>World Fuel Corp v Geithner</t>
  </si>
  <si>
    <t>Miami Tribe of Okla. v. United States, 656 F.3d 1129, 1140 (10th Cir. 2011)</t>
  </si>
  <si>
    <t>Miami Tribe</t>
  </si>
  <si>
    <t>Nat’l Air Traffic Controllers Ass’n v. Sec’y of Transp., No. 06-3466, 2007 WL 2141941, *3 (6th Cir. 2007) (per curiam)</t>
  </si>
  <si>
    <t>Nat'l Air Traffic Controllers</t>
  </si>
  <si>
    <t>See supra notes 98-115 and accompanying text. The single exception is the Tenth Circuit’s decision in Cotton Petroleum Corp. v. U.S. Dep’t of the Interior, Bureau of Indian Affairs, 870 F.2d 1515, 1521-22 (10th Cir. 1989) (applying Tenth Circuit’s test to allow appeal of remand by plaintiffs); see also infra notes 177, 194, 325 and accompanying text (discussing Cotton Petroleum and its significance).</t>
  </si>
  <si>
    <t>supra notes 98-115 and accompanying text</t>
  </si>
  <si>
    <t>Supra Notes 98-115 and Accompanying Text</t>
  </si>
  <si>
    <t>Cotton Petroleum Corp. v. U.S. Dep’t of the Interior, Bureau of Indian Affairs, 870 F.2d 1515, 1521-22 (10th Cir. 1989)</t>
  </si>
  <si>
    <t>Cotton Petroleum Corp</t>
  </si>
  <si>
    <t>infra notes 177, 194, 325 and accompanying text</t>
  </si>
  <si>
    <t>Infra Notes 177</t>
  </si>
  <si>
    <t>See infra notes 134-194 and accompanying text.</t>
  </si>
  <si>
    <t>infra notes 134-194 and accompanying text</t>
  </si>
  <si>
    <t>Infra Notes 134-194 and Accompanying Text</t>
  </si>
  <si>
    <t>See id.</t>
  </si>
  <si>
    <t>id.</t>
  </si>
  <si>
    <r>
      <rPr>
        <rFont val="Arial"/>
        <color rgb="FF000000"/>
        <sz val="12.0"/>
      </rPr>
      <t xml:space="preserve">Billboard Top 100, Top Pop Singles (Dec. 26, 1987), https://books.google.com/books?id=JCgEAAAAMBAJ&amp;pg=RA1-PA25#v=onepage&amp;q&amp;f=false; Billboard Top 100, Top Pop Singles (Dec. 25, 1976), </t>
    </r>
    <r>
      <rPr>
        <rFont val="Arial"/>
        <color rgb="FF1155CC"/>
        <sz val="12.0"/>
        <u/>
      </rPr>
      <t>https://books.google.com/books?id=xCQEAAAAMBAJ&amp;pg=PT43#v=onepage&amp;q&amp;f=false.</t>
    </r>
  </si>
  <si>
    <t>https://books.google.com/books?id=JCgEAAAAMBAJ&amp;pg=RA1-PA25#v=onepage&amp;q&amp;f=false</t>
  </si>
  <si>
    <t>Billboard (1987)</t>
  </si>
  <si>
    <t>https://books.google.com/books?id=xCQEAAAAMBAJ&amp;pg=PT43#v=onepage&amp;q&amp;f=false</t>
  </si>
  <si>
    <t>Billboard (1976)</t>
  </si>
  <si>
    <t>AJA Assocs., 817 F.2d at 1073; Bachowski, 545 F.2d at 373 n.62.</t>
  </si>
  <si>
    <t>AJA Assocs., 817 F.2d at 1073</t>
  </si>
  <si>
    <t>Bachowski, 545 F.2d at 373 n.62</t>
  </si>
  <si>
    <t>Harper, 854 F.2d at 680-81.</t>
  </si>
  <si>
    <t>Harper, 854 F.2d at 680-81</t>
  </si>
  <si>
    <t>Stone, 722 F.2d at 467; Regents of the Univ. of Calif., 771 F.2d at 1187.</t>
  </si>
  <si>
    <t>Stone, 722 F.2d at 467</t>
  </si>
  <si>
    <t>Regents of the Univ. of Calif., 771 F.2d at 1187</t>
  </si>
  <si>
    <t>Eluska, 587 F.2d at 999.</t>
  </si>
  <si>
    <t>Eluska, 587 F.2d at 999</t>
  </si>
  <si>
    <t>Paluso, 573 F.2d at 8; Bender, 744 F.2d at 1427-28.</t>
  </si>
  <si>
    <t>Paluso, 573 F.2d at 8</t>
  </si>
  <si>
    <t>Paluso</t>
  </si>
  <si>
    <t>Bender, 744 F.2d at 1427-28</t>
  </si>
  <si>
    <t>See supra notes 98-115 and accompanying text.</t>
  </si>
  <si>
    <t>See, e.g., Stone, 722 F.2d at 467 (Ninth Circuit holding that remand to apply new legal standard was appealable, and collecting cases showing different outcomes based on nature of remands); Howell, 699 F.2d at 526 (Eleventh Circuit holding that remand was not appealable partly because the agency simply had to employ a vocational expert on remand); Gueory, 510 F.2d at 1224-25 (D.C. Circuit holding that remand was appealable partly because it required the agency, as a matter of law, to make a certain finding); Gold, 473 F.2d at 1378 (Fifth Circuit holding that remand was appealable partly because it imposed new agency procedures).</t>
  </si>
  <si>
    <t>Howell, 699 F.2d at 526</t>
  </si>
  <si>
    <t>Howell</t>
  </si>
  <si>
    <t>Gueory, 510 F.2d at 1224-25</t>
  </si>
  <si>
    <t>See infra notes 98-115 and accompanying text.</t>
  </si>
  <si>
    <t>infra notes 98-115 and accompanying text</t>
  </si>
  <si>
    <t>See, e.g., supra note 51 and accompanying text. Professor Lammon explains that the courts of appeals continue to rely on a mix of case-by-case balancing, “practical finality,” and the collateral-order doctrine to determine their jurisdiction over appeals from district-court orders. Lammon, supra note 13, 51 U. Rich. L. Rev. at 411.</t>
  </si>
  <si>
    <t>supra note 51 and accompanying text</t>
  </si>
  <si>
    <t>Supra Note 51 and Accompanying Text</t>
  </si>
  <si>
    <t>Lammon, supra note 13, 51 U. Rich. L. Rev. at 411</t>
  </si>
  <si>
    <t>See infra notes 183-185 and accompanying text.</t>
  </si>
  <si>
    <t>infra notes 183-185 and accompanying text</t>
  </si>
  <si>
    <t>Infra Notes 183-185 and Accompanying Text</t>
  </si>
  <si>
    <t>See infra notes 186-187 and accompanying text.</t>
  </si>
  <si>
    <t>infra notes 186-187 and accompanying text</t>
  </si>
  <si>
    <t>Infra Notes 186-187 and Accompanying Text</t>
  </si>
  <si>
    <t>Professor Lammon does a heroic job of explaining the relationship between finality, practical finality, Gillespie case-by-case balancing, and the collateral-order doctrine. See Lammon, supra note 13, 51 U. Rich. L. Rev. at 373-74. He also rightly points out that the administrative-remand rule is best conceived of as a “true finality rule”—i.e., appeals from remands come at the effective end of litigation, if not the end of agency proceedings. Lammon, supra note 13, 93 Wash. L. Rev. at 1834-35. But, as he acknowledges, there is “confusion that sometimes arises in determining when the end of district court proceedings is a final decision.” Id. at 1836. The result is that many circuits continue to examine appeals from remands under the collateral-order doctrine, which provides for interlocutory review of decidedly non-final orders. See 15B Fed. Prac. &amp; Proc. Juris. § 3914.32.</t>
  </si>
  <si>
    <t>Lammon, supra note 13, 51 U. Rich. L. Rev. at 373-74</t>
  </si>
  <si>
    <t>Lammon, supra note 13, 93 Wash. L. Rev. at 1834-35</t>
  </si>
  <si>
    <t>Id. at 1836</t>
  </si>
  <si>
    <t>See infra note 182 and accompanying text.</t>
  </si>
  <si>
    <t>infra note 182 and accompanying text</t>
  </si>
  <si>
    <t>Infra Note 182 and Accompanying Text</t>
  </si>
  <si>
    <t>See Sierra Club v. U.S. Dep’t of Agric., 716 F.3d 653, 656-57 (D.C. Cir. 2013) (emphasizing this distinction and discussing collateral-order doctrine separately to hold that private intervenor-defendant could not appeal remand); N. Air Cargo v. U.S. Postal Serv., 674 F.3d 852, 857 (D.C. Cir. 2012) (stating that “[i]t is axiomatic that a private party—unlike the government—may not appeal a district court’s order remanding to an agency because it is not final,” and holding that court could consider plaintiff’s arguments on appeal only because agency also appealed remand).</t>
  </si>
  <si>
    <t>Sierra Club v. U.S. Dep’t of Agric., 716 F.3d 653, 656-57 (D.C. Cir. 2013)</t>
  </si>
  <si>
    <t>Sierra Club v US Dep't of Agric</t>
  </si>
  <si>
    <t>N. Air Cargo v. U.S. Postal Serv., 674 F.3d 852, 857 (D.C. Cir. 2012)</t>
  </si>
  <si>
    <t>N Air Cargo v US Postal Serv</t>
  </si>
  <si>
    <t>See N.C. Fisheries Ass’n v. Gutierrez, 550 F.3d 16, 19-20 (D.C. Cir. 2008) (describing as “black letter law” the rule that remands are not final, and appeals by agencies as a “limited exception” that is “not normally available to a private party,” to hold that plaintiffs could not appeal a remand of fishery management plan); Lake Pilots Ass’n v. U.S. Coast Guard, 359 F.3d 624, 625 (D.C. Cir. 2004) (denying appeal by plaintiffs of remand on ground that later unreviewability is met where an agency is the appellant; that “principle is not normally available to the agency’s adversary”); Oceana, Inc. v. Gutierrez, 179 Fed. Appx. 703, 703 (D.C. Cir. 2006) (denying appeal by plaintiff because it “will have a later opportunity to appeal”); NAACP, Jefferson Cnty. Branch v. U.S. Sugar Corp., 84 F.3d 1432, 1436 (D.C. Cir. 1996) (distinguishing between appeals by agency and private defendants).</t>
  </si>
  <si>
    <t>N.C. Fisheries Ass’n v. Gutierrez, 550 F.3d 16, 19-20 (D.C. Cir. 2008)</t>
  </si>
  <si>
    <t>NC Fisheries Ass'n v Gutierrez</t>
  </si>
  <si>
    <t>Lake Pilots Ass’n v. U.S. Coast Guard, 359 F.3d 624, 625 (D.C. Cir. 2004)</t>
  </si>
  <si>
    <t>Lake Pilots Ass'n v US Coast Guard</t>
  </si>
  <si>
    <t>Oceana, Inc. v. Gutierrez, 179 Fed. Appx. 703, 703 (D.C. Cir. 2006)</t>
  </si>
  <si>
    <t>Oceana</t>
  </si>
  <si>
    <t>NAACP, Jefferson Cnty. Branch v. U.S. Sugar Corp., 84 F.3d 1432, 1436 (D.C. Cir. 1996)</t>
  </si>
  <si>
    <t>Naacp</t>
  </si>
  <si>
    <t>See Limnia, Inc. v. U.S. Dep’t of Energy, 857 F.3d 379, 385-86 (D.C. Cir. 2017) (distinguishing between two remands, one of which was not appealable because it left the “‘core dispute unresolved,’” and the other of which was because it “did not return the ‘core dispute’ . . . back for further proceedings by the agency” but instead “effectively terminated” the case (quoting Am. Haw. Cruises v. Skinner, 893 F.2d 1400, 1403 (D.C. Cir. 1990))); In re Long-Distance Tele. Serv. Fed. Excise Tax Refund Litig., 751 F.3d at 633 (remand appealable where it was effectively final because agency intended not to comply with it). But see Sierra Club, 716 F.3d at 657-58 (remand requiring further environmental review required substantial further proceedings and so was not appealable); Pueblo of Sandia, 231 F.3d at 881-82 (intervenor-defendant could not appeal remand that contemplated substantial further proceedings by agency).</t>
  </si>
  <si>
    <t>Limnia, Inc. v. U.S. Dep’t of Energy, 857 F.3d 379, 385-86 (D.C. Cir. 2017)</t>
  </si>
  <si>
    <t>Limnia</t>
  </si>
  <si>
    <t>Am. Haw. Cruises v. Skinner, 893 F.2d 1400, 1403 (D.C. Cir. 1990)</t>
  </si>
  <si>
    <t>Am Haw Cruises v Skinner</t>
  </si>
  <si>
    <t>In re Long-Distance Tele. Serv. Fed. Excise Tax Refund Litig., 751 F.3d at 633</t>
  </si>
  <si>
    <t>Sierra Club, 716 F.3d at 657-58</t>
  </si>
  <si>
    <t>Pueblo of Sandia, 231 F.3d at 881-82</t>
  </si>
  <si>
    <t>See, e.g., Limnia, Inc., 857 F.3d at 386 (plaintiff could appeal remand because it “effectively terminated” the case).</t>
  </si>
  <si>
    <t>Limnia, Inc., 857 F.3d at 386</t>
  </si>
  <si>
    <t>Koyo Seiko Co. v. United States, 95 F.3d 1094, 1097 (Fed. Cir. 1996) (remand to agency to fix “two computer programming errors” required only ministerial action, and so was appealable by plaintiff); Travelstead, 978 F.2d at 1248 (agency could appeal remand of its decision denying waiver of indebtedness on veteran’s home loan because remand effectively terminated the litigation).</t>
  </si>
  <si>
    <t>Koyo Seiko Co. v. United States, 95 F.3d 1094, 1097 (Fed. Cir. 1996)</t>
  </si>
  <si>
    <t>Koyo Seiko Co v United States</t>
  </si>
  <si>
    <t>Travelstead, 978 F.2d at 1248</t>
  </si>
  <si>
    <t>Compare Cabot Corp., 788 F.2d at 1543-44 (remand to U.S. International Trade Administration not final (under 28 U.S.C. § 1295) and not appealable by agency under practical-finality or collateral-order doctrine); Jeannette Sheet Glass Corp., 803 F.2d at 1583 (remand to International Trade Commission not appealable by plaintiff, explaining that Cabot Corp. established a “broad[ ]” rule and was binding) with cases cited in supra note 138.</t>
  </si>
  <si>
    <t>Cabot Corp., 788 F.2d at 1543-44</t>
  </si>
  <si>
    <t>Jeannette Sheet Glass Corp., 803 F.2d at 1583</t>
  </si>
  <si>
    <t>supra note 138</t>
  </si>
  <si>
    <t>Supra Note 138</t>
  </si>
  <si>
    <t>Littlefield v. Mashpee Wampanoag Indian Tribe, 951 F.3d 30, 36 (1st Cir. 2020).</t>
  </si>
  <si>
    <t>Littlefield v. Mashpee Wampanoag Indian Tribe, 951 F.3d 30, 36 (1st Cir. 2020)</t>
  </si>
  <si>
    <t>Littlefield v Mashpee Wampanoag Indian Tribe</t>
  </si>
  <si>
    <t>See Littlefield, 951 F.3d at 36 (remand final and appealable as to tribal defendant, as Ninth Circuit’s criteria were satisfied and there “is no gain, and only potential loss, to judicial efficiency by dismissing this appeal”); Mall Props., Inc., 841 F.2d at 443-44 (remand not appealable by intervenor-defendant city in part because of efficiency gains from final-judgment rule).</t>
  </si>
  <si>
    <t>Littlefield, 951 F.3d at 36</t>
  </si>
  <si>
    <t>Mall Props., Inc., 841 F.2d at 443-44</t>
  </si>
  <si>
    <t>Perales v. Sullivan, 948 F.2d 1348, 1353 (2d Cir. 1991).</t>
  </si>
  <si>
    <t>Perales v. Sullivan, 948 F.2d 1348, 1353 (2d Cir. 1991)</t>
  </si>
  <si>
    <t>Perales v Sullivan</t>
  </si>
  <si>
    <t>See, e.g., N.Y. Legal Assistance Grp., 2024 WL 64220, at *2 (avoiding question of jurisdiction over appeal of remand to agency by remanding certain issues to district court); Silver v. Smith, 70 Fed. Appx. 17, 19 (2d Cir. 2003) (citing rule to deny appeal by plaintiffs of putative remand to IRS).</t>
  </si>
  <si>
    <t>N.Y. Legal Assistance Grp., 2024 WL 64220, at *2</t>
  </si>
  <si>
    <t>Silver v. Smith, 70 Fed. Appx. 17, 19 (2d Cir. 2003)</t>
  </si>
  <si>
    <t>Silver v Smith</t>
  </si>
  <si>
    <t>See, e.g., Bey v. City of New York, 999 F.3d 157, 163 (2d Cir. 2021) (“When assessing whether a particular decision meets that [sic] criteria, we eschew formalism in favor of a pragmatic approach. We instead look to whether, following the district court’s decision, further proceedings are contemplated or required.”) (internal citation omitted); Mead, 768 F.3d at 109 (“[W]e leave for another day the question of whether our case law governing the finality of administrative remands permits an immediate appeal by an ERISA plan administrator when the district court’s remand order cannot be construed as having retained jurisdiction over the case.”).</t>
  </si>
  <si>
    <t>Bey v. City of New York, 999 F.3d 157, 163 (2d Cir. 2021)</t>
  </si>
  <si>
    <t>Bey v City of New York</t>
  </si>
  <si>
    <t>Mead, 768 F.3d at 109</t>
  </si>
  <si>
    <t>Papotto, 731 F.3d at 270 (citing Kreider, 190 F.3d at 118). Papotto was an ERISA case but announced the Third Circuit’s rule for all administrative-agency remands. It and Kreider synthesized this test from prior cases applying various combinations of the collateral-order doctrine’s three criteria. See, e.g., Bhd. of Maint. of Way Emps. v. Consol. Rail Corp., 864 F.2d 283, 286 (3d Cir. 1988) (“Our precedent holds that when the issue on appeal is limited to the right to a procedure that once granted is not susceptible as a practical matter to subsequent review, remand orders directing such procedures are final.”); AJA Assocs., 817 F.2d at 1073 (agency could appeal remand that could not receive later appellate review); United Steelworkers of Am. Local 1913 v. Union R.R. Co., 648 F.2d 905, 910 (3d Cir. 1981) (railroad company could appeal remand to railway labor board that effectively ended the litigation and involved issue that would be unreviewable later).</t>
  </si>
  <si>
    <t>Papotto, 731 F.3d at 270</t>
  </si>
  <si>
    <t>Kreider, 190 F.3d at 118</t>
  </si>
  <si>
    <t>Bhd. of Maint. of Way Emps. v. Consol. Rail Corp., 864 F.2d 283, 286 (3d Cir. 1988)</t>
  </si>
  <si>
    <t>BHD of Maint of Way Emps v Consol Rail Corp</t>
  </si>
  <si>
    <t>United Steelworkers of Am. Local 1913 v. Union R.R. Co., 648 F.2d 905, 910 (3d Cir. 1981)</t>
  </si>
  <si>
    <t>United Steelworkers of Am Local 1913 v Union RR Co</t>
  </si>
  <si>
    <t>See United Steelworkers of Am. Loc. 1913, 648 F.2d at 910 (railroad company could appeal remand to railway labor board that effectively ended the litigation and involved issue that would be unreviewable later). In two other cases, the government also appealed; it is unclear how the Third Circuit would have ruled had that not been the case. See United States v. Spears, 859 F.2d 284, 287 (3d Cir. 1988); Horizons Int’l, Inc. v. Baldrige, 811 F.2d 154, 156 (3d Cir. 1987).</t>
  </si>
  <si>
    <t>United Steelworkers of Am. Loc. 1913, 648 F.2d at 910</t>
  </si>
  <si>
    <t>United States v. Spears, 859 F.2d 284, 287 (3d Cir. 1988)</t>
  </si>
  <si>
    <t>United States v Spears</t>
  </si>
  <si>
    <t>Horizons Int’l, Inc. v. Baldrige, 811 F.2d 154, 156 (3d Cir. 1987)</t>
  </si>
  <si>
    <t>Horizons</t>
  </si>
  <si>
    <t>See Shipbuilders Council of Am. v. U.S. Coast Guard, 578 F.3d 234, 240 (4th Cir. 2009) (agency could appeal portions of remand of coastal-vessel decision, but intervenor-defendant vessel owner could not appeal other portions given availability of later review); W. Va. Highlands Conservancy, Inc. v. Norton, 343 F.3d 239, 240 (4th Cir. 2003) (agency could appeal remand requiring calculation of attorney’s fees owed to plaintiffs because review would be unavailable after fees award); Hanauer v. Reich, 82 F.3d 1304, 1307 (4th Cir. 1996) (Labor Secretary could appeal remand under Federal Employees’ Compensation Act because it was, if executed by agency, made unreviewable by statute); Colvin v. Sullivan, 939 F.2d 153, 155 (4th Cir. 1991) (agency could appeal remand requiring recalculation of foster care reimbursement owed to Maryland due to later unreviewability); see also Nielsen v. Hagel, 666 Fed. Appx. 225, 230 (4th Cir. 2016) (agency could appeal remand of decision on equal employment opportunity complaint due to later unreviewability).</t>
  </si>
  <si>
    <t>Shipbuilders Council of Am. v. U.S. Coast Guard, 578 F.3d 234, 240 (4th Cir. 2009)</t>
  </si>
  <si>
    <t>Shipbuilders Council of Am v US Coast Guard</t>
  </si>
  <si>
    <t>W. Va. Highlands Conservancy, Inc. v. Norton, 343 F.3d 239, 240 (4th Cir. 2003)</t>
  </si>
  <si>
    <t>Highlands Conservancy</t>
  </si>
  <si>
    <t>Hanauer v. Reich, 82 F.3d 1304, 1307 (4th Cir. 1996)</t>
  </si>
  <si>
    <t>Hanauer v Reich</t>
  </si>
  <si>
    <t>Colvin v. Sullivan, 939 F.2d 153, 155 (4th Cir. 1991)</t>
  </si>
  <si>
    <t>Colvin v Sullivan</t>
  </si>
  <si>
    <t>Nielsen v. Hagel, 666 Fed. Appx. 225, 230 (4th Cir. 2016)</t>
  </si>
  <si>
    <t>Nielsen v Hagel</t>
  </si>
  <si>
    <t>In Shipbuilders Council of America, the Fourth Circuit found jurisdiction over part of the private intervenor-defendant’s appeal because the agency also appealed. As to other parts of the intervenor-defendant’s appeal, the court stated that it “need not reach the question of whether such an order could be appealed by a party other than the agency, because the order itself is not final and therefore not properly subject to review under the collateral order doctrine.” 578 F.3d at 240. And in Culbertson v. Sec’y of Health &amp; Hum. Servs., 859 F.2d 319, 323 (4th Cir. 1988), the Fourth Circuit found jurisdiction over an individual claimant’s appeal of a remand to the Social Security Agency. The court nodded to practical finality and the now-defunct “death knell” doctrine but relied most on the idea that the remand would lead to a final denial of the claim (i.e., it effectively ended the litigation).</t>
  </si>
  <si>
    <t>578 F.3d at 240</t>
  </si>
  <si>
    <t>Culbertson v. Sec’y of Health &amp; Hum. Servs., 859 F.2d 319, 323 (4th Cir. 1988)</t>
  </si>
  <si>
    <t>Culbertson v Sec'y of Health and Hum Servs</t>
  </si>
  <si>
    <t>See Vista Health Plan, Inc. v. U.S. Dep’t of Health &amp; Human Servs., 31 F.4th 946, 951 (5th Cir. 2022) (remand not appealable by plaintiffs because it “was more than ‘ministerial’ in nature”); Adkins v. Silverman, 899 F.3d 395, 401 (5th Cir. 2018) (agency could appeal remand because it required only a “ministerial accounting to calculate” new terms of insurance policies); see also BNSF Ry. Co. v. Am. Train Dispatchers Ass’n, 426 Fed. Appx. 265, 267 (5th Cir. 2011) (“[T]he distinction between remands based on conclusions of law and remands to consider further evidence is unavailing.”).</t>
  </si>
  <si>
    <t>Adkins v. Silverman, 899 F.3d 395, 401 (5th Cir. 2018)</t>
  </si>
  <si>
    <t>Adkins v Silverman</t>
  </si>
  <si>
    <t>BNSF Ry. Co. v. Am. Train Dispatchers Ass’n, 426 Fed. Appx. 265, 267 (5th Cir. 2011)</t>
  </si>
  <si>
    <t>BNSF Ry Co v Am Train Dispatchers Ass'n</t>
  </si>
  <si>
    <t>See Schuck v. Frank, 27 F.3d 194, 196-97 (6th Cir. 1994) (applying these criteria to hold that remand was final and appealable as to agency); see also Nat’l Air Traffic Controllers Ass’n, 2007 WL 2141941, at *2-3 (applying these criteria to hold that plaintiffs—and even the agency if it had tried—could not appeal remand); Ackerman v. U.S. Dep’t of Agric., No. 22-1056, 2022 WL 2965613, *1 (6th Cir. 2022) (applying these criteria to hold that plaintiffs could not appeal remand); see also Local 1982, Int’l Longshoremen’s Ass’n v. Midwest Terminals of Toledo, Int’l, Inc., 944 F.3d 607, 612-13 (6th Cir. 2019) (Thapar, J., concurring) (emphasizing the general unreviewability of remands of all kinds).</t>
  </si>
  <si>
    <t>Schuck v. Frank, 27 F.3d 194, 196-97 (6th Cir. 1994)</t>
  </si>
  <si>
    <t>Schuck v Frank</t>
  </si>
  <si>
    <t>Nat’l Air Traffic Controllers Ass’n, 2007 WL 2141941, at *2-3</t>
  </si>
  <si>
    <t>Ackerman v. U.S. Dep’t of Agric., No. 22-1056, 2022 WL 2965613, *1 (6th Cir. 2022)</t>
  </si>
  <si>
    <t>Ackerman v US Dep't of Agric</t>
  </si>
  <si>
    <t>Local 1982, Int’l Longshoremen’s Ass’n v. Midwest Terminals of Toledo, Int’l, Inc., 944 F.3d 607, 612-13 (6th Cir. 2019) (Thapar, J., concurring)</t>
  </si>
  <si>
    <t>Local 1982</t>
  </si>
  <si>
    <t>Matter of Riggsby, 745 F.2d 1153, 1156 (7th Cir. 1984).</t>
  </si>
  <si>
    <t>Matter of Riggsby, 745 F.2d 1153, 1156 (7th Cir. 1984)</t>
  </si>
  <si>
    <t>Matter</t>
  </si>
  <si>
    <t>Am. Train Dispatchers Dep’t of Int’l Bhd. of Locomotive Eng’rs v. Norfolk S. Ry. Co., 67 F.3d 301, *3 (7th Cir. 1995) (unpublished).</t>
  </si>
  <si>
    <t>Am. Train Dispatchers Dep’t of Int’l Bhd. of Locomotive Eng’rs v. Norfolk S. Ry. Co., 67 F.3d 301, *3 (7th Cir. 1995) (unpublished)</t>
  </si>
  <si>
    <t>Am Train Dispatchers Dep't of Int'l BHD of Locomotive Eng'rs v Norfolk S Ry Co</t>
  </si>
  <si>
    <t>Perlman v. Swiss Bank Corp. Comprehensive Disability Prot. Plan, 195 F.3d 975, 980 (7th Cir. 1999).</t>
  </si>
  <si>
    <t>Perlman v. Swiss Bank Corp. Comprehensive Disability Prot. Plan, 195 F.3d 975, 980 (7th Cir. 1999)</t>
  </si>
  <si>
    <t>Perlman v Swiss Bank Corp Comprehensive Disability Prot Plan</t>
  </si>
  <si>
    <t>Travis v. Sullivan, 985 F.2d 919, 922-23 (7th Cir. 1993) (citing Crowder, 897 F.2d at 252-53) (employing notion of “practical finality” .</t>
  </si>
  <si>
    <t>Travis v. Sullivan, 985 F.2d 919, 922-23 (7th Cir. 1993)</t>
  </si>
  <si>
    <t>Travis v Sullivan</t>
  </si>
  <si>
    <t>Crowder, 897 F.2d at 252-53</t>
  </si>
  <si>
    <t>Perlman, 195 F.3d at 980; Matter of Riggsby, 745 F.2d at 1156.</t>
  </si>
  <si>
    <t>Perlman, 195 F.3d at 980</t>
  </si>
  <si>
    <t>Matter of Riggsby, 745 F.2d at 1156</t>
  </si>
  <si>
    <t>See, e.g., Izaak Walton League of Am., Inc. v. Kimbell, 558 F.3d 751, 763 (8th Cir. 2009) (“The collateral order doctrine or a similar administrative law exception to the final judgment rule may well apply when an agency seeks to appeal a remand order to raise an issue that could not be appealed after the proceedings on remand.”).</t>
  </si>
  <si>
    <t>Izaak Walton League of Am., Inc. v. Kimbell, 558 F.3d 751, 763 (8th Cir. 2009)</t>
  </si>
  <si>
    <t>Izaak Walton</t>
  </si>
  <si>
    <t>See, e.g., City of Council Bluffs, Iowa v. U.S. Dep’t of Interior, 11 F.4th 852, 856 (8th Cir. 2021) (citing unreviewability and ministerial-proceedings criteria to reject appeal by plaintiff cities and states of remand); Davies v. Johanns, 477 F.3d 968, 971 (8th Cir. 2007) (agency could appeal remand of farm appreciation survey under all these criteria).</t>
  </si>
  <si>
    <t>City of Council Bluffs, Iowa v. U.S. Dep’t of Interior, 11 F.4th 852, 856 (8th Cir. 2021)</t>
  </si>
  <si>
    <t>City</t>
  </si>
  <si>
    <t>Davies v. Johanns, 477 F.3d 968, 971 (8th Cir. 2007)</t>
  </si>
  <si>
    <t>Davies v Johanns</t>
  </si>
  <si>
    <t>See, e.g., City of Council Bluffs, Iowa, 11 F.4th at 856 (plaintiff cities and states could not appeal district court remand to National Indian Gaming Commission); Izaak Walton League of Am., 558 F.3d at 763 (private intervenor-defendant could not appeal remand absent agency appeal); Giordano, 565 F.2d at 1017-18 (plaintiffs could not appeal remand to agency for rehearing with new evidence).</t>
  </si>
  <si>
    <t>City of Council Bluffs, Iowa, 11 F.4th at 856</t>
  </si>
  <si>
    <t>Izaak Walton League of Am., 558 F.3d at 763</t>
  </si>
  <si>
    <t>Giordano, 565 F.2d at 1017-18</t>
  </si>
  <si>
    <t>Alsea Valley Alliance, 358 F.3d at 1184 (quoting Collord, 154 F.3d at 935).</t>
  </si>
  <si>
    <t>Collord, 154 F.3d at 935</t>
  </si>
  <si>
    <t>See supra note 68 and accompanying text (describing collateral-order doctrine’s three-part test); see also Borntrager v. Cent. States, Se. &amp; Sw. Areas Pension Fund, 425 F.3d 1087, 1091-92 (8th Cir. 2005) (describing similarity between Ninth Circuit test and collateral-order doctrine).</t>
  </si>
  <si>
    <t>supra note 68 and accompanying text</t>
  </si>
  <si>
    <t>Supra Note 68 and Accompanying Text</t>
  </si>
  <si>
    <t>Borntrager v. Cent. States, Se. &amp; Sw. Areas Pension Fund, 425 F.3d 1087, 1091-92 (8th Cir. 2005)</t>
  </si>
  <si>
    <t>Borntrager v Cent States</t>
  </si>
  <si>
    <t>See, e.g., Ctr. for Biological Diversity, 69 F.4th at 594; Alsea Valley Alliance, 358 F.3d at 1184.</t>
  </si>
  <si>
    <t>Ctr. for Biological Diversity, 69 F.4th at 594</t>
  </si>
  <si>
    <t>Arguably the “importance” requirement is implicit, and implicitly met, in the Ninth Circuit’s case law, if not also the Ninth Circuit’s requirement that a remand “forces an agency to apply a potentially erroneous rule.” Still, the Ninth Circuit does not require an explicit finding of legal “importance,” even though the Supreme Court has stressed that “importance” is, well, important. See Digital Equip. Corp., 511 U.S. at 878-79.</t>
  </si>
  <si>
    <t>Digital Equip. Corp., 511 U.S. at 878-79</t>
  </si>
  <si>
    <t>Alsea Valley Alliance, 358 F.3d at 1184; see also Collord, 154 F.3d at 935 (“On remand, the Board is required to determine the Collords’ eligibility for fees under the EAJA. If the district court's interpretation is erroneous, the remand will result in a wasted proceeding applying an erroneous rule of law.”); Stone, 722 F.2d at 467 (“The court recognized that if the court of appeals were to dismiss for lack of jurisdiction, the next proceeding would be the ALJ’s application of a possibly incorrect standard to the facts. If this standard were indeed wrong, the proceeding would be wasted.”).</t>
  </si>
  <si>
    <t>Sierra Forest Legacy v. Sherman, 646 F.3d 1161, 1175 (9th Cir. 2011) (choosing to ignore unreviewability requirement); see also United States v. U.S. Bd. of Water Comm’rs, 893 F.3d 578, 594 (9th Cir. 2018) (reiterating “considerations” language from Sierra Forest Legacy). But see Gallatin Wildlife Ass’n v. U.S. Forest Serv., 743 Fed. Appx. 753, 756 (9th Cir. 2018) (stating that “[w]e may treat a remand order as a final decision only if” the Ninth Circuit’s three criteria are met (emphasis added)). Sierra Forest Legacy’s repudiation of any firm test brings the Ninth Circuit closer than any other to the case-by-case balancing the Supreme Court established in Gillespie (and subsequently rejected). See supra notes 53-97 and accompanying text.</t>
  </si>
  <si>
    <t>Sierra Forest Legacy v. Sherman, 646 F.3d 1161, 1175 (9th Cir. 2011)</t>
  </si>
  <si>
    <t>Sierra Forest Legacy v Sherman</t>
  </si>
  <si>
    <t>United States v. U.S. Bd. of Water Comm’rs, 893 F.3d 578, 594 (9th Cir. 2018)</t>
  </si>
  <si>
    <t>United States v US Bd of Water Comm'rs</t>
  </si>
  <si>
    <t>Gallatin Wildlife Ass’n v. U.S. Forest Serv., 743 Fed. Appx. 753, 756 (9th Cir. 2018)</t>
  </si>
  <si>
    <t>Gallatin Wildlife Ass'n v US Forest Serv</t>
  </si>
  <si>
    <t>supra notes 53-97 and accompanying text</t>
  </si>
  <si>
    <t>Supra Notes 53-97 and Accompanying Text</t>
  </si>
  <si>
    <t>See, e.g., Nat’l Wildlife Fed’n v. Nat’l Marine Fisheries Serv., 886 F.3d 803, 816 (9th Cir. 2018) (“A remand order is ordinarily final only for purposes of a government appeal under 28 U.S.C. § 1291.”); Oregon Wild v. Bureau of Land Mgmt., 690 Fed. Appx. 987, 988 (9th Cir. 2017) (“When, as here, the agency subject to the remand order chooses not to appeal, private litigants generally cannot appeal the remand order.”); Alsea Valley Alliance, 358 F.3d at 1184 (“In previous cases, the remand orders we have recognized as satisfying this requirement [of unreviewability] have been uniform in one respect: all were challenged on appeal by an administrative agency. This is no mere coincidence. Rather, it underscores that only agencies compelled to refashion their own rules face the unique prospect of being deprived of review altogether.”).</t>
  </si>
  <si>
    <t>Nat’l Wildlife Fed’n v. Nat’l Marine Fisheries Serv., 886 F.3d 803, 816 (9th Cir. 2018)</t>
  </si>
  <si>
    <t>Nat'l Wildlife Fed'n v Nat'l Marine Fisheries Serv</t>
  </si>
  <si>
    <t>Oregon Wild v. Bureau of Land Mgmt., 690 Fed. Appx. 987, 988 (9th Cir. 2017)</t>
  </si>
  <si>
    <t>Oregon Wild v Bureau of Land MGMT</t>
  </si>
  <si>
    <t>See, e.g., Crow Indian Tribe v. United States, 965 F.3d 662, 676 (9th Cir. 2020) (private intervenor-defendants could appeal remand, in largest part because issue would later be unreviewable as to those parties (although agency also appealed)); U.S. Bd. of Water Comm’rs, 893 F.3d at 594-95 (nonprofit plaintiff could appeal remand to agency, although it mattered that another agency joined as an appellant); Sierra Forest Legacy, 646 F.3d at 1175 (nonprofit and state plaintiffs could appeal narrow remand that failed to address majority of plaintiffs’ claims, and where “the work of both the district court and the agency is complete”); Pauly, 348 F.3d at 1148 (plaintiff farmers could appeal remand because it left only ministerial action for agency to complete); Skagit Cnty., 80 F.3d at 384 (plaintiff Medicare provider could appeal remand where remand was “meaningless” because it could not provide the relief the provider sought). Many unpublished decisions are to the same effect. See, e.g., Neighbors Against Bison Slaughter v. Nat’l Park Serv., No. 21-35144, 2022 WL 1315302, *1 (9th Cir. May 3, 2022) (nonprofit plaintiffs could appeal remand because it “conclusively resolved Plaintiffs’ claim” and issue would be later be unreviewable (internal quotation marks omitted)).</t>
  </si>
  <si>
    <t>Crow Indian Tribe v. United States, 965 F.3d 662, 676 (9th Cir. 2020)</t>
  </si>
  <si>
    <t>Crow Indian Tribe v United States</t>
  </si>
  <si>
    <t>U.S. Bd. of Water Comm’rs, 893 F.3d at 594-95</t>
  </si>
  <si>
    <t>Sierra Forest Legacy, 646 F.3d at 1175</t>
  </si>
  <si>
    <t>Pauly, 348 F.3d at 1148</t>
  </si>
  <si>
    <t>Skagit Cnty., 80 F.3d at 384</t>
  </si>
  <si>
    <t>Skagit Cnty</t>
  </si>
  <si>
    <t>Neighbors Against Bison Slaughter v. Nat’l Park Serv., No. 21-35144, 2022 WL 1315302, *1 (9th Cir. May 3, 2022)</t>
  </si>
  <si>
    <t>Neighbors Against Bison Slaughter v Nat'l Park Serv</t>
  </si>
  <si>
    <t>See, e.g., Ctr. for Biological Diversity, 69 F.4th at 595 (proposed private intervenor-defendants could not appeal remand of decision granting rights-of-way because issue could be reviewed later); Zen Magnets, LLC v. Consumer Product Safety Comm’n, 968 F.3d 1156, 1165-66 (9th Cir. 2020) (Ninth Circuit lacked jurisdiction over portions of plaintiff’s cross-appeal from remand not covered by government’s appeal because unreviewability factor was absent); Nat’l Wildlife Fed’n, 886 F.3d at 816 (prior interim remand was not final as to plaintiffs because it was not “extremely narrow”); Pit River Tribe v. U.S. Forest Serv., 615 F.3d 1069, 1076 (9th Cir. 2010) (tribal and nonprofit plaintiffs could not appeal remand because review could be had later, even though remand essentially dismissed the case). Many unpublished decisions reach the same result. See, e.g., Montana Env’t Info. Ctr., 2023 WL 8166779, at *1 (intervenor-defendant mining company could not appeal remand to agency; separability and wasted proceeding criteria were met, but unreviewability criterion was not).</t>
  </si>
  <si>
    <t>Ctr. for Biological Diversity, 69 F.4th at 595</t>
  </si>
  <si>
    <t>Zen Magnets, LLC v. Consumer Product Safety Comm’n, 968 F.3d 1156, 1165-66 (9th Cir. 2020)</t>
  </si>
  <si>
    <t>Zen</t>
  </si>
  <si>
    <t>Nat’l Wildlife Fed’n, 886 F.3d at 816</t>
  </si>
  <si>
    <t>Pit River Tribe v. U.S. Forest Serv., 615 F.3d 1069, 1076 (9th Cir. 2010)</t>
  </si>
  <si>
    <t>Pit River Tribe v US Forest Serv</t>
  </si>
  <si>
    <t>Montana Env’t Info. Ctr., 2023 WL 8166779, at *1</t>
  </si>
  <si>
    <t>Nat’l Wildlife Fed’n, 886 F.3d at 816 (quoting Sierra Forest Legacy, 646 F.3d at 1175).</t>
  </si>
  <si>
    <t>Id. (quoting Pauly, 348 F.3d at 1148).</t>
  </si>
  <si>
    <t>Countless Ninth Circuit decisions allow appeals by agencies; I will cite just two of the most recent ones: Bair v. Cal. Dep’t of Transp., 982 F.3d 569, 577 (9th Cir. 2020) (conclusorily stating that, under Alsea Valley Alliance and other administrative-remand-rule cases, court had jurisdiction over appeal by California Department of Transportation of remand under National Environmental Policy Act); Crow Indian Tribe, 965 F.3d at 676 (U.S. Fish and Wildlife Service could appeal remand because a “remand of agency’s rulemaking is a final order as to the government and therefore appealable”).</t>
  </si>
  <si>
    <t>Bair v. Cal. Dep’t of Transp., 982 F.3d 569, 577 (9th Cir. 2020)</t>
  </si>
  <si>
    <t>Bair v Cal Dep't of Transp</t>
  </si>
  <si>
    <t>Crow Indian Tribe, 965 F.3d at 676</t>
  </si>
  <si>
    <t>The “same as it ever was” should need no attribution, but for anyone younger than Gen X: Talking Heads, Once in a Lifetime (Sire Records, 1981). The 2020 case is Crow Indian Tribe, 965 F.3d at 676 (holding that agency defendants could appeal “since, absent an appeal, the agency would not be able to obtain review of the remand ordering it to conduct further proceedings,” and non-agency intervenor-defendants could appeal under the Ninth Circuit’s three-factor test).</t>
  </si>
  <si>
    <t>See W. Energy All., 709 F.3d at 1049 (explaining that the practical-finality doctrine borrows concepts from but is “broader” than the collateral-order doctrine); Graham, 501 F.3d at 1158 (distinguishing practical-finality and collateral-order doctrines); Bender, 744 F.2d at 1427 (establishes balancing test apart from collateral-order doctrine to assess finality).</t>
  </si>
  <si>
    <t>W. Energy All., 709 F.3d at 1049</t>
  </si>
  <si>
    <t>W Energy Alliance</t>
  </si>
  <si>
    <t>Graham, 501 F.3d at 1158</t>
  </si>
  <si>
    <t>Graham</t>
  </si>
  <si>
    <t>Bender, 744 F.2d at 1427</t>
  </si>
  <si>
    <t>See, e.g., Bender, 744 F.2d at 1427-28 (holding that government’s appeal of remand was appealable under the practical-finality, but not the collateral-order, doctrine).</t>
  </si>
  <si>
    <t>That is, an appeal may lie from a remand in a case involving a challenge to an agency’s rule (legislative), or where the agency is acting as a party to an action (adversarial), rather than as a decision-making body (adjudicative). The “adversarial” category is the most confusing; the Tenth Circuit’s most illuminating discussion of it is in American Wild Horse Preservation Campaign v. Jewell, 847 F.3d 1174, 1185 (10th Cir. 2016). “Adjudicative” agency actions may still be subject to appeal, though far less frequently than “legislative” or “adversarial” ones.</t>
  </si>
  <si>
    <t>American Wild Horse Preservation Campaign v. Jewell, 847 F.3d 1174, 1185 (10th Cir. 2016)</t>
  </si>
  <si>
    <t>American Wild Horse Preservation Campaign v Jewell</t>
  </si>
  <si>
    <t>New Mexico Health Connections v. U.S. Dep’t of Health &amp; Human Servs., 946 F.3d 1138, 1158 &amp; n.17 (10th Cir. 2019); W. Energy All., 709 F.3d at 1049-50.</t>
  </si>
  <si>
    <t>New Mexico Health Connections v. U.S. Dep’t of Health &amp; Human Servs., 946 F.3d 1138, 1158 &amp; n.17 (10th Cir. 2019)</t>
  </si>
  <si>
    <t>New Mexico Health Connections v US Dep't of Health and Human Servs</t>
  </si>
  <si>
    <t>W. Energy All., 709 F.3d at 1049-50</t>
  </si>
  <si>
    <t>See Rocky Mtn. Wild v. Dallas, 98 F.4th 1263, 1282-86 &amp; n.4 (10th Cir. 2024) (applying these criteria to hold that remand to federal agencies of land-management decision and endangered species biological opinion was appealable by agencies (and by intervenor-defendant under pendent jurisdiction)); New Mexico Health Connections, 946 F.3d at 1158 &amp; n.17 (administrative-remand rule did not apply because relevant agency decision was legislative and district-court order did not require further administrative proceedings, but even if rule did apply, order was appealable by agency because it satisfied relevant criteria); Miami Tribe of Okla., 656 F.3d at 1140 (prior remand would not have been appealable by agency because it contemplated further district court proceedings); Trout Unlimited v. U.S. Dep’t of Agric., 441 F.3d 1214, 1218-19 (10th Cir. 2006) (describing “urgent and important test,” to be followed by Bender balancing test, and under them concluding that remand of water-storage permit was not final as to intervenor-defendants); Baca-Prieto, 95 F.3d at 1008-09 (citing early version of these tests, and Tenth Circuit’s special consideration of remands in administrative-agency context, to hold that Immigration and Nationalization Service could appeal remand requiring it to grant habeas relief).</t>
  </si>
  <si>
    <t>Rocky MTN Wild v Dallas</t>
  </si>
  <si>
    <t>New Mexico Health Connections, 946 F.3d at 1158 &amp; n.17</t>
  </si>
  <si>
    <t>Miami Tribe of Okla., 656 F.3d at 1140</t>
  </si>
  <si>
    <t>Trout Unlimited v. U.S. Dep’t of Agric., 441 F.3d 1214, 1218-19 (10th Cir. 2006)</t>
  </si>
  <si>
    <t>Trout Unlimited v US Dep't of Agric</t>
  </si>
  <si>
    <t>Baca-Prieto, 95 F.3d at 1008-09</t>
  </si>
  <si>
    <t>See Merit Energy Co., LLC v. Haaland, Nos. 21-8047 and 21-8048, 2022 WL 17844513, *4 (10th Cir. 2022) (administrative-remand rule did not bar plaintiffs’ appeal of remand because relevant agency decision was “quasi-legislative” or adversarial, and the remand effectively ended the litigation); Am. Wild Horse Pres. Campaign, 847 F.3d at 1184-85 (plaintiff could appeal remand because agency decision was adversarial). Compare, e.g., Cotton Petroleum Corp., 870 F.2d at 1522 (applying Bender test to allow appeal of remand by plaintiffs) with, e.g., W. Energy Alliance v. Salazar, 709 F.3d 1040, 1049-51 (10th Cir. 2013) (remand of land-use plan not final as to plaintiffs because “importance” and “urgency” criteria unmet); S. Utah Wilderness Alliance v. Kempthorne, 525 F.3d 966, 970 (10th Cir. 2008) (remand of decision approving oil and gas leases on public lands not final as to proposed intervenor-defendant lessees because “importance” and “urgency” criteria were unmet); Rocky Mtn. Wild v. Dallas, Nos. 17-1366 and 17-1413, 2018 WL 11225766, *4-5 (10th Cir. 2018) (remand to U.S. Forest Service not final as to intervenor-defendants); Dine Citizens Against Ruining Our Env’t v. Klein, 439 Fed. Appx. 679, 681-82 (10th Cir. 2011) (remand of decision granting application to revise mining plan not final as to intervenor-defendant mining company; issue “important” but not “urgent” and could be reviewed later).</t>
  </si>
  <si>
    <t>Merit Energy Co., LLC v. Haaland, Nos. 21-8047 and 21-8048, 2022 WL 17844513, *4 (10th Cir. 2022)</t>
  </si>
  <si>
    <t>Merit</t>
  </si>
  <si>
    <t>Am. Wild Horse Pres. Campaign, 847 F.3d at 1184-85</t>
  </si>
  <si>
    <t>Cotton Petroleum Corp., 870 F.2d at 1522</t>
  </si>
  <si>
    <t>W. Energy Alliance v. Salazar, 709 F.3d 1040, 1049-51 (10th Cir. 2013)</t>
  </si>
  <si>
    <t>S. Utah Wilderness Alliance v. Kempthorne, 525 F.3d 966, 970 (10th Cir. 2008)</t>
  </si>
  <si>
    <t>S Utah Wilderness Alliance v Kempthorne</t>
  </si>
  <si>
    <t>Rocky Mtn. Wild v. Dallas, Nos. 17-1366 and 17-1413, 2018 WL 11225766, *4-5 (10th Cir. 2018)</t>
  </si>
  <si>
    <t>Rocky MTN Unpublished</t>
  </si>
  <si>
    <t>Dine Citizens Against Ruining Our Env’t v. Klein, 439 Fed. Appx. 679, 681-82 (10th Cir. 2011)</t>
  </si>
  <si>
    <t>Dine Citizens Against Ruining Our Env't v Klein</t>
  </si>
  <si>
    <t>See, e.g., World Fuel Corp., 568 F.3d at 1349 (Office of Foreign Assets Control in Treasury Department could not appeal remand directing it to develop new legal standard, which is distinct from imposing a specific legal standard); MCI Telecomms. Corp. v. BellSouth Telecomms. Corp., 298 F.3d 1269, 1271 (11th Cir. 2002) (per curiam) (state public service commission could appeal remand that imposed specific interpretation of federal law). Earlier cases relied on more mixed rationales. See, e.g., Pierre, 825 F.2d at 1504 (INS could appeal remand to reconsider asylum application because only ministerial action was required); Huie, 788 F.2d at 701-03 (agency could appeal remand under collateral-order doctrine criteria).</t>
  </si>
  <si>
    <t>World Fuel Corp., 568 F.3d at 1349</t>
  </si>
  <si>
    <t>MCI Telecomms. Corp. v. BellSouth Telecomms. Corp., 298 F.3d 1269, 1271 (11th Cir. 2002) (per curiam)</t>
  </si>
  <si>
    <t>Mci Telecomms Corp v Bellsouth Telecomms Corp</t>
  </si>
  <si>
    <t>Pierre, 825 F.2d at 1504</t>
  </si>
  <si>
    <t>Huie, 788 F.2d at 701-03</t>
  </si>
  <si>
    <t>See, e.g., Fla. Wildlife Fed’n, Inc. v. Adm’r, U.S. Env’t Prot. Agency, 737 F.3d 689, 694 (11th Cir. 2013) (per curiam) (environmental NGO plaintiffs could not appeal remand that “simply requires an agency to engage in fresh rulemaking based on the evidence, or to explain why a new rulemaking was not necessary”).</t>
  </si>
  <si>
    <t>Fla. Wildlife Fed’n, Inc. v. Adm’r, U.S. Env’t Prot. Agency, 737 F.3d 689, 694 (11th Cir. 2013) (per curiam)</t>
  </si>
  <si>
    <t>Fla</t>
  </si>
  <si>
    <t>MCI Telecomms. Corp., 298 F.3d at 1271. Note that the court permitted both a state agency defendant and a private defendant to appeal a remand in this case, though without discussion as to the private defendant. Id. at 1272.</t>
  </si>
  <si>
    <t>MCI Telecomms. Corp., 298 F.3d at 1271</t>
  </si>
  <si>
    <t>Id. at 1272</t>
  </si>
  <si>
    <t>See World Fuel Corp., 568 F.3d at 1349 (agency could not appeal remand directing it to develop new legal standard, reasoning that developing a new legal standard is distinct from imposing an existing one).</t>
  </si>
  <si>
    <t>See supra notes 145-146, 174-176 and accompanying text.</t>
  </si>
  <si>
    <t>supra notes 145-146, 174-176 and accompanying text</t>
  </si>
  <si>
    <t>Supra Notes 145-146</t>
  </si>
  <si>
    <t>See, e.g., Sierra Club, 716 F.3d at 656-57 (D.C. Circuit); Izaak Walton League of Am., 558 F.3d at 763 (Eighth Circuit); Trout Unlimited, 441 F.3d at 1218-19 (Tenth Circuit).</t>
  </si>
  <si>
    <t>Sierra Club, 716 F.3d at 656-57 (D.C. Circuit)</t>
  </si>
  <si>
    <t>Izaak Walton League of Am., 558 F.3d at 763 (Eighth Circuit)</t>
  </si>
  <si>
    <t>Trout Unlimited, 441 F.3d at 1218-19 (Tenth Circuit)</t>
  </si>
  <si>
    <t>See, e.g., Cherokee Nation v. Bernhardt, 936 F.3d 1142, 1152 (10th Cir. 2019) (allowing appeal by intervenor-defendant tribe where agency also appealed). Even when they do so, the courts often still evaluate whether the remand is appealable by intervenors. See, e.g., Crow Indian Tribe, 965 F.3d at 676 (court had jurisdiction to consider intervenor-defendants’ appeal of remand on issue not covered by agency appeal because issue was “conclusively determined by the district court and cannot be taken into account in the [agency] proceedings on remand”). And the courts are careful to limit their review to the issues the agency raises. See, e.g., Zen Magnets, LLC, 968 F.3d at 1165-66 (holding Ninth Circuit lacked jurisdiction over those portions of plaintiff’s cross-appeal of remand that were not covered by government’s appeal because later-unreviewability factor was absent).</t>
  </si>
  <si>
    <t>Cherokee Nation v. Bernhardt, 936 F.3d 1142, 1152 (10th Cir. 2019)</t>
  </si>
  <si>
    <t>Cherokee Nation v Bernhardt</t>
  </si>
  <si>
    <t>Zen Magnets, LLC, 968 F.3d at 1165-66</t>
  </si>
  <si>
    <t>See supra note 165 and accompanying text.</t>
  </si>
  <si>
    <t>supra note 165 and accompanying text</t>
  </si>
  <si>
    <t>Supra Note 165 and Accompanying Text</t>
  </si>
  <si>
    <t>See, e.g., Pauly, 348 F.3d at 1148 (holding plaintiff farmers could appeal remand to Department of Agriculture because it left only ministerial action for agency to complete); Koyo Seiko Co., 95 F.3d at 1097 (remanding to agency to fix “two computer programming errors” required only ministerial action, and so was appealable by plaintiff); see also 15B Fed. Prac. &amp; Proc. Juris. § 3914.32 (“Appeal also may be available on final judgment theory if the remand leaves nothing for the agency to do but complete a ministerial function.”).</t>
  </si>
  <si>
    <t>Koyo Seiko Co., 95 F.3d at 1097</t>
  </si>
  <si>
    <t>Probably before now I should have offered this possible defense of the Ninth Circuit’s variance (trenchantly raised by the intrepid editors of the Stanford Law Review): Apart from the D.C. Circuit, the Ninth Circuit sees more APA cases than any other circuit. See Administrative Office of the U.S. Courts, Table C-3—U.S. District Courts—Civil Cases Filed, by Jurisdiction, Nature of Suit, and District (12 months ending June 30, 2025) (downloadable .xlsx), https://www.uscourts.gov/data-news/reports/statistical-reports/statistical-tables-federal-judiciary/statistical-tables-federal-judiciary-june-2025?utm_source=chatgpt.com (author calculations aggregating APA cases across districts within each circuit). More occasions to apply (or not) the administrative-remand rule could mean greater variance in outcomes. A future empirical analysis could compare the number of non-agency appeals of APA remands, and the number of such appeals permitted, across the circuits.</t>
  </si>
  <si>
    <t>Administrative Office of the U.S. Courts, Table C-3—U.S. District Courts—Civil Cases Filed, by Jurisdiction, Nature of Suit, and District (12 months ending June 30, 2025) (downloadable .xlsx), https://www.uscourts.gov/data-news/reports/statistical-reports/statistical-tables-federal-judiciary/statistical-tables-federal-judiciary-june-2025?utm_source=chatgpt.com</t>
  </si>
  <si>
    <t>Administrative Office</t>
  </si>
  <si>
    <t>See Pauly, 348 F.3d at 1148 (holding plaintiff farmers could appeal remand to Department of Agriculture solely because it left only ministerial action for agency to complete); Chang v. United States, 327 F.3d 911, 925 (9th Cir. 2003) (allowing appeal by plaintiff solely because of risk of wasted proceeding (the agency also appealed)); Skagit Cnty., 80 F.3d at 384 (same).</t>
  </si>
  <si>
    <t>Chang v. United States, 327 F.3d 911, 925 (9th Cir. 2003)</t>
  </si>
  <si>
    <t>Chang v United States</t>
  </si>
  <si>
    <t>Sierra Forest Legacy, 646 F.3d at 1176. I discuss these and similar Ninth Circuit cases infra notes 227-251, 263-270 and accompanying text.</t>
  </si>
  <si>
    <t>Sierra Forest Legacy, 646 F.3d at 1176</t>
  </si>
  <si>
    <t>Lammon, supra note 13, 93 Wash. L. Rev. at 1836.</t>
  </si>
  <si>
    <t>Lammon, supra note 13, 93 Wash. L. Rev. at 1836</t>
  </si>
  <si>
    <t>Compare Friends of Hope Valley, 203 Fed. Appx. at 883 with Sierra Forest Legacy, 646 F.3d at 1175-76, and Bitterroot Ridge Runners Snowmobile Club, 833 Fed. Appx. at 90; see also infra notes 227-251, 263-270 and accompanying text (discussing these and other cases).</t>
  </si>
  <si>
    <t>Sierra Forest Legacy, 646 F.3d at 1175-76</t>
  </si>
  <si>
    <t>Bitterroot Ridge Runners Snowmobile Club, 833 Fed. Appx. at 90</t>
  </si>
  <si>
    <t>Bitterroot</t>
  </si>
  <si>
    <t>infra notes 227-251, 263-270 and accompanying text</t>
  </si>
  <si>
    <t>Infra Notes 227-251</t>
  </si>
  <si>
    <t>See, e.g., In re Long-Distance Tele. Serv. Fed. Excise Tax Refund Litig., 751 F.3d at 633 (D.C. Circuit stating that the administrative-remand rule “is not absolute,” and allowing appeal by plaintiffs despite that court’s long precedent denying such appeals). Interestingly, the Tenth Circuit has gone the other direction—pretty early on allowing appeals by plaintiffs in Cotton Petroleum Corp., 870 F.2d at 1522, but restricting appeals by non-agency parties in later cases, see, e.g., W. Energy Alliance, 709 F.3d at 1049-51; Stubblefield v. Windsor Cap. Grp., 74 F.3d 990, 996 (10th Cir. 1996); Boughton v. Cotter Corp., 10 F.3d 746, 752 (10th Cir. 1993)); see also supra notes 176-177 and accompanying text (discussing when Tenth Circuit allows non-agency appeals).</t>
  </si>
  <si>
    <t>W. Energy Alliance, 709 F.3d at 1049-51</t>
  </si>
  <si>
    <t>Stubblefield v. Windsor Cap. Grp., 74 F.3d 990, 996 (10th Cir. 1996)</t>
  </si>
  <si>
    <t>Stubblefield v Windsor Cap GRP</t>
  </si>
  <si>
    <t>Boughton v. Cotter Corp., 10 F.3d 746, 752 (10th Cir. 1993)</t>
  </si>
  <si>
    <t>Boughton v Cotter Corp</t>
  </si>
  <si>
    <t>supra notes 176-177 and accompanying text</t>
  </si>
  <si>
    <t>Supra Notes 176-177 and Accompanying Text</t>
  </si>
  <si>
    <t>See Bruce Johnsen &amp; Moin A. Yahya, “The Evolution of Sherman Act Jurisdiction: A Roadmap for Competitive Federalism,” 7 U. Pa. J. Const. L. 403, 460 (2004) (“Regulatory statutes inject sudden uncertainty into a common law judicial system based on stare decisis, which is ideally suited to incremental adjustments in response to changing circumstances. Absent established precedent or clear understanding of the statute's objective, a common law system begins a slow iterative process of case-by-case adjudication to resolve the uncertainty.”).</t>
  </si>
  <si>
    <t>Bruce Johnsen &amp; Moin A. Yahya, “The Evolution of Sherman Act Jurisdiction: A Roadmap for Competitive Federalism,” 7 U. Pa. J. Const. L. 403, 460 (2004)</t>
  </si>
  <si>
    <t>Johnsen</t>
  </si>
  <si>
    <t>See supra Part I.B; Lammon, supra note 13, 51 U. Rich. L. Rev. at 373-74 (“[T]he balancing approach’s persistence—in the face of the Supreme Court seemingly burying it—suggests that appellate judges cannot resist approaching their jurisdiction with some flexibility.”); see also id. at 411-12 (discussing this tendency in more detail).</t>
  </si>
  <si>
    <t>supra Part I.B</t>
  </si>
  <si>
    <t>id. at 411-12</t>
  </si>
  <si>
    <t>See supra Part I.B.</t>
  </si>
  <si>
    <t>The circuits have described, and usually defended, this “asymmetry.” See, e.g., Rocky Mtn. Wild, 2018 WL 11225766, at *3; Sierra Club, 716 F.3d at 656-57; Nat’l Air Traffic Controllers Ass’n, 2007 WL 2141941, at *2; Lake Pilots Ass’n, 359 F.3d at 625; Occidental Petroleum Corp., 873 F.2d at 331-32; see also Bhd. of Maint. of Way Emps., 864 F.2d at 287 (Third Circuit adhering to that court’s traditional administrative-remand rule but making plain its discomfort “with leaving in place without review a district-court order which on its face appears to be in stark violation of the principle of limited judicial review of arbitration orders”).</t>
  </si>
  <si>
    <t>Rocky Mtn. Wild, 2018 WL 11225766, at *3</t>
  </si>
  <si>
    <t>Sierra Club, 716 F.3d at 656-57</t>
  </si>
  <si>
    <t>Nat’l Air Traffic Controllers Ass’n, 2007 WL 2141941, at *2</t>
  </si>
  <si>
    <t>Lake Pilots Ass’n, 359 F.3d at 625</t>
  </si>
  <si>
    <t>Bhd. of Maint. of Way Emps., 864 F.2d at 287</t>
  </si>
  <si>
    <t>See, e.g., Robert L. Rabin, Federal Regulation in Historical Perspective, 38 Stan. L. Rev. 1189, 1194 (1986); Linda R. Cohen &amp; Matthew L. Spitzer, Judicial Deference to Agency Action: A Rational Choice Theory and an Empirical Test, 69 S. Cal. L. Rev. 431, 474-75 (1996); see also Matthew C. Stephenson, Mixed Signals: Reconsidering the Political Economy of Judicial Deference to Administrative Agencies, 56 Admin. L. Rev. 657 (2004) (critiquing Cohen and Spitzer’s conclusions but underscoring their assessment of changes in judicial deference over time).</t>
  </si>
  <si>
    <t>Robert L. Rabin, Federal Regulation in Historical Perspective, 38 Stan. L. Rev. 1189, 1194 (1986)</t>
  </si>
  <si>
    <t>Rabin</t>
  </si>
  <si>
    <t>Linda R. Cohen &amp; Matthew L. Spitzer, Judicial Deference to Agency Action: A Rational Choice Theory and an Empirical Test, 69 S. Cal. L. Rev. 431, 474-75 (1996)</t>
  </si>
  <si>
    <t>Spitzer</t>
  </si>
  <si>
    <t>Matthew C. Stephenson, Mixed Signals: Reconsidering the Political Economy of Judicial Deference to Administrative Agencies, 56 Admin. L. Rev. 657 (2004)</t>
  </si>
  <si>
    <t>Stephenson</t>
  </si>
  <si>
    <t>Developments in the Law—Presidential Authority, V. Executive Appointments, supra note 11, at 2138. There is a rich literature critiquing, and critiquing the critiques of, the current administrative state. See, e.g., Joseph Postell, Does American History Legitimize the Administrative State?, 36 Regent U.L. Rev. 321, 326-39 (2024); Jon D. Michaels, Constitutional Coup: Privatization’s Threat to the American Republic, 143-230 (Harv. Univ. Press 2017); Ilan Wurman, Constitutional Administration, 69 Stan. L. Rev. 359, 364-81 (2017); David Freeman Engstrom, Corralling Capture, 36 Harv. J.L. &amp; Pub. Pol’y 31, 31-39 (2013); C. Boyden Gray, Congressional Abdication: Delegation Without Detail and Without Waiver, 36 Harv. J.L. &amp; Pub. Pol’y 41, 43 (2013).</t>
  </si>
  <si>
    <t>Developments in the Law—Presidential Authority, V. Executive Appointments, supra note 11, at 2138</t>
  </si>
  <si>
    <t>Joseph Postell, Does American History Legitimize the Administrative State?, 36 Regent U.L. Rev. 321, 326-39 (2024)</t>
  </si>
  <si>
    <t>Postell</t>
  </si>
  <si>
    <t>Jon D. Michaels, Constitutional Coup: Privatization’s Threat to the American Republic, 143-230 (Harv. Univ. Press 2017)</t>
  </si>
  <si>
    <t>Ilan Wurman, Constitutional Administration, 69 Stan. L. Rev. 359, 364-81 (2017)</t>
  </si>
  <si>
    <t>Ilan</t>
  </si>
  <si>
    <t>David Freeman Engstrom, Corralling Capture, 36 Harv. J.L. &amp; Pub. Pol’y 31, 31-39 (2013)</t>
  </si>
  <si>
    <t>Freeman</t>
  </si>
  <si>
    <t>C. Boyden Gray, Congressional Abdication: Delegation Without Detail and Without Waiver, 36 Harv. J.L. &amp; Pub. Pol’y 41, 43 (2013)</t>
  </si>
  <si>
    <t>Boyden</t>
  </si>
  <si>
    <t>See, e.g., Austin Vertesch, “Poseidon’s Executive: How the Unitary Executive Theory Could Impact Coastal Fisheries,” 15 Ariz. J. Envtl. L. &amp; Pol’y 198, 200 (2025) (“While the speed and breadth of [the administration’s early] actions have caught many off guard, for years high-ranking members of this administration have signaled their intentions to demolish the administrative state and radically reshape the federal government.”); see also infra notes 273-277 and accompanying text (discussing recent Supreme Court decisions curtailing administrative-agency power).</t>
  </si>
  <si>
    <t>Austin Vertesch, “Poseidon’s Executive: How the Unitary Executive Theory Could Impact Coastal Fisheries,” 15 Ariz. J. Envtl. L. &amp; Pol’y 198, 200 (2025)</t>
  </si>
  <si>
    <t>Vertesch</t>
  </si>
  <si>
    <t>infra notes 273-277 and accompanying text</t>
  </si>
  <si>
    <t>Infra Notes 273-277 and Accompanying Text</t>
  </si>
  <si>
    <t>Rachel E. Barkow, The Ascent of the Administrative State and the Demise of Mercy, 121 Harv. L. Rev. 1332, 1336 (2008); see also Bagley, supra note 30, at 315 (“Judges of whatever political stripe are acculturated into a legal community that views the administrative state as a leviathan that can be tamed only through zealous judicial oversight.”); M. Elizabeth Magill, Agency Choice of Policymaking Form, 71 U. Chi. L. Rev. 1383, 1413 (2004) (“The dominant narrative of modern administrative law casts judges as key players who help tame, and thereby legitimate, the exercise of administrative power.”).</t>
  </si>
  <si>
    <t>Rachel E. Barkow, The Ascent of the Administrative State and the Demise of Mercy, 121 Harv. L. Rev. 1332, 1336 (2008)</t>
  </si>
  <si>
    <t>Barkow</t>
  </si>
  <si>
    <t>Bagley, supra note 30, at 315</t>
  </si>
  <si>
    <t>M. Elizabeth Magill, Agency Choice of Policymaking Form, 71 U. Chi. L. Rev. 1383, 1413 (2004)</t>
  </si>
  <si>
    <t>M</t>
  </si>
  <si>
    <t>Daniel A. Farber &amp; Anne Joseph O’Connell, The Lost World of Administrative Law, 92 Tex. L. Rev. 1137, 1143, 1170-71 (2014); Barkow, supra note 202, at 1336.</t>
  </si>
  <si>
    <t>Daniel A. Farber &amp; Anne Joseph O’Connell, The Lost World of Administrative Law, 92 Tex. L. Rev. 1137, 1143, 1170-71 (2014)</t>
  </si>
  <si>
    <t>Farber</t>
  </si>
  <si>
    <t>Barkow, supra note 202, at 1336</t>
  </si>
  <si>
    <t>Barkow, supra note 202, at 1355-58. Professor Bagley similarly explains that “[n]o longer episodic and unusual, judicial review [under the APA] became the norm—and it has stayed the norm. Indeed, it is fair to say that the necessity of robust judicial review has hardened into an infrequently challenged convention of administrative law.” Bagley, supra note 30, at 261.</t>
  </si>
  <si>
    <t>Barkow, supra note 202, at 1355-58</t>
  </si>
  <si>
    <t>Bagley, supra note 30, at 261</t>
  </si>
  <si>
    <t>See, e.g., John Prusak, Exclusive: 2022 Snowmobile Sales Data Shows Winners, Losers, SnowGoer (June 13, 2022) (displaying chart of national snowmobile use between 1980 and 2022, with a peak in the 1990s), https://snowgoer.com/latest-news/exclusive-2022-snowmobile-sales-data-shows-winners-losers/30784/; Hilary Eisen, Winter Wildlands Alliance, Winter Recreation on National Forest Lands, 2-3, 20 (June 2015) (discussing changes in snowmobile technology in 1990s that increased snowmobiles’ popularity, especially on National Forest System lands, and showing current snowmobile visits per year in the Lake Tahoe Basin), https://winterwildlands.org/wp-content/uploads/2015/06/2015-Winter-Rec-Report.pdf.</t>
  </si>
  <si>
    <t>John Prusak, Exclusive: 2022 Snowmobile Sales Data Shows Winners, Losers, SnowGoer (June 13, 2022) (displaying chart of national snowmobile use between 1980 and 2022, with a peak in the 1990s), https://snowgoer.com/latest-news/exclusive-2022-snowmobile-sales-data-shows-winners-losers/30784/</t>
  </si>
  <si>
    <t>Prusak</t>
  </si>
  <si>
    <t>Hilary Eisen, Winter Wildlands Alliance, Winter Recreation on National Forest Lands, 2-3, 20 (June 2015) (discussing changes in snowmobile technology in 1990s that increased snowmobiles’ popularity, especially on National Forest System lands, and showing current snowmobile visits per year in the Lake Tahoe Basin), https://winterwildlands.org/wp-content/uploads/2015/06/2015-Winter-Rec-Report.pdf</t>
  </si>
  <si>
    <t>Hilary</t>
  </si>
  <si>
    <t>Memorandum of Opinion and Order, Friends of Hope Valley v. U.S. Forest Serv., No. 2:00-cv-01900-DFL-KJM, 1-2 (E.D. Cal. Sept. 30, 2004); Christopher Reynolds, “A line in the snow,” Los Angeles Times (Feb. 8, 2005), https://www.latimes.com/science/la-os-snowmobile8feb08-story.html. Travel maps designate the areas of a given national forest that are suitable for specific uses, such as cross-country skiing and snowmobiling, and establish restrictions on those uses. See U.S. Forest Service, “Interactive Travel Map,” https://www.fs.usda.gov/recreation/programs/ohv/ (last modified June 10, 2022). For the Carson Ranger District’s current winter recreation travel map, see https://www.fs.usda.gov/Internet/FSE_DOCUMENTS/fseprd602655.pdf (2010).</t>
  </si>
  <si>
    <t>Memorandum of Opinion and Order, Friends of Hope Valley v. U.S. Forest Serv., No. 2:00-cv-01900-DFL-KJM, 1-2 (E.D. Cal. Sept. 30, 2004)</t>
  </si>
  <si>
    <t>Memorandum of Opinion and Order, Friends of Hope Valley v. U.S. Forest Serv., No. 2:00-cv-01900-DFL-KJM, 1-2 (E.D. Cal. Sept. 30, 2004).</t>
  </si>
  <si>
    <t>Id. at 2.</t>
  </si>
  <si>
    <t>Id. at 2</t>
  </si>
  <si>
    <t>Associated Press, “Latest snowmobile debate centers on small California road,” Tahoe Daily Tribune (Dec. 25, 2001), https://www.tahoedailytribune.com/news/latest-snowmobile-debate-centers-on-small-california-road/.</t>
  </si>
  <si>
    <t>Associated Press, “Latest snowmobile debate centers on small California road,” Tahoe Daily Tribune (Dec. 25, 2001), https://www.tahoedailytribune.com/news/latest-snowmobile-debate-centers-on-small-california-road/</t>
  </si>
  <si>
    <t>Associated</t>
  </si>
  <si>
    <t>42 U.S.C. § 4321 et seq.</t>
  </si>
  <si>
    <t>42 USC 4321</t>
  </si>
  <si>
    <t>Complaint for Declaratory and Injunctive Relief, Friends of Hope Valley v. U.S. Forest Serv., E.D. Cal. No. 2:00-cv-01900-DFL-KJM, 16-17 (Sept. 1, 2000); Memorandum of Opinion and Order, Friends of Hope Valley v. U.S. Forest Serv., No. 2:00-cv-01900-DFL-KJM, 6 (E.D. Cal. Sept. 30, 2004).</t>
  </si>
  <si>
    <t>Complaint for Declaratory and Injunctive Relief, Friends of Hope Valley v. U.S. Forest Serv., E.D. Cal. No. 2:00-cv-01900-DFL-KJM, 16-17 (Sept. 1, 2000)</t>
  </si>
  <si>
    <t>Complaint</t>
  </si>
  <si>
    <t>Another ground was a more obvious one: that the Friends were the prevailing parties and therefore lacked standing to appeal. I discuss this issue more fully infra notes 244-250 and accompanying text.</t>
  </si>
  <si>
    <t>infra notes 244-250 and accompanying text</t>
  </si>
  <si>
    <t>Infra Notes 244-250 and Accompanying Text</t>
  </si>
  <si>
    <t>Brief of the Federal Appellee, Friends of Hope Valley v. U.S. Forest Serv., No. 04-17376, 2005 WL 4120955, at *11-16 (Nov. 1, 2005).</t>
  </si>
  <si>
    <t>Brief of the Federal Appellee, Friends of Hope Valley v. U.S. Forest Serv., No. 04-17376, 2005 WL 4120955, at *11-16 (Nov. 1, 2005)</t>
  </si>
  <si>
    <t>Brief</t>
  </si>
  <si>
    <t>Friends of Hope Valley, 203 Fed. Appx. at 883.</t>
  </si>
  <si>
    <t>U.S. Forest Service, Humboldt-Toiyabe National Forest, Carson Ranger District, Decision Notice and Finding of No Significant Impact, 1 (Aug. 2007) (on file with the agency and author). Specifically, the Forest Service considered a larger area, hired a consultant, collaborated with local government, and prepared a new environmental review. Id.</t>
  </si>
  <si>
    <t>U.S. Forest Service, Humboldt-Toiyabe National Forest, Carson Ranger District, Decision Notice and Finding of No Significant Impact, 1 (Aug. 2007) (on file with the agency and author)</t>
  </si>
  <si>
    <t>FONSI</t>
  </si>
  <si>
    <t>Id. at 4-5; see also Sean McAlindin, “The debate over snowmobile access; Forest Service eye plans on snowmobiles,” Tahoe Guide (Dec. 5, 2018), https://yourtahoeguide.com/2018/12/the-debate-over-snowmobile-access-forest-service-eye-plans-on-snowmobiles/.</t>
  </si>
  <si>
    <t>Id. at 4-5</t>
  </si>
  <si>
    <t>U.S. Forest Service, Humboldt-Toiyabe National Forest, Carson Ranger District, Decision Notice and Finding of No Significant Impact, 4-5 (Aug. 2007); Friends of Hope Valley, Friends of Hope Valley Newsletter, 1 (Spring 2008), https://www.friendsofhopevalley.org/2008newsletterweb.pdf.</t>
  </si>
  <si>
    <t>U.S. Forest Service, Humboldt-Toiyabe National Forest, Carson Ranger District, Decision Notice and Finding of No Significant Impact, 4-5 (Aug. 2007)</t>
  </si>
  <si>
    <r>
      <rPr>
        <rFont val="Arial"/>
        <color rgb="FF000000"/>
        <sz val="12.0"/>
      </rPr>
      <t xml:space="preserve">Friends of Hope Valley, Friends of Hope Valley Newsletter, 1 (Spring 2008), </t>
    </r>
    <r>
      <rPr>
        <rFont val="Arial"/>
        <color rgb="FF1155CC"/>
        <sz val="12.0"/>
        <u/>
      </rPr>
      <t>https://www.friendsofhopevalley.org/2008newsletterweb.pdf</t>
    </r>
  </si>
  <si>
    <t>Friends 2008</t>
  </si>
  <si>
    <r>
      <rPr>
        <rFont val="Arial"/>
        <color rgb="FF000000"/>
        <sz val="12.0"/>
      </rPr>
      <t xml:space="preserve">Friends of Hope Valley, Friends of Hope Valley Newsletter, 1 (Winter 2007), </t>
    </r>
    <r>
      <rPr>
        <rFont val="Arial"/>
        <color rgb="FF1155CC"/>
        <sz val="12.0"/>
        <u/>
      </rPr>
      <t>https://www.friendsofhopevalley.org/news07_winter.pdf</t>
    </r>
    <r>
      <rPr>
        <rFont val="Arial"/>
        <color rgb="FF000000"/>
        <sz val="12.0"/>
      </rPr>
      <t xml:space="preserve">; Friends of Hope Valley, Friends of Hope Valley Newsletter, 1 (Spring 2008), </t>
    </r>
    <r>
      <rPr>
        <rFont val="Arial"/>
        <color rgb="FF1155CC"/>
        <sz val="12.0"/>
        <u/>
      </rPr>
      <t>https://www.friendsofhopevalley.org/2008newsletterweb.pdf.</t>
    </r>
  </si>
  <si>
    <t>Friends of Hope Valley, Friends of Hope Valley Newsletter, 1 (Winter 2007), https://www.friendsofhopevalley.org/news07_winter.pdf</t>
  </si>
  <si>
    <t>Friends 2007</t>
  </si>
  <si>
    <r>
      <rPr>
        <rFont val="Arial"/>
        <color rgb="FF000000"/>
        <sz val="12.0"/>
      </rPr>
      <t xml:space="preserve">Friends of Hope Valley, Friends of Hope Valley Newsletter, 1 (Spring 2008), </t>
    </r>
    <r>
      <rPr>
        <rFont val="Arial"/>
        <color rgb="FF1155CC"/>
        <sz val="12.0"/>
        <u/>
      </rPr>
      <t>https://www.friendsofhopevalley.org/2008newsletterweb.pdf</t>
    </r>
  </si>
  <si>
    <t>See https://www.fs.usda.gov/Internet/FSE_DOCUMENTS/stelprdb5294291.pdf.</t>
  </si>
  <si>
    <t>https://www.fs.usda.gov/Internet/FSE_DOCUMENTS/stelprdb5294291.pdf</t>
  </si>
  <si>
    <t>USDA</t>
  </si>
  <si>
    <t>See supra notes 184-185 and accompanying text.</t>
  </si>
  <si>
    <t>supra notes 184-185 and accompanying text</t>
  </si>
  <si>
    <t>Supra Notes 184-185 and Accompanying Text</t>
  </si>
  <si>
    <t>See also Bagley, supra note 30, at 302-07 (discussing such cases). As one of countless examples from my own experience, in 2015, the U.S. Fish &amp; Wildlife Service withdrew a proposal to list the bi-state sage grouse for protection under the federal Endangered Species Act. A group of conservation organizations (my clients) sued and won. On remand, the agency issued precisely the same decision. See Desert Survivors v. United States Dep’t of the Interior, No. 20-CV-06787-JSC, 2022 WL 1539530, at *2 (N.D. Cal. May 16, 2022).</t>
  </si>
  <si>
    <t>Bagley, supra note 30, at 302-07</t>
  </si>
  <si>
    <t>Desert Survivors v. United States Dep’t of the Interior, No. 20-CV-06787-JSC, 2022 WL 1539530, at *2 (N.D. Cal. May 16, 2022)</t>
  </si>
  <si>
    <t>Desert Survivors v United States Dep't of the Interior</t>
  </si>
  <si>
    <t>See supra notes 35-38 and accompanying text (discussing the three types of APA remands).</t>
  </si>
  <si>
    <t>supra notes 35-38 and accompanying text</t>
  </si>
  <si>
    <t>Supra Notes 35-38 and Accompanying Text</t>
  </si>
  <si>
    <t>See Sierra Club, 716 F.3d at 656-57; Dine Citizens Against Ruining Our Env’t, 439 Fed. Appx. at 681-82; see also, e.g., S. Utah Wilderness Alliance, 525 F.3d at 970 (remanding decision approving oil and gas leases on public lands not final as to proposed intervenor-defendant lessees because, among other things, review of an unfavorable decision could come later).</t>
  </si>
  <si>
    <t>Dine Citizens Against Ruining Our Env’t, 439 Fed. Appx. at 681-82</t>
  </si>
  <si>
    <t>S. Utah Wilderness Alliance, 525 F.3d at 970</t>
  </si>
  <si>
    <t>See, e.g., Rocky Mtn. Wild, 98 F.4th at 1282-86 &amp; n.4; Cherokee Nation, 936 F.3d at 1152.</t>
  </si>
  <si>
    <t>Rocky Mtn. Wild, 98 F.4th at 1282-86 &amp; n.4</t>
  </si>
  <si>
    <t>Cherokee Nation, 936 F.3d at 1152</t>
  </si>
  <si>
    <t>Cherokee Nation</t>
  </si>
  <si>
    <t>See, e.g., Crow Indian Tribe, 965 F.3d at 676 (court had jurisdiction to consider intervenor-defendants’ appeal of remand on issue not covered by agency appeal because issue was “conclusively determined by the district court and cannot be taken into account in the [agency] proceedings on remand”).</t>
  </si>
  <si>
    <t>Skagit Cnty., 80 F.3d at 384.</t>
  </si>
  <si>
    <t>Id. (allowing appeal by plaintiff of order remanding agency’s decision where the plaintiff sought declaratory relief, vacatur, and monetary reimbursement, not a remand for more proceedings).</t>
  </si>
  <si>
    <t>Chang, 327 F.3d at 925. However, the agency also appealed and supported the Ninth Circuit’s jurisdiction. Id.</t>
  </si>
  <si>
    <t>Chang, 327 F.3d at 925</t>
  </si>
  <si>
    <t>U.S. Bd. of Water Comm’rs, 893 F.3d at 595.</t>
  </si>
  <si>
    <t>U.S. Bd. of Water Comm’rs, 893 F.3d at 595</t>
  </si>
  <si>
    <t>Sierra Forest Legacy, 646 F.3d at 1175.</t>
  </si>
  <si>
    <t>Id.; cf. Bhd. of Maint. of Way Emps., 864 F.2d at 287 (Third Circuit rejecting private defendant’s appeal of a remand even though “[w]e are not entirely comfortable with leaving in place without review a district-court order which on its face appears to be in stark violation of the principle of limited judicial review of arbitration orders”).</t>
  </si>
  <si>
    <t>See In re Long-Distance Tele. Serv. Fed. Excise Tax Refund Litig., 751 F.3d at 633 (explaining that, because the IRS “has not taken any reviewable action in the two years since the district court’s remand order,” the issue on remand was effectively unreviewable, making the remand pointless).</t>
  </si>
  <si>
    <t>Chang, 327 F.3d at 925.</t>
  </si>
  <si>
    <t>Id. at 1176.</t>
  </si>
  <si>
    <t>Id. at 1176</t>
  </si>
  <si>
    <t>See In re Long-Distance Tele. Serv. Fed. Excise Tax Refund Litig., 751 F.3d at 633 (citing IRS’s delay on remand, and concession that it was not planning to engage in future rulemaking, as “unusual circumstances” justifying appellate review).</t>
  </si>
  <si>
    <t>See, e.g., supra notes 136-137 and accompanying text.</t>
  </si>
  <si>
    <t>supra notes 136-137 and accompanying text</t>
  </si>
  <si>
    <t>Supra Notes 136-137 and Accompanying Text</t>
  </si>
  <si>
    <t>See supra notes 219-223 and accompanying text.</t>
  </si>
  <si>
    <t>supra notes 219-223 and accompanying text</t>
  </si>
  <si>
    <t>Supra Notes 219-223 and Accompanying Text</t>
  </si>
  <si>
    <t>Deposit Guaranty Nat’l Bank v. Roper, 445 U.S. 326, 333-34 (1980) (“Ordinarily, only a party aggrieved by a judgment or order of a district court may exercise the statutory right to appeal therefrom. A party who receives all that he has sought generally is not aggrieved by the judgment affording the relief and cannot appeal from it. The rule is one of federal appellate practice, however, derived from the statutes granting appellate jurisdiction and the historic practices of the appellate courts; it does not have its source in the jurisdictional limitations of Art[icle] III.” (Internal citations omitted.)).</t>
  </si>
  <si>
    <t>Deposit Guaranty Nat’l Bank v. Roper, 445 U.S. 326, 333-34 (1980)</t>
  </si>
  <si>
    <t>Deposit Guaranty Nat'l Bank v Roper</t>
  </si>
  <si>
    <t>Envtl. Prot. Info. Ctr. v. Pac. Lumber Co., 257 F.3d 1071, 1075 (9th Cir. 2001).</t>
  </si>
  <si>
    <t>Envtl. Prot. Info. Ctr. v. Pac. Lumber Co., 257 F.3d 1071, 1075 (9th Cir. 2001)</t>
  </si>
  <si>
    <t>Envtl Prot Info CTR v Pac Lumber Co</t>
  </si>
  <si>
    <t>California v. Rooney, 483 U.S. 307, 311 (1987).</t>
  </si>
  <si>
    <t>California v. Rooney, 483 U.S. 307, 311 (1987)</t>
  </si>
  <si>
    <t>California v Rooney</t>
  </si>
  <si>
    <t>Forney, 524 U.S. at 267.</t>
  </si>
  <si>
    <t>Forney, 524 U.S. at 267</t>
  </si>
  <si>
    <t>See, e.g., id. at 267, 271 (allowing appeal by party granted a remand but denied the preferred relief of reversal); Skagit Cnty., 80 F.3d at 384 (allowing appeal by plaintiff of order remanding agency’s decision where the plaintiff sought declaratory relief, vacatur, and monetary reimbursement, not a remand for more proceedings). Obviously there are other nuances, such as when a party denied interlocutory appellate review of a remand appeals from a favorable final judgment. See, e.g., Miami Tribe of Okla., 656 F.3d at 1140-41 (Board of Immigration Appeals could appeal otherwise unappealable remand following a final judgment).</t>
  </si>
  <si>
    <t>id. at 267, 271</t>
  </si>
  <si>
    <t>Miami Tribe of Okla., 656 F.3d at 1140-41</t>
  </si>
  <si>
    <t>See, e.g., Nat. Res. Def. Council, 457 F.3d at 906 (“Essentially [the agency appellants] want us to line-edit the district court's ruling. But they have no standing to challenge the district court’s legal rulings in the abstract; they must seek a reversal or a modification of the relief granted by the district court.”).</t>
  </si>
  <si>
    <t>Nat. Res. Def. Council, 457 F.3d at 906</t>
  </si>
  <si>
    <t>NRDC</t>
  </si>
  <si>
    <t>Camreta, 563 U.S. at 704; see also Crow Indian Tribe, 965 F.3d at 670 (distinguishing between appeals that “attempt to challenge only the reasoning behind a district ruling and not the relief granted”).</t>
  </si>
  <si>
    <t>Camreta, 563 U.S. at 704</t>
  </si>
  <si>
    <t>Camreta</t>
  </si>
  <si>
    <t>Crow Indian Tribe, 965 F.3d at 670</t>
  </si>
  <si>
    <t>As the Ninth Circuit put it in U.S. Board of Water Commissioners, “remand orders are sufficiently ‘final’ under § 1291, where the relief sought by appellants cannot possibly be achieved through the district court’s directions.” 893 F.3d at 595. Compare Cottonwood Env’t Law Ctr., 2022 WL 612673, at *1 (rejecting appeal by plaintiff of remand requiring further environmental review) with Neighbors Against Bison Slaughter, 2022 WL 1315302, at *1 (allowing appeal by another plaintiff in same case of portion of remand denying request to impose a strict deadline for further environmental review to be completed). The Eighth Circuit implicitly recognized denial of relief as a basis for appealing a remand as far back as 1967, see Bohms, 381 F.2d at 285, and the Supreme Court picked up on it in Finkelstein, 496 U.S. at 623 n.3. And of course the concern about meaningless remands seeps into multiple areas. See Walker, supra note 31, 101 Iowa L. Rev. Online at 87-88 (discussing cases in which courts, especially the Ninth Circuit, refuse to follow the ordinary-remand rule).</t>
  </si>
  <si>
    <t>893 F.3d at 595</t>
  </si>
  <si>
    <t>Cottonwood Env’t Law Ctr., 2022 WL 612673, at *1</t>
  </si>
  <si>
    <t>Cottonwood</t>
  </si>
  <si>
    <t>Neighbors Against Bison Slaughter, 2022 WL 1315302, at *1</t>
  </si>
  <si>
    <t>Bohms, 381 F.2d at 285</t>
  </si>
  <si>
    <t>Finkelstein, 496 U.S. at 623 n.3</t>
  </si>
  <si>
    <t>Walker, supra note 31, 101 Iowa L. Rev. Online at 87-88</t>
  </si>
  <si>
    <t>See Jacob E. Gersen &amp; Anne Joseph O’Connell, Deadlines in Administrative Law, 156 U. Pa. L. Rev. 923, 927 (2008) (“[D]elay is an increasingly prominent fixture in administrative law.”).</t>
  </si>
  <si>
    <t>Jacob E. Gersen &amp; Anne Joseph O’Connell, Deadlines in Administrative Law, 156 U. Pa. L. Rev. 923, 927 (2008)</t>
  </si>
  <si>
    <t>Gersen</t>
  </si>
  <si>
    <t>53 F.4th 665 (D.C. Cir. 2022).</t>
  </si>
  <si>
    <t>53 F.4th 665 (D.C. Cir. 2022)</t>
  </si>
  <si>
    <t>53 F 4th</t>
  </si>
  <si>
    <t>Id. at 669.</t>
  </si>
  <si>
    <t>Id. at 669</t>
  </si>
  <si>
    <t>In a similar case, the D.C. Circuit cited an agency’s two-year delay in complying with a remand as a basis for allowing an appeal by plaintiffs who would otherwise be deprived of review. See In re Long-Distance Tele. Serv. Fed. Excise Tax Refund Litig., 751 F.3d at 633.</t>
  </si>
  <si>
    <t>See id. at 633 (IRS’s failure to act on the district court’s remand, issued two years earlier, might effectively preclude review); see also Glicksman &amp; Hammond, supra note 31, at 485-86, 494-95 (discussing agency delays on remand).</t>
  </si>
  <si>
    <t>id. at 633</t>
  </si>
  <si>
    <t>Glicksman &amp; Hammond, supra note 31, at 485-86, 494-95</t>
  </si>
  <si>
    <t>Ctr. for Biological Diversity, 69 F.4th at 598 (Friedland and Bennett, JJ., concurring).</t>
  </si>
  <si>
    <t>Ctr. for Biological Diversity, 69 F.4th at 598 (Friedland and Bennett, JJ., concurring)</t>
  </si>
  <si>
    <t>Id. (Friedland and Bennett, JJ., concurring).</t>
  </si>
  <si>
    <t>Id. (Friedland and Bennett, JJ., concurring) (quoting In re Clean Water Act Rulemaking, 60 F.4th at 593).</t>
  </si>
  <si>
    <t>In re Clean Water Act Rulemaking, 60 F.4th at 593</t>
  </si>
  <si>
    <t>In Re Clean Water Act</t>
  </si>
  <si>
    <t>Id. at 598, 601 (Friedland and Bennett, JJ., concurring). Alternatively they suggest that remands with vacatur are the functional equivalent of an injunction, appealable under 28 U.S.C. § 1292(a), or that they should be appealable “under the traditional collateral order doctrine, without the modifications to that test reflected in” the Ninth Circuit’s administrative-remand rule. Id. at 698 n.5; see also Mont. Wildlife Fed’n v. Haaland, 127 F.4th 1, 27-30 (9th Cir. 2025) (discussing appealability of remands that are and are not injunctive in nature). As to the latter, that approach would not work in circuits in which the administrative-remand rule and collateral-order doctrine are co-extensive (e.g., the Third and Fourth Circuits).</t>
  </si>
  <si>
    <t>Id. at 598, 601 (Friedland and Bennett, JJ., concurring)</t>
  </si>
  <si>
    <t>Id. at 698 n.5</t>
  </si>
  <si>
    <t>Mont. Wildlife Fed’n v. Haaland, 127 F.4th 1, 27-30 (9th Cir. 2025)</t>
  </si>
  <si>
    <t>Mont Wildlife Fed'n v Haaland</t>
  </si>
  <si>
    <t>See supra notes 211-214 and accompanying text.</t>
  </si>
  <si>
    <t>supra notes 211-214 and accompanying text</t>
  </si>
  <si>
    <t>Supra Notes 211-214 and Accompanying Text</t>
  </si>
  <si>
    <t>646 F.3d 1161.</t>
  </si>
  <si>
    <t>646 F.3d 1161</t>
  </si>
  <si>
    <t>Id. at 1175.</t>
  </si>
  <si>
    <t>Id. at 1175</t>
  </si>
  <si>
    <t>Id. at 1176 (quoting Skagit Cnty., 60 F.3d at 384).</t>
  </si>
  <si>
    <t>Skagit Cnty., 60 F.3d at 384</t>
  </si>
  <si>
    <t>I will admit there are differences between the two cases. Unlike in Friends of Hope Valley, in Sierra Forest Legacy the challenged decision was not vacated (but the Forest Service agreed to stay the decision pending appeal), and the Forest Service had already completed much of the remand process by the time the Ninth Circuit issued its decision. 646 F.3d at 1175-76. These facts increased the likelihood of a “meaningless remand” in Sierra Forest Legacy. Still, that possibility was high in Friends of Hope Valley when the Ninth Circuit heard argument and issued its decision.</t>
  </si>
  <si>
    <t>646 F.3d at 1175-76</t>
  </si>
  <si>
    <t>Bitterroot Ridge Runners Snowmobile Club, 833 Fed. Appx. at 90.</t>
  </si>
  <si>
    <t>Judges Friedland and Bennett explained in Center for Biological Diversity that they did “not think this particular case is a good vehicle for reconsidering [the Ninth Circuit’s administrative-remand rule] en banc.” 69 F.4th at 597 n.2 (Friedland and Bennett, JJ., concurring); see also Judge David R. Thompson, The Ninth Circuit Court of Appeals Evaluation Committee, 34 U.C. Davis L. Rev. 365, 377 (2000) (“Moreover, to the extent any inconsistent decisions may occur, the court is dealing with them effectively through its internal structures.”).</t>
  </si>
  <si>
    <t>69 F.4th at 597 n.2 (Friedland and Bennett, JJ., concurring)</t>
  </si>
  <si>
    <t>69 F 4th</t>
  </si>
  <si>
    <t>Judge David R. Thompson, The Ninth Circuit Court of Appeals Evaluation Committee, 34 U.C. Davis L. Rev. 365, 377 (2000)</t>
  </si>
  <si>
    <t>Thompson</t>
  </si>
  <si>
    <t>See supra notes 186-192, 230-242 and accompanying text.</t>
  </si>
  <si>
    <t>supra notes 186-192, 230-242 and accompanying text</t>
  </si>
  <si>
    <t>Supra Notes 186-192</t>
  </si>
  <si>
    <t>See Andrew Mergen, “Sidebar: The Rule—And Agency Risk Management,” Environmental Forum, 45 (Sept./Oct. 2025) (discussing value of administrative-agency rulemaking from federal government’s perspective).</t>
  </si>
  <si>
    <t>Andrew Mergen, “Sidebar: The Rule—And Agency Risk Management,” Environmental Forum, 45 (Sept./Oct. 2025)</t>
  </si>
  <si>
    <t>Mergen</t>
  </si>
  <si>
    <t>See supra Part I.D.4 especially.</t>
  </si>
  <si>
    <t>supra Part I.D.4</t>
  </si>
  <si>
    <t>Supra Part ID 4</t>
  </si>
  <si>
    <t>Loper Bright Enterprises v. Raimondo, 603 U.S. 412-13 (2024) (overruling judicial deference under Chevron U.S.A., Inc. v. Nat. Res. Def. Council, Inc., 467 U.S. 837 (1984), to an agency’s interpretation of an ambiguous statute). One decision is a narrow counterpoint to Loper Bright: Seven County Infrastructure Coalition v. Eagle County, Colo., 605 U.S. -- , 145 S. Ct. 1497, 1510 (2025), which emphasized the “substantial judicial deference required in” cases brought under the National Environmental Policy Act.</t>
  </si>
  <si>
    <t>Loper Bright Enterprises v. Raimondo, 603 U.S. 412-13 (2024)</t>
  </si>
  <si>
    <t>Loper Bright Enterprises v Raimondo</t>
  </si>
  <si>
    <t>Chevron U.S.A., Inc. v. Nat. Res. Def. Council, Inc., 467 U.S. 837 (1984)</t>
  </si>
  <si>
    <t>Chevron</t>
  </si>
  <si>
    <t>Seven County Infrastructure Coalition v. Eagle County, Colo., 605 U.S. -- , 145 S. Ct. 1497, 1510 (2025)</t>
  </si>
  <si>
    <t>Seven County Infrastructure Coalition v Eagle County</t>
  </si>
  <si>
    <t>Kisor v. Wilkie, 588 U.S. 558, 573-80 (2019) (limiting where there is judicial deference to an agency’s regulation by enumerating requirements for such deference).</t>
  </si>
  <si>
    <t>Kisor v. Wilkie, 588 U.S. 558, 573-80 (2019)</t>
  </si>
  <si>
    <t>Kisor v Wilkie</t>
  </si>
  <si>
    <t>Securities &amp; Exchange Comm’n v. Jarkesy, 603 U.S. 109, 137-40 (2024) (holding that the SEC may not rely on administrative law judges to enforce “legal” claims, which must instead be brought in court).</t>
  </si>
  <si>
    <t>Securities &amp; Exchange Comm’n v. Jarkesy, 603 U.S. 109, 137-40 (2024)</t>
  </si>
  <si>
    <t>Securities and Exchange Comm'n v Jarkesy</t>
  </si>
  <si>
    <t>See, e.g., Biden v. Nebraska, 600 U.S. 505-06 (2023) (voiding Secretary of Education’s student-loan-cancellation program under major-questions doctrine); W. Va. v. Env’t Prot. Agency, 597 U.S. 697 (2022) (voiding EPA’s Clean Power Plan); Alabama Ass’n of Realtors v. Dep’t of Health &amp; Human Servs., 594 U.S. 758, 764-65 (2021) (per curiam) (upholding injunction against Centers for Disease Control and Prevention’s nationwide eviction moratorium during COVID-19 pandemic).</t>
  </si>
  <si>
    <t>Biden v. Nebraska, 600 U.S. 505-06 (2023)</t>
  </si>
  <si>
    <t>Biden v Nebraska</t>
  </si>
  <si>
    <t>W. Va. v. Env’t Prot. Agency, 597 U.S. 697 (2022)</t>
  </si>
  <si>
    <t>W Va v Env't Prot Agency</t>
  </si>
  <si>
    <t>Alabama Ass’n of Realtors v. Dep’t of Health &amp; Human Servs., 594 U.S. 758, 764-65 (2021) (per curiam)</t>
  </si>
  <si>
    <t>Alabama Ass'n of Realtors v Dep't of Health and Human Servs</t>
  </si>
  <si>
    <t>Corner Post, Inc. v. Bd. of Governors of the Fed. Reserve Sys., 603 U.S. 799, 809 (2024) (holding that the default six-year statute of limitations in 28 U.S.C. § 2401(a) does not begin to run in an APA suit until the plaintiff is injured by the final agency action).</t>
  </si>
  <si>
    <t>Corner Post, Inc. v. Bd. of Governors of the Fed. Reserve Sys., 603 U.S. 799, 809 (2024)</t>
  </si>
  <si>
    <t>Corner</t>
  </si>
  <si>
    <t>28 U.S.C. § 2401(a)</t>
  </si>
  <si>
    <t>28 USC 2401(A</t>
  </si>
  <si>
    <t>See, e.g., Deborah A. Sivas, Q&amp;A with Sharon Driscoll, “Stanford’s Deborah Sivas on SCOTUS’ Loper Decision overturning Chevron and the Impact on Environmental Law” (June 28, 2024) (explaining that recent Supreme Court decisions in similar contexts spurred new litigation, and the “same trajectory may play out in the Chevron context”), https://law.stanford.edu/2024/06/28/stanfords-deborah-sivas-on-scotus-loper-decision-overturning-chevrons-40-years-of-precedent-and-its-impact-on-environmental-law/.</t>
  </si>
  <si>
    <t>Deborah A. Sivas, Q&amp;A with Sharon Driscoll, “Stanford’s Deborah Sivas on SCOTUS’ Loper Decision overturning Chevron and the Impact on Environmental Law” (June 28, 2024)</t>
  </si>
  <si>
    <t>Sivas</t>
  </si>
  <si>
    <t>See Cohen &amp; Spitzer, supra note 199, at 474–75 (“We have argued that the Supreme Court uses jurisprudence so as to further its policy goals in regulation. Our tests show that the Court does not uniformly endorse judicial deference, but rather does so discriminately in the years where the doctrine yields policy outcomes more to the Court’s liking.”).</t>
  </si>
  <si>
    <t>Cohen &amp; Spitzer, supra note 199, at 474–75</t>
  </si>
  <si>
    <t>See, e.g., Gallatin Wildlife Ass’n, 743 Fed. Appx. at 755 (Ninth Circuit); Miami Tribe of Okla., 656 F.3d at 1139 n.12 (Tenth Circuit); Utah State Dep’t of Health v. Kennecott Corp., 14 F.3d 1489, 1495 (10th Cir. 1994); Cabot Corp., 788 F.2d at 1543 (Federal Circuit); see also McCoy, 683 F.2d at 1141 n.2 (Eighth Circuit holding en banc that, absent section 1292(b) certification, the remand would not have been final and appealable), abrogated by Finkelstein, 496 U.S. 617; 15A Wright &amp; Miller, Federal Practice &amp; Procedure § 3913 (3d ed.) (“Interlocutory review can be achieved as to matters outside [specifically delineated categories] by joint permission of the district court and court of appeals under § 1292(b). . . .”). Rule 54(b) permits a district court to “direct entry of a final judgment as to one or more, but fewer than all, claims or parties,” but “only if the court expressly determines that there is no just reason for delay.” Fed. R. Civ. P. 54(b). Meanwhile, 28 U.S.C. 1292(b) vests a circuit with jurisdiction over an otherwise unappealable order where (1) a district court determines that the “order involves a controlling question of law as to which there is substantial ground for difference of opinion and that an immediate appeal from the order may materially advance the ultimate termination of the litigation,” and (2) the circuit court chooses to hear the appeal. 28 U.S.C. § 1292(b).</t>
  </si>
  <si>
    <t>Gallatin Wildlife Ass’n, 743 Fed. Appx. at 755 (Ninth Circuit)</t>
  </si>
  <si>
    <t>Miami Tribe of Okla., 656 F.3d at 1139 n.12 (Tenth Circuit)</t>
  </si>
  <si>
    <t>Utah State Dep’t of Health v. Kennecott Corp., 14 F.3d 1489, 1495 (10th Cir. 1994)</t>
  </si>
  <si>
    <t>Utah State Dep't of Health v Kennecott Corp</t>
  </si>
  <si>
    <t>Cabot Corp., 788 F.2d at 1543 (Federal Circuit)</t>
  </si>
  <si>
    <t>McCoy, 683 F.2d at 1141 n.2 (Eighth Circuit</t>
  </si>
  <si>
    <t>15A Wright &amp; Miller, Federal Practice &amp; Procedure § 3913 (3d ed.)</t>
  </si>
  <si>
    <t>15a Wright</t>
  </si>
  <si>
    <t>Fed. R. Civ. P. 54(b)</t>
  </si>
  <si>
    <t>Fed 54(b</t>
  </si>
  <si>
    <t>See, e.g., DCOR, LLC, 2023 WL 8628322, at *1 (citing Fifth Circuit’s administrative-remand rule to hold that the court’s “final judgment remanding the case back to ONRR for further consideration is thus not an appealable final judgment” under Rule 54(b)); Aaron P. v. Dep’t of Educ., No. CIV. 10-00574 LEK, 2011 WL 6934560, *4 (D. Haw. 2011) (same using Ninth Circuit’s rule); Miami Tribe of Okla. v. United States, No. CIV.A.03-2220-DJW, 2006 WL 3848949, *3 (D. Kan. 2006) (same using Tenth Circuit’s rule); cf. Associated Mortg. Bankers, Inc. v. Carson, No. CV 17-0075 (ESH), 2019 WL 2996992, *3 (D.D.C. July 9, 2019) (citing D.C. Circuit’s administrative-remand rule to raise question whether remand is final under Fed. R. Civ. P. 60 or interlocutory under Rule 54(b)).</t>
  </si>
  <si>
    <t>DCOR, LLC, 2023 WL 8628322, at *1</t>
  </si>
  <si>
    <t>Aaron P. v. Dep’t of Educ., No. CIV. 10-00574 LEK, 2011 WL 6934560, *4 (D. Haw. 2011)</t>
  </si>
  <si>
    <t>Aaron P v Dep't of Educ</t>
  </si>
  <si>
    <t>Miami Tribe of Okla. v. United States, No. CIV.A.03-2220-DJW, 2006 WL 3848949, *3 (D. Kan. 2006)</t>
  </si>
  <si>
    <t>Miami Tribe Distr. Ct.</t>
  </si>
  <si>
    <t>Associated Mortg. Bankers, Inc. v. Carson, No. CV 17-0075 (ESH), 2019 WL 2996992, *3 (D.D.C. July 9, 2019)</t>
  </si>
  <si>
    <t>Associated Mortg</t>
  </si>
  <si>
    <t>See Alliance for the Wild Rockies, 601 Fed. Appx. at 491-94 (Bea, J., concurring) (opining that court should not have considered nonprofit plaintiff-appellant’s arguments under the Endangered Species Act because, under Sierra Forest Legacy, nonprofit could have appealed prior, interim remand).</t>
  </si>
  <si>
    <t>Alliance for the Wild Rockies, 601 Fed. Appx. at 491-94 (Bea, J., concurring)</t>
  </si>
  <si>
    <t>Wild Rockies</t>
  </si>
  <si>
    <t>Sierra Forest Legacy</t>
  </si>
  <si>
    <t>See Miami Tribe of Okla., 656 F.3d at 1137 (“With a final judgment from a district court, ‘a notice of appeal which names the final judgment is sufficient to support review of all earlier orders that merge in the final judgment.’” (quoting McBride v. CITGO Petroleum Corp., 281 F.3d 1099, 1104 (10th Cir. 2002))); Federal Practice &amp; Procedure, § 3949.4 Contents of the Notice of Appeal, 16A Fed. Prac. &amp; Proc. Juris. § 3949.4 (5th ed. June 2024 Update) (discussing merger doctrine).</t>
  </si>
  <si>
    <t>Miami Tribe of Okla., 656 F.3d at 1137</t>
  </si>
  <si>
    <t>McBride v. CITGO Petroleum Corp., 281 F.3d 1099, 1104 (10th Cir. 2002)</t>
  </si>
  <si>
    <t>McBride v Citgo Petroleum Corp</t>
  </si>
  <si>
    <t>Federal Practice &amp; Procedure, § 3949.4 Contents of the Notice of Appeal, 16A Fed. Prac. &amp; Proc. Juris. § 3949.4 (5th ed. June 2024 Update)</t>
  </si>
  <si>
    <t>Federal Practice 3949 4</t>
  </si>
  <si>
    <t>Alliance for the Wild Rockies, 601 Fed. Appx. at 494 (Bea, J., concurring).</t>
  </si>
  <si>
    <t>Alliance for the Wild Rockies, 601 Fed. Appx. at 494 (Bea, J., concurring)</t>
  </si>
  <si>
    <t>Id. (Bea, J., concurring).</t>
  </si>
  <si>
    <t>Id. (Bea, J., concurring)</t>
  </si>
  <si>
    <t>The Tenth Circuit reached the same conclusion in allowing an agency to appeal a remand following a favorable final judgment. The administrative-remand rule, the court explained, “avoids the perverse incentive [of] encouraging an agency to seek an immediate appeal of a remand order (even if it was unlikely the case fell within the practical finality exception) if the agency had a whiff that we would take jurisdiction over the interlocutory appeal.” Miami Tribe of Okla., 656 F.3d at 1141. Fearing exactly this line of thinking, some agencies indicate when accepting a court-ordered remand that they do so “under protest.” See Viraj Grp., Ltd. v. v. United States, 343 F.3d 1371, 1376 (Fed. Cir. 2003); Lynch, supra note 13, at 388-89 (discussing this practice).</t>
  </si>
  <si>
    <t>Miami Tribe of Okla., 656 F.3d at 1141</t>
  </si>
  <si>
    <t>Viraj Grp., Ltd. v. v. United States, 343 F.3d 1371, 1376 (Fed. Cir. 2003)</t>
  </si>
  <si>
    <t>Viraj</t>
  </si>
  <si>
    <t>Lynch, supra note 13, at 388-89</t>
  </si>
  <si>
    <t>15B Fed. Prac. &amp; Proc. Juris. § 3914.32.</t>
  </si>
  <si>
    <t>Farber &amp; O’Connell, supra note 203, at 1146, 1157-70.</t>
  </si>
  <si>
    <t>Farber &amp; O’Connell, supra note 203, at 1146, 1157-70</t>
  </si>
  <si>
    <t>See generally Anne Joseph O’Connell, Agency Rulemaking and Political Transitions, 105 Nw. U. L. Rev. 471, 473 (2011) (discussing effects of political shifts on agency rulemakings); Anne Joseph O’Connell, Political Cycles of Rulemaking: An Empirical Portrait of the Modern Administrative State, 94 Va. L. Rev. 889 (2008) (same).</t>
  </si>
  <si>
    <t>Anne Joseph O’Connell, Agency Rulemaking and Political Transitions, 105 Nw. U. L. Rev. 471, 473 (2011)</t>
  </si>
  <si>
    <t>O'Connell Agency</t>
  </si>
  <si>
    <t>Anne Joseph O’Connell, Political Cycles of Rulemaking: An Empirical Portrait of the Modern Administrative State, 94 Va. L. Rev. 889 (2008)</t>
  </si>
  <si>
    <t>O'Connell Cycles</t>
  </si>
  <si>
    <t>Clopton &amp; Shaw, supra note 20, at 1521–22.</t>
  </si>
  <si>
    <t>Clopton &amp; Shaw, supra note 20, at 1521–22</t>
  </si>
  <si>
    <t>See, e.g., Ctr. for Biological Diversity, 69 F.4th at 594-96 (voluntary agency remand following change in presidential administration blocked subsequent appeal by proposed intervenor); see also Revesz, supra note 33, at 378-81 (discussing political motivations behind voluntary remands following changes in presidential administrations); Glicksman &amp; Hammond, supra note 31, at 496-99 (hypothesizing connection between presidential administration and agency actions on remand).</t>
  </si>
  <si>
    <t>Ctr. for Biological Diversity, 69 F.4th at 594-96</t>
  </si>
  <si>
    <t>Revesz, supra note 33, at 378-81</t>
  </si>
  <si>
    <t>Glicksman &amp; Hammond, supra note 31, at 496-99</t>
  </si>
  <si>
    <t>See Clopton &amp; Shaw, supra note 20, at 1517 (as part of practice of “midnight litigation,” “government lawyers might choose to settle cases on terms that would be unacceptable to future administrations”); Farber &amp; O’Connell, supra note 203, at 1172 (“Agencies also work to keep cases out of court entirely by relying heavily on settlement.”).</t>
  </si>
  <si>
    <t>Clopton &amp; Shaw, supra note 20, at 1517</t>
  </si>
  <si>
    <t>Farber &amp; O’Connell, supra note 203, at 1172</t>
  </si>
  <si>
    <t>Cf. Farber &amp; O’Connell, supra note 203, at 1171 (“Even if agency actions are reviewable, deference doctrines have developed that generally favor agency discretion and therefore foster White House influence.”). Query where these “deference doctrines” are headed in light of the Supreme Court’s recent jurisprudence; see supra notes 272-277 and accompanying text.</t>
  </si>
  <si>
    <t>Farber &amp; O’Connell, supra note 203, at 1171</t>
  </si>
  <si>
    <t>supra notes 272-277 and accompanying text</t>
  </si>
  <si>
    <t>Supra Notes 272-277 and Accompanying Text</t>
  </si>
  <si>
    <t>It may also be fruitful to adopt standards for voluntary remands, which federal courts reflexively grant. See Revesz, supra note 33, at 395-409 (observing courts’ current practice of granting voluntary remands and proposing reforms).</t>
  </si>
  <si>
    <t>Revesz, supra note 33, at 395-409</t>
  </si>
  <si>
    <t>McGourkey, 146 U.S. at 544-45.</t>
  </si>
  <si>
    <t>McGourkey, 146 U.S. at 544-45</t>
  </si>
  <si>
    <t>Id. at 545.</t>
  </si>
  <si>
    <t>Id. at 545</t>
  </si>
  <si>
    <t>Rule 54(b), 28 U.S.C. § 1292(b), and other avenues for appellate review apply to different orders and therefore serve different functions. See, e.g., Jeannette Sheet Glass Corp., 803 F.2d at 1581-83 (discussing differences between Rule 54(b) and collateral-order doctrine); see also supra notes 67, 280 (discussing Rule 54(b) and section 1292(b)).</t>
  </si>
  <si>
    <t>Rule 54(b)</t>
  </si>
  <si>
    <t>Jeannette Sheet Glass Corp., 803 F.2d at 1581-83</t>
  </si>
  <si>
    <t>supra notes 67, 280</t>
  </si>
  <si>
    <t>Supra Notes 67</t>
  </si>
  <si>
    <t>See supra notes 132-194 and accompanying text.</t>
  </si>
  <si>
    <t>supra notes 132-194 and accompanying text</t>
  </si>
  <si>
    <t>Supra Notes 132-194 and Accompanying Text</t>
  </si>
  <si>
    <t>See supra notes 127, 132 and accompanying text.</t>
  </si>
  <si>
    <t>supra notes 127, 132 and accompanying text</t>
  </si>
  <si>
    <t>Supra Notes 127</t>
  </si>
  <si>
    <t>Lammon, supra note 13, 93 Wash. L. Rev. at 1850-51.</t>
  </si>
  <si>
    <t>Lammon, supra note 13, 93 Wash. L. Rev. at 1850-51</t>
  </si>
  <si>
    <t>See supra note 163 and accompanying text.</t>
  </si>
  <si>
    <t>supra note 163 and accompanying text</t>
  </si>
  <si>
    <t>Supra Note 163 and Accompanying Text</t>
  </si>
  <si>
    <t>See supra note 136 and accompanying text.</t>
  </si>
  <si>
    <t>supra note 136 and accompanying text</t>
  </si>
  <si>
    <t>Supra Note 136 and Accompanying Text</t>
  </si>
  <si>
    <t>See supra notes 136-137 and accompanying text. Lammon argues that this factor—whether a case is essentially over—could form the basis of an “alternative approach” to determining finality for purposes of appeal. Bryan Lammon, Disarming the Finality Trap, 97 NYU L. Rev. Online 173, 190-93 (2022).</t>
  </si>
  <si>
    <t>Bryan Lammon, Disarming the Finality Trap, 97 NYU L. Rev. Online 173, 190-93 (2022)</t>
  </si>
  <si>
    <t>See supra note 175 and accompanying text. I also agree with the Tenth Circuit that the type of agency decision at issue in a case (adversarial, legislative, or adjudicative) may help determine whether the administrative-remand rule should apply. See supra note 174 and accompanying text. But those distinctions can be confusing, and I wonder whether they may unwittingly cement undesirable asymmetries in the appealability of remands by different parties.</t>
  </si>
  <si>
    <t>supra note 175 and accompanying text</t>
  </si>
  <si>
    <t>Supra Note 175 and Accompanying Text</t>
  </si>
  <si>
    <t>supra note 174 and accompanying text</t>
  </si>
  <si>
    <t>Supra Note 174 and Accompanying Text</t>
  </si>
  <si>
    <t>The Tenth Circuit explicitly linked “urgency” with irreparable harm in Southern Utah Wilderness Alliance, 525 F.3d at 970.</t>
  </si>
  <si>
    <t>Southern Utah Wilderness Alliance, 525 F.3d at 970</t>
  </si>
  <si>
    <t>As the Tenth Circuit implicitly recognized long ago, few remands are truly separable from the merits, as the collateral-order doctrine traditionally requires. Bender, 744 F.2d at 1427. More commonly, remands resolve one merits issue that is separable from others. See, e.g., Littlefield, 951 F.3d at 36 (remand flowing from summary judgment for plaintiffs on their first cause of action was “separable,” allowing tribal defendants to appeal). Thus, for APA remands, “separability” is appropriately construed loosely.</t>
  </si>
  <si>
    <t>Except that, under my proposal, as under the current rule, agencies would always be allowed to appeal remands. This change would slightly loosen the current rule with respect to agencies. See supra notes 115, 178 (citing the few post-1990 cases in which courts have held or suggested that agencies could not appeal remands).</t>
  </si>
  <si>
    <t>supra notes 115, 178</t>
  </si>
  <si>
    <t>Supra Notes 115</t>
  </si>
  <si>
    <t>Mohawk Indus., Inc., 558 U.S. at 112-14; Digital Equip. Corp., 511 U.S. at 868 (We “have warned that the issue of appealability under § 1291 is to be determined for the entire category to which a claim belongs, without regard to the chance that the litigation at hand might be speeded, or a particular injustic[e] averted.”).</t>
  </si>
  <si>
    <t>Mohawk Indus., Inc., 558 U.S. at 112-14</t>
  </si>
  <si>
    <t>Famous last words? Federal Practice and Procedure and others would no doubt think so. See, e.g., 15B Fed. Prac. &amp; Proc. Juris. § 3914.32 (“It would be nearly as difficult to administer a collateral order appeal doctrine relying on a case-by-case assessment of the probable burdens imposed by further administrative proceedings.”); 15A Fed. Prac. &amp; Proc. Juris. § 3913 (“Undoubtedly there are cases in which allowing appeal from orders not now deemed appealable would improve the administration of justice. The total number of such cases is no doubt substantial. An open-ended balancing approach to finality, however, would undermine the residual clarity that has been the most important virtue of finality doctrine.”).</t>
  </si>
  <si>
    <t>Travelstead, 978 F.2d at 1249. Interestingly the Federal Circuit credited Finkelstein with this insight. Id.</t>
  </si>
  <si>
    <t>Travelstead, 978 F.2d at 1249</t>
  </si>
  <si>
    <t>Heppner, supra note 51, at 399.</t>
  </si>
  <si>
    <t>Heppner, supra note 51, at 399</t>
  </si>
  <si>
    <t>See supra note 269 and accompanying text.</t>
  </si>
  <si>
    <t>supra note 269 and accompanying text</t>
  </si>
  <si>
    <t>Supra Note 269 and Accompanying Text</t>
  </si>
  <si>
    <t>15B Fed. Prac. &amp; Proc. Juris. § 3914.32; see also supra notes 282-287 and accompanying text.</t>
  </si>
  <si>
    <t>supra notes 282-287 and accompanying text</t>
  </si>
  <si>
    <t>Supra Notes 282-287 and Accompanying Text</t>
  </si>
  <si>
    <t>See also supra notes 280-281 and accompanying text.</t>
  </si>
  <si>
    <t>supra notes 280-281 and accompanying text</t>
  </si>
  <si>
    <t>Supra Notes 280-281 and Accompanying Text</t>
  </si>
  <si>
    <t>Lammon, supra note 13, 51 U. Rich. L. Rev. at 374.</t>
  </si>
  <si>
    <t>Lammon, supra note 13, 51 U. Rich. L. Rev. at 374</t>
  </si>
  <si>
    <t>Perhaps I am too skeptical; Congress has created special appellate jurisdiction statutes for bankruptcy cases (28 U.S.C. § 158(d)), habeas cases (28 U.S.C. § 2253), the Federal Circuit (e.g., 28 U.S.C. § 1295, 38 U.S.C. § 7291), and in other contexts.</t>
  </si>
  <si>
    <t>28 U.S.C. § 158(d)</t>
  </si>
  <si>
    <t>28 USC 158(d</t>
  </si>
  <si>
    <t>28 U.S.C. § 2253</t>
  </si>
  <si>
    <t>28 USC 2253</t>
  </si>
  <si>
    <t>28 U.S.C. § 1295</t>
  </si>
  <si>
    <t>28 USC 1295</t>
  </si>
  <si>
    <t>38 U.S.C. § 7291</t>
  </si>
  <si>
    <t>38 USC 7291</t>
  </si>
  <si>
    <t>Lammon, supra note 13, 93 Wash. L. Rev. at 1851; see 28 U.S.C. § 2702(c) (“Such rules [prescribed under subsection (a), concerning “practice and procedure . . . for cases in the United States district courts (including proceedings before magistrate judges thereof) and courts of appeals”] may define when a ruling of a district court is final for the purposes of appeal under section 1291 of this title.”).</t>
  </si>
  <si>
    <t>Lammon, supra note 13, 93 Wash. L. Rev. at 1851</t>
  </si>
  <si>
    <t>28 U.S.C. § 2702(c)</t>
  </si>
  <si>
    <t>28 USC 2702(c)</t>
  </si>
  <si>
    <t>Id.; see 28 U.S.C. § 1292(e) (“The Supreme Court may prescribe rules, in accordance with section 2072 of this title, to provide for an appeal of an interlocutory decision to the courts of appeals that is not otherwise provided for under subsection (a), (b), (c), or (d).”).</t>
  </si>
  <si>
    <t>28 U.S.C. § 1292(e)</t>
  </si>
  <si>
    <t>Christopher J. Walker &amp; James R. Saywell, Remand and Dialogue in Administrative Law, 89 Geo. Wash. L. Rev. 1198, 1218-22 (2021); see also Walker, supra note 31, 101 Iowa L. Rev. Online at 88.</t>
  </si>
  <si>
    <t>Christopher J. Walker &amp; James R. Saywell, Remand and Dialogue in Administrative Law, 89 Geo. Wash. L. Rev. 1198, 1218-22 (2021)</t>
  </si>
  <si>
    <t>Walker James</t>
  </si>
  <si>
    <t>Walker, supra note 31, 101 Iowa L. Rev. Online at 88</t>
  </si>
  <si>
    <t>Bagley, supra note 30, at 258.</t>
  </si>
  <si>
    <t>Bagley, supra note 30, at 258</t>
  </si>
  <si>
    <t>See supra notes 299-301 and accompanying text.</t>
  </si>
  <si>
    <t>supra notes 299-301 and accompanying text</t>
  </si>
  <si>
    <t>Supra Notes 299-301 and Accompanying Text</t>
  </si>
  <si>
    <t>The Tenth Circuit was first; see supra note 116 (discussing Cotton Petroleum Corp., 870 F.2d at 1521-22).</t>
  </si>
  <si>
    <t>supra note 116</t>
  </si>
  <si>
    <t>Supra Note 116</t>
  </si>
  <si>
    <t>Cotton Petroleum Corp., 870 F.2d at 1521-22</t>
  </si>
  <si>
    <t>ID</t>
  </si>
  <si>
    <t>Short Name</t>
  </si>
  <si>
    <t>Fn#</t>
  </si>
  <si>
    <t>Full Source Citation</t>
  </si>
  <si>
    <t>Sourcepull File Name (DNE)</t>
  </si>
  <si>
    <t>Sourcepuller</t>
  </si>
  <si>
    <t>Completed?</t>
  </si>
  <si>
    <t>All Pincites (for books)</t>
  </si>
  <si>
    <t>Consecutively Paginated?</t>
  </si>
  <si>
    <t>Subseqent History / Negative Treatment?</t>
  </si>
  <si>
    <t>Location of Source (Green, Crown, etc.)</t>
  </si>
  <si>
    <t>ILL or Recall and Date of Request (books only)</t>
  </si>
  <si>
    <t>Problems or Comments</t>
  </si>
  <si>
    <t>Sourcepull checked by SE?</t>
  </si>
  <si>
    <t>001</t>
  </si>
  <si>
    <t>➔</t>
  </si>
  <si>
    <t>SP-001-Tortorich.pdf</t>
  </si>
  <si>
    <t>ME</t>
  </si>
  <si>
    <t>002</t>
  </si>
  <si>
    <t>SP-002-Munson.pdf</t>
  </si>
  <si>
    <t>003</t>
  </si>
  <si>
    <t>SP-003-Hope Valley Recreation.pdf</t>
  </si>
  <si>
    <t>004</t>
  </si>
  <si>
    <t>SP-004-Memorandum.pdf</t>
  </si>
  <si>
    <t>005</t>
  </si>
  <si>
    <t>SP-005-Friends of Hope Valley v US Forest Service.pdf</t>
  </si>
  <si>
    <t>006</t>
  </si>
  <si>
    <t>SP-006-APA.pdf</t>
  </si>
  <si>
    <t>007</t>
  </si>
  <si>
    <t>SP-007-Infra Notes 113, 151-153.pdf</t>
  </si>
  <si>
    <t>008</t>
  </si>
  <si>
    <t>SP-008-Alsea Valley Alliance v Dep't of Commerce.pdf</t>
  </si>
  <si>
    <t>009</t>
  </si>
  <si>
    <t>SP-009-Infra Part IB.pdf</t>
  </si>
  <si>
    <t>010</t>
  </si>
  <si>
    <t>SP-010-Infra Note 23.pdf</t>
  </si>
  <si>
    <t>011</t>
  </si>
  <si>
    <t>SP-011-Denver Cnty.pdf</t>
  </si>
  <si>
    <t>012</t>
  </si>
  <si>
    <t>SP-012-Montana Env't Info CTR.pdf</t>
  </si>
  <si>
    <t>013</t>
  </si>
  <si>
    <t>SP-013-Dcor.pdf</t>
  </si>
  <si>
    <t>014</t>
  </si>
  <si>
    <t>SP-014-Infra Part I.pdf</t>
  </si>
  <si>
    <t>015</t>
  </si>
  <si>
    <t>SP-015-Michaels.pdf</t>
  </si>
  <si>
    <t>016</t>
  </si>
  <si>
    <t>SP-016-Developments.pdf</t>
  </si>
  <si>
    <t>017</t>
  </si>
  <si>
    <t>SP-017-Ho.pdf</t>
  </si>
  <si>
    <t>018</t>
  </si>
  <si>
    <t>SP-018-Jordan.pdf</t>
  </si>
  <si>
    <t>019</t>
  </si>
  <si>
    <t>SP-019-Finkelstein.pdf</t>
  </si>
  <si>
    <t>020</t>
  </si>
  <si>
    <t>SP-020-Infra Notes 89-97 and Accompanying Text Pp 17-19.pdf</t>
  </si>
  <si>
    <t>021</t>
  </si>
  <si>
    <t>SP-021-Lammon Appealability.pdf</t>
  </si>
  <si>
    <t>022</t>
  </si>
  <si>
    <t>SP-022-Lammon Dizzying.pdf</t>
  </si>
  <si>
    <t>023</t>
  </si>
  <si>
    <t>SP-023-Krent.pdf</t>
  </si>
  <si>
    <t>024</t>
  </si>
  <si>
    <t>SP-024-Biever.pdf</t>
  </si>
  <si>
    <t>025</t>
  </si>
  <si>
    <t>SP-025-Lynch.pdf</t>
  </si>
  <si>
    <t>026</t>
  </si>
  <si>
    <t>SP-026-Federal Practice 3914 32.pdf</t>
  </si>
  <si>
    <t>027</t>
  </si>
  <si>
    <t>SP-027-Federal Practice 3903.pdf</t>
  </si>
  <si>
    <t>028</t>
  </si>
  <si>
    <t>SP-028-73a CJS.pdf</t>
  </si>
  <si>
    <t>029</t>
  </si>
  <si>
    <t>SP-029-Fed Ct.pdf</t>
  </si>
  <si>
    <t>030</t>
  </si>
  <si>
    <t>SP-030-Infra Notes 39-51 and Accompanying Text.pdf</t>
  </si>
  <si>
    <t>031</t>
  </si>
  <si>
    <t>SP-031-Infra Notes 46-48 and Accompanying Text.pdf</t>
  </si>
  <si>
    <t>032</t>
  </si>
  <si>
    <t>SP-032-Pueblo of Sandia v Babbitt.pdf</t>
  </si>
  <si>
    <t>033</t>
  </si>
  <si>
    <t>SP-033-CTR for Biological Diversity v Bureau of Land MGMT.pdf</t>
  </si>
  <si>
    <t>034</t>
  </si>
  <si>
    <t>SP-034-NY Legal Assistance GRP v Cardona.pdf</t>
  </si>
  <si>
    <t>035</t>
  </si>
  <si>
    <t>SP-035-Infra Notes 132-192 and Accompanying Text.pdf</t>
  </si>
  <si>
    <t>036</t>
  </si>
  <si>
    <t>SP-036-Infra Notes 193-194.pdf</t>
  </si>
  <si>
    <t>037</t>
  </si>
  <si>
    <t>SP-037-Clopton.pdf</t>
  </si>
  <si>
    <t>038</t>
  </si>
  <si>
    <t>SP-038-Jackson.pdf</t>
  </si>
  <si>
    <t>039</t>
  </si>
  <si>
    <t>SP-039-John Muir Health.pdf</t>
  </si>
  <si>
    <t>040</t>
  </si>
  <si>
    <t>SP-040-Federman.pdf</t>
  </si>
  <si>
    <t>041</t>
  </si>
  <si>
    <t>SP-041-Holton.pdf</t>
  </si>
  <si>
    <t>LJ</t>
  </si>
  <si>
    <t>042</t>
  </si>
  <si>
    <t>SP-042-Bearns.pdf</t>
  </si>
  <si>
    <t>043</t>
  </si>
  <si>
    <t>SP-043-Am Constr Co.pdf</t>
  </si>
  <si>
    <t>044</t>
  </si>
  <si>
    <t>SP-044-Infra Notes 29.pdf</t>
  </si>
  <si>
    <t>045</t>
  </si>
  <si>
    <t>SP-045-1291.pdf</t>
  </si>
  <si>
    <t>046</t>
  </si>
  <si>
    <t>SP-046-1292.pdf</t>
  </si>
  <si>
    <t>047</t>
  </si>
  <si>
    <t>SP-047-Federal Rule.pdf</t>
  </si>
  <si>
    <t>048</t>
  </si>
  <si>
    <t>SP-048-Infra Notes 280.pdf</t>
  </si>
  <si>
    <t>049</t>
  </si>
  <si>
    <t>SP-049-Collord v US Dep't of the Interior.pdf</t>
  </si>
  <si>
    <t>050</t>
  </si>
  <si>
    <t>SP-050-Infra Notes 132-181.pdf</t>
  </si>
  <si>
    <t>051</t>
  </si>
  <si>
    <t>SP-051-Crowder v Sullivan.pdf</t>
  </si>
  <si>
    <t>052</t>
  </si>
  <si>
    <t>SP-052-Papotto.pdf</t>
  </si>
  <si>
    <t>053</t>
  </si>
  <si>
    <t>SP-053-Kreider.pdf</t>
  </si>
  <si>
    <t>054</t>
  </si>
  <si>
    <t>SP-054-Digital Equip Corp.pdf</t>
  </si>
  <si>
    <t>055</t>
  </si>
  <si>
    <t>SP-055-Bagley.pdf</t>
  </si>
  <si>
    <t>056</t>
  </si>
  <si>
    <t>SP-056-706.pdf</t>
  </si>
  <si>
    <t>057</t>
  </si>
  <si>
    <t>SP-057-Chenery Corp.pdf</t>
  </si>
  <si>
    <t>058</t>
  </si>
  <si>
    <t>SP-058-Wages and White Lion Invs.pdf</t>
  </si>
  <si>
    <t>059</t>
  </si>
  <si>
    <t>SP-059-Glicksman.pdf</t>
  </si>
  <si>
    <t>060</t>
  </si>
  <si>
    <t>SP-060-Walker Referral.pdf</t>
  </si>
  <si>
    <t>061</t>
  </si>
  <si>
    <t>SP-061-Walker Ordinary.pdf</t>
  </si>
  <si>
    <t>062</t>
  </si>
  <si>
    <t>SP-062-Infra Notes 257-261 and Accompanying Text.pdf</t>
  </si>
  <si>
    <t>063</t>
  </si>
  <si>
    <t>SP-063-Revesz.pdf</t>
  </si>
  <si>
    <t>064</t>
  </si>
  <si>
    <t>SP-064-Fine.pdf</t>
  </si>
  <si>
    <t>065</t>
  </si>
  <si>
    <t>SP-065-Motor Vehicle Mfrs.pdf</t>
  </si>
  <si>
    <t>066</t>
  </si>
  <si>
    <t>SP-066-Friendly.pdf</t>
  </si>
  <si>
    <t>067</t>
  </si>
  <si>
    <t>SP-067-Mendoza.pdf</t>
  </si>
  <si>
    <t>068</t>
  </si>
  <si>
    <t>SP-068-Pauly v US Dept of Agri.pdf</t>
  </si>
  <si>
    <t>069</t>
  </si>
  <si>
    <t>SP-069-Vista.pdf</t>
  </si>
  <si>
    <t>070</t>
  </si>
  <si>
    <t>SP-070-Act of Sept 24.pdf</t>
  </si>
  <si>
    <t>071</t>
  </si>
  <si>
    <t>SP-071-Federal Practice 3906.pdf</t>
  </si>
  <si>
    <t>072</t>
  </si>
  <si>
    <t>SP-072-Metcalfe.pdf</t>
  </si>
  <si>
    <t>073</t>
  </si>
  <si>
    <t>SP-073-Catlin v United States.pdf</t>
  </si>
  <si>
    <t>074</t>
  </si>
  <si>
    <t>SP-074-62 Stat.pdf</t>
  </si>
  <si>
    <t>075</t>
  </si>
  <si>
    <t>SP-075-Bachowski v Usery.pdf</t>
  </si>
  <si>
    <t>076</t>
  </si>
  <si>
    <t>SP-076-Katz v Carte Blanche Corp.pdf</t>
  </si>
  <si>
    <t>077</t>
  </si>
  <si>
    <t>SP-077-P. Law 79.pdf</t>
  </si>
  <si>
    <t>078</t>
  </si>
  <si>
    <t>SP-078-Cobbledick.pdf</t>
  </si>
  <si>
    <t>079</t>
  </si>
  <si>
    <t>SP-079-Federal Practice 3907.pdf</t>
  </si>
  <si>
    <t>080</t>
  </si>
  <si>
    <t>SP-080-Microsoft Corp v Baker.pdf</t>
  </si>
  <si>
    <t>081</t>
  </si>
  <si>
    <t>SP-081-Mohawk.pdf</t>
  </si>
  <si>
    <t>JL</t>
  </si>
  <si>
    <t>082</t>
  </si>
  <si>
    <t>SP-082-Johnson v Jones.pdf</t>
  </si>
  <si>
    <t>083</t>
  </si>
  <si>
    <t>SP-083-Di Bella v United States.pdf</t>
  </si>
  <si>
    <t>084</t>
  </si>
  <si>
    <t>SP-084-Lammon Disarming.pdf</t>
  </si>
  <si>
    <t>085</t>
  </si>
  <si>
    <t>SP-085-Frank.pdf</t>
  </si>
  <si>
    <t>086</t>
  </si>
  <si>
    <t>SP-086-Infra Notes 53-97 and Accompanying Text.pdf</t>
  </si>
  <si>
    <t>087</t>
  </si>
  <si>
    <t>SP-087-Firestone Tire and Rubber Co v Risjord.pdf</t>
  </si>
  <si>
    <t>088</t>
  </si>
  <si>
    <t>SP-088-Richardson-Merrell Inc v Koller.pdf</t>
  </si>
  <si>
    <t>089</t>
  </si>
  <si>
    <t>SP-089-Cochran.pdf</t>
  </si>
  <si>
    <t>090</t>
  </si>
  <si>
    <t>SP-090-Infra Part IC.pdf</t>
  </si>
  <si>
    <t>091</t>
  </si>
  <si>
    <t>SP-091-Heppner.pdf</t>
  </si>
  <si>
    <t>092</t>
  </si>
  <si>
    <t>SP-092-Federal Practice 3909.pdf</t>
  </si>
  <si>
    <t>093</t>
  </si>
  <si>
    <t>SP-093-28 USC 225.pdf</t>
  </si>
  <si>
    <t>094</t>
  </si>
  <si>
    <t>SP-094-Cohen.pdf</t>
  </si>
  <si>
    <t>095</t>
  </si>
  <si>
    <t>SP-095-Baker.pdf</t>
  </si>
  <si>
    <t>096</t>
  </si>
  <si>
    <t>SP-096-Pikor.pdf</t>
  </si>
  <si>
    <t>097</t>
  </si>
  <si>
    <t>SP-097-Van Cauwenberghe v Biard.pdf</t>
  </si>
  <si>
    <t>098</t>
  </si>
  <si>
    <t>SP-098-Infra Notes 98-194 and Accompanying Text.pdf</t>
  </si>
  <si>
    <t>099</t>
  </si>
  <si>
    <t>SP-099-Gillespie.pdf</t>
  </si>
  <si>
    <t>100</t>
  </si>
  <si>
    <t>SP-100-United States v General Motors Corp.pdf</t>
  </si>
  <si>
    <t>101</t>
  </si>
  <si>
    <t>SP-101-417 US.pdf</t>
  </si>
  <si>
    <t>102</t>
  </si>
  <si>
    <t>SP-102-McGourkey v Toledo and Ohio CR Co.pdf</t>
  </si>
  <si>
    <t>103</t>
  </si>
  <si>
    <t>SP-103-Dickinson v Petroleum Conversion Corp.pdf</t>
  </si>
  <si>
    <t>104</t>
  </si>
  <si>
    <t>SP-104-In Re Long-Distance Tel Serv Fed Excise Tax Refund Litig.pdf</t>
  </si>
  <si>
    <t>105</t>
  </si>
  <si>
    <t>SP-105-437 US.pdf</t>
  </si>
  <si>
    <t>106</t>
  </si>
  <si>
    <t>SP-106-Adam.pdf</t>
  </si>
  <si>
    <t>107</t>
  </si>
  <si>
    <t>SP-107-Anderson.pdf</t>
  </si>
  <si>
    <t>108</t>
  </si>
  <si>
    <t>SP-108-Flanagan v United States.pdf</t>
  </si>
  <si>
    <t>109</t>
  </si>
  <si>
    <t>SP-109-Stringfellow v Concerned Neighbors in Action.pdf</t>
  </si>
  <si>
    <t>110</t>
  </si>
  <si>
    <t>SP-110-Rules.pdf</t>
  </si>
  <si>
    <t>111</t>
  </si>
  <si>
    <t>SP-111-FRCP 23(f).pdf</t>
  </si>
  <si>
    <t>112</t>
  </si>
  <si>
    <t>SP-112-Forney v Apfel.pdf</t>
  </si>
  <si>
    <t>113</t>
  </si>
  <si>
    <t>SP-113-Supra Note 92.pdf</t>
  </si>
  <si>
    <t>114</t>
  </si>
  <si>
    <t>SP-114-Supra Note 29.pdf</t>
  </si>
  <si>
    <t>115</t>
  </si>
  <si>
    <t>SP-115-Baca-Prieto v A1 Guigni.pdf</t>
  </si>
  <si>
    <t>116</t>
  </si>
  <si>
    <t>SP-116-Travelstead v Derwinski.pdf</t>
  </si>
  <si>
    <t>117</t>
  </si>
  <si>
    <t>SP-117-St Francis Med CTR v Sullivan.pdf</t>
  </si>
  <si>
    <t>118</t>
  </si>
  <si>
    <t>SP-118-American Export Lines v Alvez.pdf</t>
  </si>
  <si>
    <t>119</t>
  </si>
  <si>
    <t>SP-119-Bohms v Gardner.pdf</t>
  </si>
  <si>
    <t>120</t>
  </si>
  <si>
    <t>SP-120-Mayersky v Celebrezze.pdf</t>
  </si>
  <si>
    <t>121</t>
  </si>
  <si>
    <t>SP-121-Marshall v Celebrezze.pdf</t>
  </si>
  <si>
    <t>LZ</t>
  </si>
  <si>
    <t>122</t>
  </si>
  <si>
    <t>SP-122-Stathatos v Arnold Bernstein SS Corp.pdf</t>
  </si>
  <si>
    <t>123</t>
  </si>
  <si>
    <t>SP-123-412 F 2d.pdf</t>
  </si>
  <si>
    <t>124</t>
  </si>
  <si>
    <t>SP-124-Richardson v Perales.pdf</t>
  </si>
  <si>
    <t>125</t>
  </si>
  <si>
    <t>SP-125-Gold v Weinberger.pdf</t>
  </si>
  <si>
    <t>126</t>
  </si>
  <si>
    <t>SP-126-Gueory v Hampton.pdf</t>
  </si>
  <si>
    <t>127</t>
  </si>
  <si>
    <t>SP-127-Harper v Bowen.pdf</t>
  </si>
  <si>
    <t>128</t>
  </si>
  <si>
    <t>SP-128-Cabot Corp v United States.pdf</t>
  </si>
  <si>
    <t>129</t>
  </si>
  <si>
    <t>SP-129-Pauls v Sec'y of the Air Force.pdf</t>
  </si>
  <si>
    <t>130</t>
  </si>
  <si>
    <t>SP-130-McCoy v Schweiker.pdf</t>
  </si>
  <si>
    <t>131</t>
  </si>
  <si>
    <t>SP-131-Doughty v Bowen.pdf</t>
  </si>
  <si>
    <t>132</t>
  </si>
  <si>
    <t>SP-132-Pierre v Rivkind.pdf</t>
  </si>
  <si>
    <t>133</t>
  </si>
  <si>
    <t>SP-133-Aja Assocs v Army Corps of Eng'rs.pdf</t>
  </si>
  <si>
    <t>134</t>
  </si>
  <si>
    <t>SP-134-Huie v Bowen.pdf</t>
  </si>
  <si>
    <t>135</t>
  </si>
  <si>
    <t>SP-135-Regents of the Univ of Calif v Heckler.pdf</t>
  </si>
  <si>
    <t>136</t>
  </si>
  <si>
    <t>SP-136-Good Samaritan Hosp v Shalala.pdf</t>
  </si>
  <si>
    <t>137</t>
  </si>
  <si>
    <t>SP-137-Bender v Clark.pdf</t>
  </si>
  <si>
    <t>138</t>
  </si>
  <si>
    <t>SP-138-Stone v Heckler.pdf</t>
  </si>
  <si>
    <t>139</t>
  </si>
  <si>
    <t>SP-139-United States v Alcon Labs.pdf</t>
  </si>
  <si>
    <t>140</t>
  </si>
  <si>
    <t>SP-140-Mall.pdf</t>
  </si>
  <si>
    <t>141</t>
  </si>
  <si>
    <t>SP-141-Jeannette Sheet Glass Corp v United States.pdf</t>
  </si>
  <si>
    <t>142</t>
  </si>
  <si>
    <t>SP-142-Mem'l Hosp Sys v Heckler.pdf</t>
  </si>
  <si>
    <t>143</t>
  </si>
  <si>
    <t>SP-143-Farr v Heckler.pdf</t>
  </si>
  <si>
    <t>144</t>
  </si>
  <si>
    <t>SP-144-Eluska v Andrus.pdf</t>
  </si>
  <si>
    <t>145</t>
  </si>
  <si>
    <t>SP-145-Giordano v Roudebush.pdf</t>
  </si>
  <si>
    <t>146</t>
  </si>
  <si>
    <t>SP-146-Occidental Petroleum Corp.pdf</t>
  </si>
  <si>
    <t>147</t>
  </si>
  <si>
    <t>SP-147-Individuals.pdf</t>
  </si>
  <si>
    <t>148</t>
  </si>
  <si>
    <t>SP-148-Cobb Cnty.pdf</t>
  </si>
  <si>
    <t>149</t>
  </si>
  <si>
    <t>SP-149-Shapiro v Paradise Valley Unified SCH Dist.pdf</t>
  </si>
  <si>
    <t>150</t>
  </si>
  <si>
    <t>SP-150-Mead v Reliastar Life Ins Co.pdf</t>
  </si>
  <si>
    <t>151</t>
  </si>
  <si>
    <t>SP-151-World Fuel Corp v Geithner.pdf</t>
  </si>
  <si>
    <t>152</t>
  </si>
  <si>
    <t>SP-152-Miami Tribe.pdf</t>
  </si>
  <si>
    <t>153</t>
  </si>
  <si>
    <t>SP-153-Nat'l Air Traffic Controllers.pdf</t>
  </si>
  <si>
    <t>154</t>
  </si>
  <si>
    <t>SP-154-Supra Notes 98-115 and Accompanying Text.pdf</t>
  </si>
  <si>
    <t>155</t>
  </si>
  <si>
    <t>SP-155-Cotton Petroleum Corp.pdf</t>
  </si>
  <si>
    <t>156</t>
  </si>
  <si>
    <t>SP-156-Infra Notes 177.pdf</t>
  </si>
  <si>
    <t>157</t>
  </si>
  <si>
    <t>SP-157-Infra Notes 134-194 and Accompanying Text.pdf</t>
  </si>
  <si>
    <t>158</t>
  </si>
  <si>
    <t>SP-158-Billboard (1987).pdf</t>
  </si>
  <si>
    <t>159</t>
  </si>
  <si>
    <t>SP-159-Billboard (1976).pdf</t>
  </si>
  <si>
    <t>160</t>
  </si>
  <si>
    <t>SP-160-Paluso.pdf</t>
  </si>
  <si>
    <t>161</t>
  </si>
  <si>
    <t>SP-161-Howell.pdf</t>
  </si>
  <si>
    <t>IG</t>
  </si>
  <si>
    <t>162</t>
  </si>
  <si>
    <t>SP-162-Supra Note 51 and Accompanying Text.pdf</t>
  </si>
  <si>
    <t>163</t>
  </si>
  <si>
    <t>SP-163-Infra Notes 183-185 and Accompanying Text.pdf</t>
  </si>
  <si>
    <t>164</t>
  </si>
  <si>
    <t>SP-164-Infra Notes 186-187 and Accompanying Text.pdf</t>
  </si>
  <si>
    <t>165</t>
  </si>
  <si>
    <t>SP-165-Infra Note 182 and Accompanying Text.pdf</t>
  </si>
  <si>
    <t>166</t>
  </si>
  <si>
    <t>SP-166-Sierra Club v US Dep't of Agric.pdf</t>
  </si>
  <si>
    <t>167</t>
  </si>
  <si>
    <t>SP-167-N Air Cargo v US Postal Serv.pdf</t>
  </si>
  <si>
    <t>168</t>
  </si>
  <si>
    <t>SP-168-NC Fisheries Ass'n v Gutierrez.pdf</t>
  </si>
  <si>
    <t>169</t>
  </si>
  <si>
    <t>SP-169-Lake Pilots Ass'n v US Coast Guard.pdf</t>
  </si>
  <si>
    <t>170</t>
  </si>
  <si>
    <t>SP-170-Oceana.pdf</t>
  </si>
  <si>
    <t>171</t>
  </si>
  <si>
    <t>SP-171-Naacp.pdf</t>
  </si>
  <si>
    <t>172</t>
  </si>
  <si>
    <t>SP-172-Limnia.pdf</t>
  </si>
  <si>
    <t>173</t>
  </si>
  <si>
    <t>SP-173-Am Haw Cruises v Skinner.pdf</t>
  </si>
  <si>
    <t>174</t>
  </si>
  <si>
    <t>SP-174-Koyo Seiko Co v United States.pdf</t>
  </si>
  <si>
    <t>175</t>
  </si>
  <si>
    <t>SP-175-Supra Note 138.pdf</t>
  </si>
  <si>
    <t>176</t>
  </si>
  <si>
    <t>SP-176-Littlefield v Mashpee Wampanoag Indian Tribe.pdf</t>
  </si>
  <si>
    <t>177</t>
  </si>
  <si>
    <t>SP-177-Perales v Sullivan.pdf</t>
  </si>
  <si>
    <t>178</t>
  </si>
  <si>
    <t>SP-178-Silver v Smith.pdf</t>
  </si>
  <si>
    <t>179</t>
  </si>
  <si>
    <t>SP-179-Bey v City of New York.pdf</t>
  </si>
  <si>
    <t>180</t>
  </si>
  <si>
    <t>SP-180-BHD of Maint of Way Emps v Consol Rail Corp.pdf</t>
  </si>
  <si>
    <t>181</t>
  </si>
  <si>
    <t>SP-181-United Steelworkers of Am Local 1913 v Union RR Co.pdf</t>
  </si>
  <si>
    <t>182</t>
  </si>
  <si>
    <t>SP-182-United States v Spears.pdf</t>
  </si>
  <si>
    <t>183</t>
  </si>
  <si>
    <t>SP-183-Horizons.pdf</t>
  </si>
  <si>
    <t>184</t>
  </si>
  <si>
    <t>SP-184-Shipbuilders Council of Am v US Coast Guard.pdf</t>
  </si>
  <si>
    <t>185</t>
  </si>
  <si>
    <t>SP-185-Highlands Conservancy.pdf</t>
  </si>
  <si>
    <t>186</t>
  </si>
  <si>
    <t>SP-186-Hanauer v Reich.pdf</t>
  </si>
  <si>
    <t>187</t>
  </si>
  <si>
    <t>SP-187-Colvin v Sullivan.pdf</t>
  </si>
  <si>
    <t>188</t>
  </si>
  <si>
    <t>SP-188-Nielsen v Hagel.pdf</t>
  </si>
  <si>
    <t>189</t>
  </si>
  <si>
    <t>SP-189-Culbertson v Sec'y of Health and Hum Servs.pdf</t>
  </si>
  <si>
    <t>190</t>
  </si>
  <si>
    <t>SP-190-Adkins v Silverman.pdf</t>
  </si>
  <si>
    <t>191</t>
  </si>
  <si>
    <t>SP-191-BNSF Ry Co v Am Train Dispatchers Ass'n.pdf</t>
  </si>
  <si>
    <t>192</t>
  </si>
  <si>
    <t>SP-192-Schuck v Frank.pdf</t>
  </si>
  <si>
    <t>193</t>
  </si>
  <si>
    <t>SP-193-Ackerman v US Dep't of Agric.pdf</t>
  </si>
  <si>
    <t>194</t>
  </si>
  <si>
    <t>SP-194-Local 1982.pdf</t>
  </si>
  <si>
    <t>195</t>
  </si>
  <si>
    <t>SP-195-Matter.pdf</t>
  </si>
  <si>
    <t>196</t>
  </si>
  <si>
    <t>SP-196-Am Train Dispatchers Dep't of Int'l BHD of Locomotive Eng'rs v Norfolk S Ry Co.pdf</t>
  </si>
  <si>
    <t>197</t>
  </si>
  <si>
    <t>SP-197-Perlman v Swiss Bank Corp Comprehensive Disability Prot Plan.pdf</t>
  </si>
  <si>
    <t>198</t>
  </si>
  <si>
    <t>SP-198-Travis v Sullivan.pdf</t>
  </si>
  <si>
    <t>199</t>
  </si>
  <si>
    <t>SP-199-Izaak Walton.pdf</t>
  </si>
  <si>
    <t>200</t>
  </si>
  <si>
    <t>SP-200-City.pdf</t>
  </si>
  <si>
    <t>201</t>
  </si>
  <si>
    <t>SP-201-Davies v Johanns.pdf</t>
  </si>
  <si>
    <t>BV</t>
  </si>
  <si>
    <t>202</t>
  </si>
  <si>
    <t>SP-202-Supra Note 68 and Accompanying Text.pdf</t>
  </si>
  <si>
    <t>203</t>
  </si>
  <si>
    <t>SP-203-Borntrager v Cent States.pdf</t>
  </si>
  <si>
    <t>204</t>
  </si>
  <si>
    <t>SP-204-Sierra Forest Legacy v Sherman.pdf</t>
  </si>
  <si>
    <t>205</t>
  </si>
  <si>
    <t>SP-205-United States v US Bd of Water Comm'rs.pdf</t>
  </si>
  <si>
    <t>206</t>
  </si>
  <si>
    <t>SP-206-Gallatin Wildlife Ass'n v US Forest Serv.pdf</t>
  </si>
  <si>
    <t>207</t>
  </si>
  <si>
    <t>SP-207-Supra Notes 53-97 and Accompanying Text.pdf</t>
  </si>
  <si>
    <t>208</t>
  </si>
  <si>
    <t>SP-208-Nat'l Wildlife Fed'n v Nat'l Marine Fisheries Serv.pdf</t>
  </si>
  <si>
    <t>209</t>
  </si>
  <si>
    <t>SP-209-Oregon Wild v Bureau of Land MGMT.pdf</t>
  </si>
  <si>
    <t>210</t>
  </si>
  <si>
    <t>SP-210-Crow Indian Tribe v United States.pdf</t>
  </si>
  <si>
    <t>211</t>
  </si>
  <si>
    <t>SP-211-Skagit Cnty.pdf</t>
  </si>
  <si>
    <t>212</t>
  </si>
  <si>
    <t>SP-212-Neighbors Against Bison Slaughter v Nat'l Park Serv.pdf</t>
  </si>
  <si>
    <t>213</t>
  </si>
  <si>
    <t>SP-213-Zen.pdf</t>
  </si>
  <si>
    <t>214</t>
  </si>
  <si>
    <t>SP-214-Pit River Tribe v US Forest Serv.pdf</t>
  </si>
  <si>
    <t>215</t>
  </si>
  <si>
    <t>SP-215-Bair v Cal Dep't of Transp.pdf</t>
  </si>
  <si>
    <t>216</t>
  </si>
  <si>
    <t>SP-216-W Energy Alliance.pdf</t>
  </si>
  <si>
    <t>217</t>
  </si>
  <si>
    <t>SP-217-Graham.pdf</t>
  </si>
  <si>
    <t>218</t>
  </si>
  <si>
    <t>SP-218-American Wild Horse Preservation Campaign v Jewell.pdf</t>
  </si>
  <si>
    <t>219</t>
  </si>
  <si>
    <t>SP-219-New Mexico Health Connections v US Dep't of Health and Human Servs.pdf</t>
  </si>
  <si>
    <t>220</t>
  </si>
  <si>
    <t>SP-220-Rocky MTN Wild v Dallas.pdf</t>
  </si>
  <si>
    <t>221</t>
  </si>
  <si>
    <t>SP-221-Trout Unlimited v US Dep't of Agric.pdf</t>
  </si>
  <si>
    <t>222</t>
  </si>
  <si>
    <t>SP-222-Merit.pdf</t>
  </si>
  <si>
    <t>223</t>
  </si>
  <si>
    <t>SP-223-S Utah Wilderness Alliance v Kempthorne.pdf</t>
  </si>
  <si>
    <t>224</t>
  </si>
  <si>
    <t>SP-224-Rocky MTN Unpublished.pdf</t>
  </si>
  <si>
    <t>225</t>
  </si>
  <si>
    <t>SP-225-Dine Citizens Against Ruining Our Env't v Klein.pdf</t>
  </si>
  <si>
    <t>226</t>
  </si>
  <si>
    <t>SP-226-Mci Telecomms Corp v Bellsouth Telecomms Corp.pdf</t>
  </si>
  <si>
    <t>227</t>
  </si>
  <si>
    <t>SP-227-Fla.pdf</t>
  </si>
  <si>
    <t>228</t>
  </si>
  <si>
    <t>SP-228-Supra Notes 145-146.pdf</t>
  </si>
  <si>
    <t>229</t>
  </si>
  <si>
    <t>SP-229-Cherokee Nation v Bernhardt.pdf</t>
  </si>
  <si>
    <t>230</t>
  </si>
  <si>
    <t>SP-230-Supra Note 165 and Accompanying Text.pdf</t>
  </si>
  <si>
    <t>231</t>
  </si>
  <si>
    <t>SP-231-Administrative Office.pdf</t>
  </si>
  <si>
    <t>232</t>
  </si>
  <si>
    <t>SP-232-Chang v United States.pdf</t>
  </si>
  <si>
    <t>233</t>
  </si>
  <si>
    <t>SP-233-Bitterroot.pdf</t>
  </si>
  <si>
    <t>234</t>
  </si>
  <si>
    <t>SP-234-Infra Notes 227-251.pdf</t>
  </si>
  <si>
    <t>235</t>
  </si>
  <si>
    <t>SP-235-Stubblefield v Windsor Cap GRP.pdf</t>
  </si>
  <si>
    <t>236</t>
  </si>
  <si>
    <t>SP-236-Boughton v Cotter Corp.pdf</t>
  </si>
  <si>
    <t>237</t>
  </si>
  <si>
    <t>SP-237-Supra Notes 176-177 and Accompanying Text.pdf</t>
  </si>
  <si>
    <t>238</t>
  </si>
  <si>
    <t>SP-238-Johnsen.pdf</t>
  </si>
  <si>
    <t>239</t>
  </si>
  <si>
    <t>SP-239-Rabin.pdf</t>
  </si>
  <si>
    <t>240</t>
  </si>
  <si>
    <t>SP-240-Spitzer.pdf</t>
  </si>
  <si>
    <t>241</t>
  </si>
  <si>
    <t>SP-241-Stephenson.pdf</t>
  </si>
  <si>
    <t>SSH</t>
  </si>
  <si>
    <t>242</t>
  </si>
  <si>
    <t>SP-242-Postell.pdf</t>
  </si>
  <si>
    <t>243</t>
  </si>
  <si>
    <t>SP-243-Ilan.pdf</t>
  </si>
  <si>
    <t>244</t>
  </si>
  <si>
    <t>SP-244-Freeman.pdf</t>
  </si>
  <si>
    <t>245</t>
  </si>
  <si>
    <t>SP-245-Boyden.pdf</t>
  </si>
  <si>
    <t>246</t>
  </si>
  <si>
    <t>SP-246-Vertesch.pdf</t>
  </si>
  <si>
    <t>247</t>
  </si>
  <si>
    <t>SP-247-Infra Notes 273-277 and Accompanying Text.pdf</t>
  </si>
  <si>
    <t>248</t>
  </si>
  <si>
    <t>SP-248-Barkow.pdf</t>
  </si>
  <si>
    <t>249</t>
  </si>
  <si>
    <t>SP-249-M.pdf</t>
  </si>
  <si>
    <t>250</t>
  </si>
  <si>
    <t>SP-250-Farber.pdf</t>
  </si>
  <si>
    <t>251</t>
  </si>
  <si>
    <t>SP-251-Prusak.pdf</t>
  </si>
  <si>
    <t>252</t>
  </si>
  <si>
    <t>SP-252-Hilary.pdf</t>
  </si>
  <si>
    <t>253</t>
  </si>
  <si>
    <t>SP-253-Associated.pdf</t>
  </si>
  <si>
    <t>254</t>
  </si>
  <si>
    <t>SP-254-42 USC 4321.pdf</t>
  </si>
  <si>
    <t>255</t>
  </si>
  <si>
    <t>SP-255-Complaint.pdf</t>
  </si>
  <si>
    <t>256</t>
  </si>
  <si>
    <t>SP-256-Infra Notes 244-250 and Accompanying Text.pdf</t>
  </si>
  <si>
    <t>257</t>
  </si>
  <si>
    <t>SP-257-Brief.pdf</t>
  </si>
  <si>
    <t>258</t>
  </si>
  <si>
    <t>SP-258-FONSI.pdf</t>
  </si>
  <si>
    <t>259</t>
  </si>
  <si>
    <t>SP-259-Friends 2008.pdf</t>
  </si>
  <si>
    <t>260</t>
  </si>
  <si>
    <t>SP-260-Friends 2007.pdf</t>
  </si>
  <si>
    <t>261</t>
  </si>
  <si>
    <t>SP-261-USDA.pdf</t>
  </si>
  <si>
    <t>262</t>
  </si>
  <si>
    <t>SP-262-Supra Notes 184-185 and Accompanying Text.pdf</t>
  </si>
  <si>
    <t>263</t>
  </si>
  <si>
    <t>SP-263-Desert Survivors v United States Dep't of the Interior.pdf</t>
  </si>
  <si>
    <t>264</t>
  </si>
  <si>
    <t>SP-264-Supra Notes 35-38 and Accompanying Text.pdf</t>
  </si>
  <si>
    <t>265</t>
  </si>
  <si>
    <t>SP-265-Cherokee Nation.pdf</t>
  </si>
  <si>
    <t>266</t>
  </si>
  <si>
    <t>SP-266-Supra Notes 136-137 and Accompanying Text.pdf</t>
  </si>
  <si>
    <t>267</t>
  </si>
  <si>
    <t>SP-267-Supra Notes 219-223 and Accompanying Text.pdf</t>
  </si>
  <si>
    <t>268</t>
  </si>
  <si>
    <t>SP-268-Deposit Guaranty Nat'l Bank v Roper.pdf</t>
  </si>
  <si>
    <t>269</t>
  </si>
  <si>
    <t>SP-269-Envtl Prot Info CTR v Pac Lumber Co.pdf</t>
  </si>
  <si>
    <t>270</t>
  </si>
  <si>
    <t>SP-270-California v Rooney.pdf</t>
  </si>
  <si>
    <t>271</t>
  </si>
  <si>
    <t>SP-271-NRDC.pdf</t>
  </si>
  <si>
    <t>272</t>
  </si>
  <si>
    <t>SP-272-Camreta.pdf</t>
  </si>
  <si>
    <t>273</t>
  </si>
  <si>
    <t>SP-273-Cottonwood.pdf</t>
  </si>
  <si>
    <t>274</t>
  </si>
  <si>
    <t>SP-274-Gersen.pdf</t>
  </si>
  <si>
    <t>275</t>
  </si>
  <si>
    <t>SP-275-53 F 4th.pdf</t>
  </si>
  <si>
    <t>276</t>
  </si>
  <si>
    <t>SP-276-In Re Clean Water Act.pdf</t>
  </si>
  <si>
    <t>277</t>
  </si>
  <si>
    <t>SP-277-Mont Wildlife Fed'n v Haaland.pdf</t>
  </si>
  <si>
    <t>278</t>
  </si>
  <si>
    <t>SP-278-Supra Notes 211-214 and Accompanying Text.pdf</t>
  </si>
  <si>
    <t>279</t>
  </si>
  <si>
    <t>SP-279-69 F 4th.pdf</t>
  </si>
  <si>
    <t>280</t>
  </si>
  <si>
    <t>SP-280-Thompson.pdf</t>
  </si>
  <si>
    <t>BR</t>
  </si>
  <si>
    <t>281</t>
  </si>
  <si>
    <t>SP-281-Supra Notes 186-192.pdf</t>
  </si>
  <si>
    <t>282</t>
  </si>
  <si>
    <t>SP-282-Mergen.pdf</t>
  </si>
  <si>
    <t>283</t>
  </si>
  <si>
    <t>SP-283-Supra Part ID 4.pdf</t>
  </si>
  <si>
    <t>284</t>
  </si>
  <si>
    <t>SP-284-Loper Bright Enterprises v Raimondo.pdf</t>
  </si>
  <si>
    <t>285</t>
  </si>
  <si>
    <t>SP-285-Chevron.pdf</t>
  </si>
  <si>
    <t>286</t>
  </si>
  <si>
    <t>SP-286-Seven County Infrastructure Coalition v Eagle County.pdf</t>
  </si>
  <si>
    <t>287</t>
  </si>
  <si>
    <t>SP-287-Kisor v Wilkie.pdf</t>
  </si>
  <si>
    <t>288</t>
  </si>
  <si>
    <t>SP-288-Securities and Exchange Comm'n v Jarkesy.pdf</t>
  </si>
  <si>
    <t>289</t>
  </si>
  <si>
    <t>SP-289-Biden v Nebraska.pdf</t>
  </si>
  <si>
    <t>290</t>
  </si>
  <si>
    <t>SP-290-W Va v Env't Prot Agency.pdf</t>
  </si>
  <si>
    <t>291</t>
  </si>
  <si>
    <t>SP-291-Alabama Ass'n of Realtors v Dep't of Health and Human Servs.pdf</t>
  </si>
  <si>
    <t>292</t>
  </si>
  <si>
    <t>SP-292-Corner.pdf</t>
  </si>
  <si>
    <t>293</t>
  </si>
  <si>
    <t>SP-293-28 USC 2401(A.pdf</t>
  </si>
  <si>
    <t>294</t>
  </si>
  <si>
    <t>SP-294-Sivas.pdf</t>
  </si>
  <si>
    <t>295</t>
  </si>
  <si>
    <t>SP-295-Utah State Dep't of Health v Kennecott Corp.pdf</t>
  </si>
  <si>
    <t>296</t>
  </si>
  <si>
    <t>SP-296-15a Wright.pdf</t>
  </si>
  <si>
    <t>297</t>
  </si>
  <si>
    <t>SP-297-Fed 54(b.pdf</t>
  </si>
  <si>
    <t>298</t>
  </si>
  <si>
    <t>SP-298-Aaron P v Dep't of Educ.pdf</t>
  </si>
  <si>
    <t>299</t>
  </si>
  <si>
    <t>SP-299-Miami Tribe Distr. Ct..pdf</t>
  </si>
  <si>
    <t>300</t>
  </si>
  <si>
    <t>SP-300-Associated Mortg.pdf</t>
  </si>
  <si>
    <t>301</t>
  </si>
  <si>
    <t>SP-301-Wild Rockies.pdf</t>
  </si>
  <si>
    <t>302</t>
  </si>
  <si>
    <t>SP-302-McBride v Citgo Petroleum Corp.pdf</t>
  </si>
  <si>
    <t>303</t>
  </si>
  <si>
    <t>SP-303-Federal Practice 3949 4.pdf</t>
  </si>
  <si>
    <t>304</t>
  </si>
  <si>
    <t>SP-304-Viraj.pdf</t>
  </si>
  <si>
    <t>305</t>
  </si>
  <si>
    <t>SP-305-O'Connell Agency.pdf</t>
  </si>
  <si>
    <t>306</t>
  </si>
  <si>
    <t>SP-306-O'Connell Cycles.pdf</t>
  </si>
  <si>
    <t>307</t>
  </si>
  <si>
    <t>SP-307-Supra Notes 272-277 and Accompanying Text.pdf</t>
  </si>
  <si>
    <t>308</t>
  </si>
  <si>
    <t>SP-308-Rule 54(b).pdf</t>
  </si>
  <si>
    <t>309</t>
  </si>
  <si>
    <t>SP-309-Supra Notes 67.pdf</t>
  </si>
  <si>
    <t>310</t>
  </si>
  <si>
    <t>SP-310-Supra Notes 132-194 and Accompanying Text.pdf</t>
  </si>
  <si>
    <t>311</t>
  </si>
  <si>
    <t>SP-311-Supra Notes 127.pdf</t>
  </si>
  <si>
    <t>312</t>
  </si>
  <si>
    <t>SP-312-Supra Note 163 and Accompanying Text.pdf</t>
  </si>
  <si>
    <t>313</t>
  </si>
  <si>
    <t>SP-313-Supra Note 136 and Accompanying Text.pdf</t>
  </si>
  <si>
    <t>314</t>
  </si>
  <si>
    <t>SP-314-Supra Note 175 and Accompanying Text.pdf</t>
  </si>
  <si>
    <t>315</t>
  </si>
  <si>
    <t>SP-315-Supra Note 174 and Accompanying Text.pdf</t>
  </si>
  <si>
    <t>316</t>
  </si>
  <si>
    <t>SP-316-Supra Notes 115.pdf</t>
  </si>
  <si>
    <t>317</t>
  </si>
  <si>
    <t>SP-317-Supra Note 269 and Accompanying Text.pdf</t>
  </si>
  <si>
    <t>318</t>
  </si>
  <si>
    <t>SP-318-Supra Notes 282-287 and Accompanying Text.pdf</t>
  </si>
  <si>
    <t>319</t>
  </si>
  <si>
    <t>SP-319-Supra Notes 280-281 and Accompanying Text.pdf</t>
  </si>
  <si>
    <t>320</t>
  </si>
  <si>
    <t>SP-320-28 USC 158(d.pdf</t>
  </si>
  <si>
    <t>321</t>
  </si>
  <si>
    <t>SP-321-28 USC 2253.pdf</t>
  </si>
  <si>
    <t>322</t>
  </si>
  <si>
    <t>SP-322-28 USC 1295.pdf</t>
  </si>
  <si>
    <t>323</t>
  </si>
  <si>
    <t>SP-323-38 USC 7291.pdf</t>
  </si>
  <si>
    <t>324</t>
  </si>
  <si>
    <t>SP-324-28 USC 2702(c).pdf</t>
  </si>
  <si>
    <t>325</t>
  </si>
  <si>
    <t>SP-325-Walker James.pdf</t>
  </si>
  <si>
    <t>326</t>
  </si>
  <si>
    <t>SP-326-Supra Notes 299-301 and Accompanying Text.pdf</t>
  </si>
  <si>
    <t>327</t>
  </si>
  <si>
    <t>SP-327-Supra Note 116.pdf</t>
  </si>
  <si>
    <t>Source</t>
  </si>
  <si>
    <t>Drive</t>
  </si>
  <si>
    <t>Round 1</t>
  </si>
  <si>
    <t>Round 2</t>
  </si>
  <si>
    <t>SP String
(DNE)</t>
  </si>
  <si>
    <t>R1 String
(DNE)</t>
  </si>
  <si>
    <t>R2 String
(DNE)</t>
  </si>
  <si>
    <t>SP</t>
  </si>
  <si>
    <t>R1</t>
  </si>
  <si>
    <t>R2</t>
  </si>
  <si>
    <t>MEM</t>
  </si>
  <si>
    <t>Supports?</t>
  </si>
  <si>
    <t>Citation Elements</t>
  </si>
  <si>
    <t>MEM Comments</t>
  </si>
  <si>
    <t>SE Response</t>
  </si>
  <si>
    <t>Kickback Response</t>
  </si>
  <si>
    <t>Keep this row hidden / do not edit!</t>
  </si>
  <si>
    <t>Y</t>
  </si>
  <si>
    <t>N/A</t>
  </si>
  <si>
    <t>None</t>
  </si>
  <si>
    <t>Stanford Searchworks</t>
  </si>
  <si>
    <t>Jeff Munson, “Emigrant Trail tour promises spectacular colors,” Tahoe Daily Tribune (Oct. 12, 2005), https://www.tahoedailytribune.com/news/emigrant-trail-tour-promises-spectacular-colors/</t>
  </si>
  <si>
    <t>Website</t>
  </si>
  <si>
    <t>N</t>
  </si>
  <si>
    <r>
      <rPr>
        <rFont val="Arial"/>
        <color rgb="FF000000"/>
      </rPr>
      <t xml:space="preserve">The URL in the foonote leads to a 404 error. I tried finding the winter recreation map separately, just via google search, and arrived at this page: </t>
    </r>
    <r>
      <rPr>
        <rFont val="Arial"/>
        <color rgb="FF1155CC"/>
        <u/>
      </rPr>
      <t>https://www.fs.usda.gov/r04/humboldt-toiyabe/recreation/hope-valley-sno-parktrailhead.</t>
    </r>
    <r>
      <rPr>
        <rFont val="Arial"/>
        <color rgb="FF000000"/>
      </rPr>
      <t xml:space="preserve"> Unfortunately, clicking the "Click here for a map" button on that page also yields a 404 error. I think the map may no longer exist.</t>
    </r>
  </si>
  <si>
    <t>Yes: aff’d in part, dismissed in part,  Friends of Hope Valley v. U.S. Forest Serv., 203 F. App'x 883 (9th Cir. 2006).</t>
  </si>
  <si>
    <t>Bloomberg (not available on Westlaw or Lexis)</t>
  </si>
  <si>
    <t>I didn't merge the subsequent history into this sourcepull pdf, because we already have the 9th Circuit case as a separate source ID.</t>
  </si>
  <si>
    <t>Westlaw</t>
  </si>
  <si>
    <t>GPO</t>
  </si>
  <si>
    <t>The sourcepull PDF includes §§ 551-553 and 701-706, in accordance with the author's footnote.</t>
  </si>
  <si>
    <t>Internal Cross Ref</t>
  </si>
  <si>
    <t>Y (included both p.21-77 and 143-220; the latter range is cited in FN 200)</t>
  </si>
  <si>
    <t>Stanford Searchworks (full format-preserving ebook was available)</t>
  </si>
  <si>
    <t>HeinOnline</t>
  </si>
  <si>
    <t>I kept p.19 in the PDF because the author includes that page in the cross-reference, even though footnote 97 ends on p.18.</t>
  </si>
  <si>
    <t>Indiana Law Journal Website (unavailable elsewhere)</t>
  </si>
  <si>
    <t>This source is from the Indiana Law Journal "Supplement," which is Indaina's online law journal. No table of contents was available, so I included some additional screenshots/information in the sourcepull pdf to show consecutive pagination and provide the necessary citation information.</t>
  </si>
  <si>
    <t>No</t>
  </si>
  <si>
    <r>
      <rPr>
        <rFont val="Arial"/>
        <color rgb="FF000000"/>
      </rPr>
      <t xml:space="preserve">This appears to be a paper that was presented at a conference; all of the papers presented at the conference were subsequently published in a volume that is available for purchase here: </t>
    </r>
    <r>
      <rPr>
        <rFont val="Arial"/>
        <color rgb="FF1155CC"/>
        <u/>
      </rPr>
      <t>https://www.fnrel.org/publications/bookstore/challenging-and-defending-federal-natural-resource-agency-decisions.</t>
    </r>
    <r>
      <rPr>
        <rFont val="Arial"/>
        <color rgb="FF000000"/>
      </rPr>
      <t xml:space="preserve"> As far as I can tell, Stanford libraries do not have that volume. The paper is also available on Westlaw, which is presumably where the author found it. I pulled the Westlaw version, but I'm happy to try something else.</t>
    </r>
  </si>
  <si>
    <t xml:space="preserve">Per RB 15.4, I pulled the online (Westlaw) version of this treatise, because it is regularly updated. </t>
  </si>
  <si>
    <t>Same comment as previous row.</t>
  </si>
  <si>
    <t>Flagging that this cross reference refers to two ranges of footnotes, which is not reflected in the source ID name.</t>
  </si>
  <si>
    <t>Yes</t>
  </si>
  <si>
    <t>Author Provided</t>
  </si>
  <si>
    <t>Article</t>
  </si>
  <si>
    <t>uscourts.gov</t>
  </si>
  <si>
    <t>JSTOR</t>
  </si>
  <si>
    <t>Library of Congress</t>
  </si>
  <si>
    <t>Because SLR doesn't allow citing to preliminary prints, I tried to find a copy of the S. Ct. reporter (and we will have to change the pincites). Westlaw didn't have a pdf of the Supreme Court reporter, so I just directly downloaded from Westlaw. I'll check the library to see if they have it.</t>
  </si>
  <si>
    <t>Iowa Law Review Website</t>
  </si>
  <si>
    <t>I confirmed that the Iowa Law Review Online is consecutively paginated by clicking on a couple of volumes and seeing whether the beginning pages varied (they do), but I'm not sure what to link onto the document to prove that since there's no singular table of contents.</t>
  </si>
  <si>
    <t>George Washington Law Review Website</t>
  </si>
  <si>
    <t>The Administrative Law Review classifies the piece as an Article but the author is a student, so I'm not sure what this should be.</t>
  </si>
  <si>
    <t>Tulane Library</t>
  </si>
  <si>
    <t>I confirmed that the journal is consecutively paginated by clicking on a couple of volumes and seeing whether the beginning pages varied (they do), but I'm not sure what to link onto the document to prove that since there's no singular table of contents.</t>
  </si>
  <si>
    <t>GovInfo</t>
  </si>
  <si>
    <t>Tried to find in the library but they only had the supplement and not the original.</t>
  </si>
  <si>
    <t>HathiTrust</t>
  </si>
  <si>
    <t>This is a reprint of the Eng. Rep. report. I have a copy of the Co. Rep. in case this doesn't count as format preserving but it's from 1800 and really horrible to look at.</t>
  </si>
  <si>
    <t>Original full cite truncated what was in the article. Updated that cell to have the actual full cite.</t>
  </si>
  <si>
    <t xml:space="preserve">Seems like there are two different reporter versions, with S.Ct being the default. I can only seem to find the page numbers for the US reporter starting from pg. 103, rather than pg. 100. </t>
  </si>
  <si>
    <t>There seems to be an "implied overruing" by a 5th Circ court, but that overruling was then vacated – do we still need to include this?</t>
  </si>
  <si>
    <t>Does "criticized in" count?</t>
  </si>
  <si>
    <t>Texas court of appeals in AVM-HOU, Ltd. v. Cap. Metro. Transp. Auth. says "We observe that General Motors may have been overruled in part by Kimball, in that the Court in General Motors," but Kimball (a SCOTUS case) is not listed as a negative treatment case. Do any additional cases need to be pulled?</t>
  </si>
  <si>
    <t>It says "overruling risk - negative treatmentOverruling Risk Gulfstream Aerospace Corp. v. Mayacamas Corp., U.S.Cal., March 22, 1988" on Westlaw, but this case is not listed under negative treatment, nor does it directly reference Stringfellow. Not sure if anything needs to be pulled?</t>
  </si>
  <si>
    <t>There are a couple cases that reference various other cases to suggest there is an implied(?) overruling, but I'm not sure if non-explicit overruings count?</t>
  </si>
  <si>
    <t>AP</t>
  </si>
  <si>
    <t>WL</t>
  </si>
  <si>
    <t>CAP</t>
  </si>
  <si>
    <t>The volume and reporter was redacted so I added it manually.</t>
  </si>
  <si>
    <t>Yes: Rejected by Shafii v. PLC British Airways</t>
  </si>
  <si>
    <t>Only filed date listed, so boxed date in the "cite as"</t>
  </si>
  <si>
    <t>This is unpublished and I could only find the WL non-format-preserving version. Also, only the filed date was listed so I boxed the date in the citation at the top.</t>
  </si>
  <si>
    <t>This is unpublished and it does not appear in the format-preserving PDFs in CAP (https://case.law/caselaw/?reporter=f3d&amp;volume=67). This version does not have pagination starting at 301.</t>
  </si>
  <si>
    <t>Yes: Rehearing and rehearing en banc, denied</t>
  </si>
  <si>
    <t>Could not find any additional sources for Rehearing and Rehearing En Banc Denied Jan. 6, 2000.</t>
  </si>
  <si>
    <t>yes</t>
  </si>
  <si>
    <t>n/a</t>
  </si>
  <si>
    <t>none</t>
  </si>
  <si>
    <t xml:space="preserve">I checked hein online and caselaw project, and could not locate a format preserving version. </t>
  </si>
  <si>
    <t>I checked hein and it was not available. Caselaw Project was all blacked out and no front cover was available so I pulled from WL</t>
  </si>
  <si>
    <t>Caselaw Project</t>
  </si>
  <si>
    <t>Starts at page 379</t>
  </si>
  <si>
    <t xml:space="preserve">Yes </t>
  </si>
  <si>
    <r>
      <rPr>
        <rFont val="Arial"/>
        <color rgb="FF000000"/>
        <sz val="10.0"/>
      </rPr>
      <t xml:space="preserve">John Prusak, Exclusive: 2022 Snowmobile Sales Data Shows Winners, Losers, SnowGoer (June 13, 2022) (displaying chart of national snowmobile use between 1980 and 2022, with a peak in the 1990s), </t>
    </r>
    <r>
      <rPr>
        <rFont val="Arial"/>
        <color rgb="FF1155CC"/>
        <sz val="10.0"/>
        <u/>
      </rPr>
      <t>https://snowgoer.com/latest-news/exclusive-2022-snowmobile-sales-data-shows-winners-losers/30784/</t>
    </r>
  </si>
  <si>
    <r>
      <rPr>
        <rFont val="Arial"/>
        <color rgb="FF000000"/>
        <sz val="10.0"/>
      </rPr>
      <t xml:space="preserve">Hilary Eisen, Winter Wildlands Alliance, Winter Recreation on National Forest Lands, 2-3, 20 (June 2015) (discussing changes in snowmobile technology in 1990s that increased snowmobiles’ popularity, especially on National Forest System lands, and showing current snowmobile visits per year in the Lake Tahoe Basin), </t>
    </r>
    <r>
      <rPr>
        <rFont val="Arial"/>
        <color rgb="FF1155CC"/>
        <sz val="10.0"/>
        <u/>
      </rPr>
      <t>https://winterwildlands.org/wp-content/uploads/2015/06/2015-Winter-Rec-Report.pdf</t>
    </r>
  </si>
  <si>
    <r>
      <rPr>
        <rFont val="Arial"/>
        <color rgb="FF000000"/>
        <sz val="10.0"/>
      </rPr>
      <t xml:space="preserve">Associated Press, “Latest snowmobile debate centers on small California road,” Tahoe Daily Tribune (Dec. 25, 2001), </t>
    </r>
    <r>
      <rPr>
        <rFont val="Arial"/>
        <color rgb="FF1155CC"/>
        <sz val="10.0"/>
        <u/>
      </rPr>
      <t>https://www.tahoedailytribune.com/news/latest-snowmobile-debate-centers-on-small-california-road/</t>
    </r>
  </si>
  <si>
    <t>Friends of Hope Valley, Friends of Hope Valley Newsletter, 1 (Spring 2008), https://www.friendsofhopevalley.org/2008newsletterweb.pdf</t>
  </si>
  <si>
    <r>
      <rPr>
        <rFont val="Arial"/>
        <color rgb="FF000000"/>
      </rPr>
      <t xml:space="preserve">The link leads you to a weird site. Need help from the author, because there is a website </t>
    </r>
    <r>
      <rPr>
        <rFont val="Arial"/>
        <color rgb="FF1155CC"/>
        <u/>
      </rPr>
      <t>https://www.fohvos.info/newsletter/</t>
    </r>
    <r>
      <rPr>
        <rFont val="Arial"/>
        <color rgb="FF000000"/>
      </rPr>
      <t>, but it does not have a Winter 2007 newsletter, i.e. 260-Friends 2007. Need clarification from author</t>
    </r>
  </si>
  <si>
    <t>Same</t>
  </si>
  <si>
    <t>Page Not Found -- need clarification from author</t>
  </si>
  <si>
    <t>328</t>
  </si>
  <si>
    <t>SP-328-Herman.pdf</t>
  </si>
  <si>
    <t>MU (SE)</t>
  </si>
  <si>
    <t>329</t>
  </si>
  <si>
    <t>SP-329-Cudahy.pdf</t>
  </si>
  <si>
    <t>330</t>
  </si>
  <si>
    <t>SP-330-Carson.pdf</t>
  </si>
  <si>
    <t>331</t>
  </si>
  <si>
    <t>SP-331-Washoe USDA.pdf</t>
  </si>
  <si>
    <t>Online</t>
  </si>
  <si>
    <r>
      <rPr>
        <rFont val="Arial"/>
        <color rgb="FF000000"/>
      </rPr>
      <t xml:space="preserve">The link in the citation does not work. I used this instead: </t>
    </r>
    <r>
      <rPr>
        <rFont val="Arial"/>
        <color rgb="FF1155CC"/>
        <u/>
      </rPr>
      <t xml:space="preserve">https://www.fs.usda.gov/sites/nfs/files/legacy-media/laketahoebasin/Washoe%20History.pdf
</t>
    </r>
    <r>
      <rPr>
        <rFont val="Arial"/>
        <color rgb="FF000000"/>
      </rPr>
      <t>I treated this as a website, but the institution running the page is unclear. I boxed the copyright date on the very last page.</t>
    </r>
  </si>
  <si>
    <t>332</t>
  </si>
  <si>
    <t>SP-332-Washoe History.pdf</t>
  </si>
  <si>
    <t>R1-001-01-328-Herman.pdf</t>
  </si>
  <si>
    <t>01</t>
  </si>
  <si>
    <t>R1-001-02-329-Cudahy.pdf</t>
  </si>
  <si>
    <t>02</t>
  </si>
  <si>
    <t>R1-001-03-330-Carson.pdf</t>
  </si>
  <si>
    <t>03</t>
  </si>
  <si>
    <t>R1-001-04-331-Washoe USDA.pdf</t>
  </si>
  <si>
    <t>04</t>
  </si>
  <si>
    <t>R1-001-05-332-Washoe History.pdf</t>
  </si>
  <si>
    <t>05</t>
  </si>
  <si>
    <t>R1-002-01-001-Tortorich.pdf</t>
  </si>
  <si>
    <t>R1-002-02-002-Munson.pdf</t>
  </si>
  <si>
    <t>R1-003-01-003-Hope Valley Recreation.pdf</t>
  </si>
  <si>
    <t>R1-004-01-004-Memorandum.pdf</t>
  </si>
  <si>
    <t>R1-005-01-004-Memorandum.pdf</t>
  </si>
  <si>
    <t>R1-006-01-005-Friends of Hope Valley v US Forest Service.pdf</t>
  </si>
  <si>
    <t>R1-007-01-005-Friends of Hope Valley v US Forest Service.pdf</t>
  </si>
  <si>
    <t>R1-007-02-006-APA.pdf</t>
  </si>
  <si>
    <t>R1-007-03-007-Infra Notes 113, 151-153.pdf</t>
  </si>
  <si>
    <t>R1-008-01-005-Friends of Hope Valley v US Forest Service.pdf</t>
  </si>
  <si>
    <t>R1-008-02-008-Alsea Valley Alliance v Dep't of Commerce.pdf</t>
  </si>
  <si>
    <t>R1-009-01-008-Alsea Valley Alliance v Dep't of Commerce.pdf</t>
  </si>
  <si>
    <t>R1-009-02-009-Infra Part IB.pdf</t>
  </si>
  <si>
    <t>R1-009-03-010-Infra Note 23.pdf</t>
  </si>
  <si>
    <t>R1-010-01-011-Denver Cnty.pdf</t>
  </si>
  <si>
    <t>R1-010-02-012-Montana Env't Info CTR.pdf</t>
  </si>
  <si>
    <t>R1-010-03-013-Dcor.pdf</t>
  </si>
  <si>
    <t>R1-011-01-014-Infra Part I.pdf</t>
  </si>
  <si>
    <t>R1-001-00-015-Michaels.pdf</t>
  </si>
  <si>
    <t>00</t>
  </si>
  <si>
    <t>R1-011-02-016-Developments.pdf</t>
  </si>
  <si>
    <t>R1-011-03-017-Ho.pdf</t>
  </si>
  <si>
    <t>R1-011-04-018-Jordan.pdf</t>
  </si>
  <si>
    <t>R1-012-01-019-Finkelstein.pdf</t>
  </si>
  <si>
    <t>R1-012-02-020-Infra Notes 89-97 and Accompanying Text Pp 17-19.pdf</t>
  </si>
  <si>
    <t>R1-013-01-021-Lammon Appealability.pdf</t>
  </si>
  <si>
    <t>R1-013-02-022-Lammon Dizzying.pdf</t>
  </si>
  <si>
    <t>R1-013-03-023-Krent.pdf</t>
  </si>
  <si>
    <t>R1-013-04-024-Biever.pdf</t>
  </si>
  <si>
    <t>R1-013-05-025-Lynch.pdf</t>
  </si>
  <si>
    <t>R1-013-06-026-Federal Practice 3914 32.pdf</t>
  </si>
  <si>
    <t>06</t>
  </si>
  <si>
    <t>R1-013-07-027-Federal Practice 3903.pdf</t>
  </si>
  <si>
    <t>07</t>
  </si>
  <si>
    <t>R1-013-08-028-73a CJS.pdf</t>
  </si>
  <si>
    <t>08</t>
  </si>
  <si>
    <t>R1-013-09-029-Fed Ct.pdf</t>
  </si>
  <si>
    <t>09</t>
  </si>
  <si>
    <t>R1-014-01-030-Infra Notes 39-51 and Accompanying Text.pdf</t>
  </si>
  <si>
    <t>R1-015-01-031-Infra Notes 46-48 and Accompanying Text.pdf</t>
  </si>
  <si>
    <t>R1-016-01-032-Pueblo of Sandia v Babbitt.pdf</t>
  </si>
  <si>
    <t>R1-017-01-033-CTR for Biological Diversity v Bureau of Land MGMT.pdf</t>
  </si>
  <si>
    <t>R1-017-02-034-NY Legal Assistance GRP v Cardona.pdf</t>
  </si>
  <si>
    <t>R1-018-01-035-Infra Notes 132-192 and Accompanying Text.pdf</t>
  </si>
  <si>
    <t>R1-019-01-036-Infra Notes 193-194.pdf</t>
  </si>
  <si>
    <t>R1-020-01-037-Clopton.pdf</t>
  </si>
  <si>
    <t>R1-021-01-038-Jackson.pdf</t>
  </si>
  <si>
    <t>R1-021-02-039-John Muir Health.pdf</t>
  </si>
  <si>
    <t>R1-021-03-040-Federman.pdf</t>
  </si>
  <si>
    <t>R1-021-04-041-Holton.pdf</t>
  </si>
  <si>
    <t>R1-021-05-042-Bearns.pdf</t>
  </si>
  <si>
    <t>R1-022-01-043-Am Constr Co.pdf</t>
  </si>
  <si>
    <t>R1-023-01-044-Infra Notes 29.pdf</t>
  </si>
  <si>
    <t>R1-024-01-045-1291.pdf</t>
  </si>
  <si>
    <t>R1-025-01-046-1292.pdf</t>
  </si>
  <si>
    <t>R1-026-01-047-Federal Rule.pdf</t>
  </si>
  <si>
    <t>R1-026-02-046-1292.pdf</t>
  </si>
  <si>
    <t>R1-026-03-048-Infra Notes 280.pdf</t>
  </si>
  <si>
    <t>R1-027-01-049-Collord v US Dep't of the Interior.pdf</t>
  </si>
  <si>
    <t>R1-027-02-050-Infra Notes 132-181.pdf</t>
  </si>
  <si>
    <t>R1-028-01-008-Alsea Valley Alliance v Dep't of Commerce.pdf</t>
  </si>
  <si>
    <t>R1-028-02-051-Crowder v Sullivan.pdf</t>
  </si>
  <si>
    <t>R1-028-03-026-Federal Practice 3914 32.pdf</t>
  </si>
  <si>
    <t>R1-029-01-052-Papotto.pdf</t>
  </si>
  <si>
    <t>R1-029-02-053-Kreider.pdf</t>
  </si>
  <si>
    <t>R1-029-03-054-Digital Equip Corp.pdf</t>
  </si>
  <si>
    <t>R1-030-01-055-Bagley.pdf</t>
  </si>
  <si>
    <t>R1-030-02-056-706.pdf</t>
  </si>
  <si>
    <t>R1-031-01-057-Chenery Corp.pdf</t>
  </si>
  <si>
    <t>R1-031-02-058-Wages and White Lion Invs.pdf</t>
  </si>
  <si>
    <t>R1-031-03-059-Glicksman.pdf</t>
  </si>
  <si>
    <t>R1-031-04-060-Walker Referral.pdf</t>
  </si>
  <si>
    <t>R1-031-05-061-Walker Ordinary.pdf</t>
  </si>
  <si>
    <t>R1-032-01-062-Infra Notes 257-261 and Accompanying Text.pdf</t>
  </si>
  <si>
    <t>R1-033-01-063-Revesz.pdf</t>
  </si>
  <si>
    <t>R1-033-02-064-Fine.pdf</t>
  </si>
  <si>
    <t>R1-034-01-065-Motor Vehicle Mfrs.pdf</t>
  </si>
  <si>
    <t>R1-035-01-066-Friendly.pdf</t>
  </si>
  <si>
    <t>R1-035-02-025-Lynch.pdf</t>
  </si>
  <si>
    <t>R1-036-01-067-Mendoza.pdf</t>
  </si>
  <si>
    <t>R1-037-01-068-Pauly v US Dept of Agri.pdf</t>
  </si>
  <si>
    <t>R1-001-00-046-1292.pdf</t>
  </si>
  <si>
    <t>R1-001-00-159-Billboard (1976).pdf</t>
  </si>
  <si>
    <t>R1-001-00-259-Friends 2008.pdf</t>
  </si>
  <si>
    <t>R1-038-01-069-Vista.pdf</t>
  </si>
  <si>
    <t>R1-039-01-070-Act of Sept 24.pdf</t>
  </si>
  <si>
    <t>R1-040-01-071-Federal Practice 3906.pdf</t>
  </si>
  <si>
    <t>R1-040-02-072-Metcalfe.pdf</t>
  </si>
  <si>
    <t>R1-041-01-073-Catlin v United States.pdf</t>
  </si>
  <si>
    <t>R1-042-01-045-1291.pdf</t>
  </si>
  <si>
    <t>R1-042-02-074-62 Stat.pdf</t>
  </si>
  <si>
    <t>R1-043-01-075-Bachowski v Usery.pdf</t>
  </si>
  <si>
    <t>R1-043-02-076-Katz v Carte Blanche Corp.pdf</t>
  </si>
  <si>
    <t>R1-043-03-046-1292.pdf</t>
  </si>
  <si>
    <t>R1-044-01-075-Bachowski v Usery.pdf</t>
  </si>
  <si>
    <t>R1-045-01-045-1291.pdf</t>
  </si>
  <si>
    <t>R1-045-02-077-P. Law 79.pdf</t>
  </si>
  <si>
    <t>R1-046-01-078-Cobbledick.pdf</t>
  </si>
  <si>
    <t>R1-046-02-079-Federal Practice 3907.pdf</t>
  </si>
  <si>
    <t>R1-047-01-080-Microsoft Corp v Baker.pdf</t>
  </si>
  <si>
    <t>R1-047-02-081-Mohawk.pdf</t>
  </si>
  <si>
    <t>R1-047-03-082-Johnson v Jones.pdf</t>
  </si>
  <si>
    <t>R1-047-04-054-Digital Equip Corp.pdf</t>
  </si>
  <si>
    <t>R1-047-05-083-Di Bella v United States.pdf</t>
  </si>
  <si>
    <t>R1-047-06-078-Cobbledick.pdf</t>
  </si>
  <si>
    <t>R1-047-07-079-Federal Practice 3907.pdf</t>
  </si>
  <si>
    <t>R1-047-08-084-Lammon Disarming.pdf</t>
  </si>
  <si>
    <t>R1-047-09-085-Frank.pdf</t>
  </si>
  <si>
    <t>R1-047-10-086-Infra Notes 53-97 and Accompanying Text.pdf</t>
  </si>
  <si>
    <t>10</t>
  </si>
  <si>
    <t>R1-048-01-079-Federal Practice 3907.pdf</t>
  </si>
  <si>
    <t>R1-049-01-081-Mohawk.pdf</t>
  </si>
  <si>
    <t>R1-049-02-087-Firestone Tire and Rubber Co v Risjord.pdf</t>
  </si>
  <si>
    <t>R1-049-03-088-Richardson-Merrell Inc v Koller.pdf</t>
  </si>
  <si>
    <t>R1-050-01-089-Cochran.pdf</t>
  </si>
  <si>
    <t>R1-050-02-090-Infra Part IC.pdf</t>
  </si>
  <si>
    <t>R1-051-01-021-Lammon Appealability.pdf</t>
  </si>
  <si>
    <t>R1-051-02-091-Heppner.pdf</t>
  </si>
  <si>
    <t>R1-052-01-090-Infra Part IC.pdf</t>
  </si>
  <si>
    <t>R1-053-01-092-Federal Practice 3909.pdf</t>
  </si>
  <si>
    <t>R1-054-01-078-Cobbledick.pdf</t>
  </si>
  <si>
    <t>R1-055-01-078-Cobbledick.pdf</t>
  </si>
  <si>
    <t>R1-055-02-093-28 USC 225.pdf</t>
  </si>
  <si>
    <t>R1-055-03-078-Cobbledick.pdf</t>
  </si>
  <si>
    <t>R1-056-01-078-Cobbledick.pdf</t>
  </si>
  <si>
    <t>R1-056-02-070-Act of Sept 24.pdf</t>
  </si>
  <si>
    <t>R1-056-03-083-Di Bella v United States.pdf</t>
  </si>
  <si>
    <t>R1-057-01-078-Cobbledick.pdf</t>
  </si>
  <si>
    <t>R1-058-01-073-Catlin v United States.pdf</t>
  </si>
  <si>
    <t>R1-059-01-073-Catlin v United States.pdf</t>
  </si>
  <si>
    <t>R1-060-01-073-Catlin v United States.pdf</t>
  </si>
  <si>
    <t>R1-061-01-073-Catlin v United States.pdf</t>
  </si>
  <si>
    <t>R1-062-01-073-Catlin v United States.pdf</t>
  </si>
  <si>
    <t>R1-063-01-094-Cohen.pdf</t>
  </si>
  <si>
    <t>R1-064-01-095-Baker.pdf</t>
  </si>
  <si>
    <t>R1-064-02-092-Federal Practice 3909.pdf</t>
  </si>
  <si>
    <t>R1-065-01-094-Cohen.pdf</t>
  </si>
  <si>
    <t>R1-066-01-021-Lammon Appealability.pdf</t>
  </si>
  <si>
    <t>R1-067-01-094-Cohen.pdf</t>
  </si>
  <si>
    <t>R1-067-02-094-Cohen.pdf</t>
  </si>
  <si>
    <t>R1-067-03-096-Pikor.pdf</t>
  </si>
  <si>
    <t>R1-068-01-097-Van Cauwenberghe v Biard.pdf</t>
  </si>
  <si>
    <t>R1-068-02-081-Mohawk.pdf</t>
  </si>
  <si>
    <t>R1-069-01-098-Infra Notes 98-194 and Accompanying Text.pdf</t>
  </si>
  <si>
    <t>R1-070-01-083-Di Bella v United States.pdf</t>
  </si>
  <si>
    <t>R1-071-01-083-Di Bella v United States.pdf</t>
  </si>
  <si>
    <t>R1-072-01-083-Di Bella v United States.pdf</t>
  </si>
  <si>
    <t>R1-073-01-099-Gillespie.pdf</t>
  </si>
  <si>
    <t>R1-074-01-099-Gillespie.pdf</t>
  </si>
  <si>
    <t>R1-075-01-099-Gillespie.pdf</t>
  </si>
  <si>
    <t>R1-076-01-099-Gillespie.pdf</t>
  </si>
  <si>
    <t>R1-077-01-099-Gillespie.pdf</t>
  </si>
  <si>
    <t>R1-077-02-100-United States v General Motors Corp.pdf</t>
  </si>
  <si>
    <t>R1-078-01-101-417 US.pdf</t>
  </si>
  <si>
    <t>R1-079-01-101-417 US.pdf</t>
  </si>
  <si>
    <t>R1-079-02-102-McGourkey v Toledo and Ohio CR Co.pdf</t>
  </si>
  <si>
    <t>R1-079-03-101-417 US.pdf</t>
  </si>
  <si>
    <t>R1-079-04-103-Dickinson v Petroleum Conversion Corp.pdf</t>
  </si>
  <si>
    <t>R1-080-01-027-Federal Practice 3903.pdf</t>
  </si>
  <si>
    <t>R1-080-02-104-In Re Long-Distance Tel Serv Fed Excise Tax Refund Litig.pdf</t>
  </si>
  <si>
    <t>R1-080-03-099-Gillespie.pdf</t>
  </si>
  <si>
    <t>R1-081-01-105-437 US.pdf</t>
  </si>
  <si>
    <t>R1-081-02-106-Adam.pdf</t>
  </si>
  <si>
    <t>R1-081-03-107-Anderson.pdf</t>
  </si>
  <si>
    <t>R1-082-01-105-437 US.pdf</t>
  </si>
  <si>
    <t>R1-083-01-087-Firestone Tire and Rubber Co v Risjord.pdf</t>
  </si>
  <si>
    <t>R1-083-02-108-Flanagan v United States.pdf</t>
  </si>
  <si>
    <t>R1-083-03-088-Richardson-Merrell Inc v Koller.pdf</t>
  </si>
  <si>
    <t>R1-084-01-109-Stringfellow v Concerned Neighbors in Action.pdf</t>
  </si>
  <si>
    <t>R1-084-02-103-Dickinson v Petroleum Conversion Corp.pdf</t>
  </si>
  <si>
    <t>R1-085-01-054-Digital Equip Corp.pdf</t>
  </si>
  <si>
    <t>R1-086-01-105-437 US.pdf</t>
  </si>
  <si>
    <t>R1-087-01-105-437 US.pdf</t>
  </si>
  <si>
    <t>R1-087-02-110-Rules.pdf</t>
  </si>
  <si>
    <t>R1-087-03-111-FRCP 23(f).pdf</t>
  </si>
  <si>
    <t>R1-087-04-080-Microsoft Corp v Baker.pdf</t>
  </si>
  <si>
    <t>R1-088-01-054-Digital Equip Corp.pdf</t>
  </si>
  <si>
    <t>R1-089-01-019-Finkelstein.pdf</t>
  </si>
  <si>
    <t>R1-090-01-019-Finkelstein.pdf</t>
  </si>
  <si>
    <t>R1-091-01-019-Finkelstein.pdf</t>
  </si>
  <si>
    <t>R1-092-01-112-Forney v Apfel.pdf</t>
  </si>
  <si>
    <t>R1-092-02-019-Finkelstein.pdf</t>
  </si>
  <si>
    <t>R1-093-01-019-Finkelstein.pdf</t>
  </si>
  <si>
    <t>R1-093-02-113-Supra Note 92.pdf</t>
  </si>
  <si>
    <t>SP-019-FInkelstein.pdf</t>
  </si>
  <si>
    <t>R1-093-03-019-FInkelstein.pdf</t>
  </si>
  <si>
    <t>R1-094-01-053-Kreider.pdf</t>
  </si>
  <si>
    <t>R1-094-02-114-Supra Note 29.pdf</t>
  </si>
  <si>
    <t>R1-095-01-115-Baca-Prieto v A1 Guigni.pdf</t>
  </si>
  <si>
    <t>R1-095-02-116-Travelstead v Derwinski.pdf</t>
  </si>
  <si>
    <t>R1-095-03-117-St Francis Med CTR v Sullivan.pdf</t>
  </si>
  <si>
    <t>R1-096-01-118-American Export Lines v Alvez.pdf</t>
  </si>
  <si>
    <t>R1-097-01-081-Mohawk.pdf</t>
  </si>
  <si>
    <t>R1-097-02-022-Lammon Dizzying.pdf</t>
  </si>
  <si>
    <t>R1-098-01-119-Bohms v Gardner.pdf</t>
  </si>
  <si>
    <t>R1-098-02-120-Mayersky v Celebrezze.pdf</t>
  </si>
  <si>
    <t>R1-098-03-121-Marshall v Celebrezze.pdf</t>
  </si>
  <si>
    <t>R1-098-04-122-Stathatos v Arnold Bernstein SS Corp.pdf</t>
  </si>
  <si>
    <t>R1-099-01-123-412 F 2d.pdf</t>
  </si>
  <si>
    <t>R1-099-02-124-Richardson v Perales.pdf</t>
  </si>
  <si>
    <t>R1-100-01-123-412 F 2d.pdf</t>
  </si>
  <si>
    <t>R1-101-01-123-412 F 2d.pdf</t>
  </si>
  <si>
    <t>R1-102-01-125-Gold v Weinberger.pdf</t>
  </si>
  <si>
    <t>R1-103-01-126-Gueory v Hampton.pdf</t>
  </si>
  <si>
    <t>R1-104-01-126-Gueory v Hampton.pdf</t>
  </si>
  <si>
    <t>R1-105-01-075-Bachowski v Usery.pdf</t>
  </si>
  <si>
    <t>R1-106-01-075-Bachowski v Usery.pdf</t>
  </si>
  <si>
    <t>R1-107-01-075-Bachowski v Usery.pdf</t>
  </si>
  <si>
    <t>R1-108-01-075-Bachowski v Usery.pdf</t>
  </si>
  <si>
    <t>R1-109-01-075-Bachowski v Usery.pdf</t>
  </si>
  <si>
    <t>R1-109-02-075-Bachowski v Usery.pdf</t>
  </si>
  <si>
    <t>R1-110-01-127-Harper v Bowen.pdf</t>
  </si>
  <si>
    <t>R1-110-02-128-Cabot Corp v United States.pdf</t>
  </si>
  <si>
    <t>R1-110-03-129-Pauls v Sec'y of the Air Force.pdf</t>
  </si>
  <si>
    <t>R1-110-04-130-McCoy v Schweiker.pdf</t>
  </si>
  <si>
    <t>R1-110-05-019-Finkelstein.pdf</t>
  </si>
  <si>
    <t>R1-111-01-131-Doughty v Bowen.pdf</t>
  </si>
  <si>
    <t>R1-111-02-132-Pierre v Rivkind.pdf</t>
  </si>
  <si>
    <t>R1-111-03-133-Aja Assocs v Army Corps of Eng'rs.pdf</t>
  </si>
  <si>
    <t>R1-111-04-134-Huie v Bowen.pdf</t>
  </si>
  <si>
    <t>R1-111-05-135-Regents of the Univ of Calif v Heckler.pdf</t>
  </si>
  <si>
    <t>R1-111-06-136-Good Samaritan Hosp v Shalala.pdf</t>
  </si>
  <si>
    <t>R1-111-07-137-Bender v Clark.pdf</t>
  </si>
  <si>
    <t>R1-111-08-138-Stone v Heckler.pdf</t>
  </si>
  <si>
    <t>R1-111-09-139-United States v Alcon Labs.pdf</t>
  </si>
  <si>
    <t>R1-111-10-125-Gold v Weinberger.pdf</t>
  </si>
  <si>
    <t>R1-112-01-140-Mall.pdf</t>
  </si>
  <si>
    <t>R1-112-02-141-Jeannette Sheet Glass Corp v United States.pdf</t>
  </si>
  <si>
    <t>R1-112-03-142-Mem'l Hosp Sys v Heckler.pdf</t>
  </si>
  <si>
    <t>R1-112-04-143-Farr v Heckler.pdf</t>
  </si>
  <si>
    <t>R1-112-05-144-Eluska v Andrus.pdf</t>
  </si>
  <si>
    <t>R1-112-06-145-Giordano v Roudebush.pdf</t>
  </si>
  <si>
    <t>R1-113-01-146-Occidental Petroleum Corp.pdf</t>
  </si>
  <si>
    <t>R1-114-01-137-Bender v Clark.pdf</t>
  </si>
  <si>
    <t>R1-114-02-094-Cohen.pdf</t>
  </si>
  <si>
    <t>R1-114-03-053-Kreider.pdf</t>
  </si>
  <si>
    <t>R1-114-04-022-Lammon Dizzying.pdf</t>
  </si>
  <si>
    <t>R1-115-01-147-Individuals.pdf</t>
  </si>
  <si>
    <t>R1-115-02-148-Cobb Cnty.pdf</t>
  </si>
  <si>
    <t>R1-115-03-011-Denver Cnty.pdf</t>
  </si>
  <si>
    <t>R1-115-04-149-Shapiro v Paradise Valley Unified SCH Dist.pdf</t>
  </si>
  <si>
    <t>R1-115-05-150-Mead v Reliastar Life Ins Co.pdf</t>
  </si>
  <si>
    <t>R1-115-06-151-World Fuel Corp v Geithner.pdf</t>
  </si>
  <si>
    <t>R1-115-07-152-Miami Tribe.pdf</t>
  </si>
  <si>
    <t>R1-115-08-153-Nat'l Air Traffic Controllers.pdf</t>
  </si>
  <si>
    <t>R1-116-01-154-Supra Notes 98-115 and Accompanying Text.pdf</t>
  </si>
  <si>
    <t>R1-116-02-155-Cotton Petroleum Corp.pdf</t>
  </si>
  <si>
    <t>R1-116-03-156-Infra Notes 177.pdf</t>
  </si>
  <si>
    <t>R1-117-01-157-Infra Notes 134-194 and Accompanying Text.pdf</t>
  </si>
  <si>
    <t>R1-118-01-157-Infra Notes 134-194 and Accompanying Text.pdf</t>
  </si>
  <si>
    <t>R1-119-01-158-Billboard (1987).pdf</t>
  </si>
  <si>
    <t>R1-120-01-133-Aja Assocs v Army Corps of Eng'rs.pdf</t>
  </si>
  <si>
    <t>R1-120-02-075-Bachowski v Usery.pdf</t>
  </si>
  <si>
    <t>R1-121-01-127-Harper v Bowen.pdf</t>
  </si>
  <si>
    <t>R1-122-01-138-Stone v Heckler.pdf</t>
  </si>
  <si>
    <t>R1-122-02-135-Regents of the Univ of Calif v Heckler.pdf</t>
  </si>
  <si>
    <t>R1-123-01-144-Eluska v Andrus.pdf</t>
  </si>
  <si>
    <t>R1-124-01-160-Paluso.pdf</t>
  </si>
  <si>
    <t>R1-124-02-137-Bender v Clark.pdf</t>
  </si>
  <si>
    <t>R1-125-01-154-Supra Notes 98-115 and Accompanying Text.pdf</t>
  </si>
  <si>
    <t>R1-126-01-138-Stone v Heckler.pdf</t>
  </si>
  <si>
    <t>R1-126-02-161-Howell.pdf</t>
  </si>
  <si>
    <t>R1-126-03-126-Gueory v Hampton.pdf</t>
  </si>
  <si>
    <t>R1-126-04-125-Gold v Weinberger.pdf</t>
  </si>
  <si>
    <t>R1-127-01-154-Supra Notes 98-115 and Accompanying Text.pdf</t>
  </si>
  <si>
    <t>R1-128-01-162-Supra Note 51 and Accompanying Text.pdf</t>
  </si>
  <si>
    <t>R1-128-02-022-Lammon Dizzying.pdf</t>
  </si>
  <si>
    <t>R1-129-01-163-Infra Notes 183-185 and Accompanying Text.pdf</t>
  </si>
  <si>
    <t>R1-130-01-164-Infra Notes 186-187 and Accompanying Text.pdf</t>
  </si>
  <si>
    <t>R1-131-01-036-Infra Notes 193-194.pdf</t>
  </si>
  <si>
    <t>R1-132-01-022-Lammon Dizzying.pdf</t>
  </si>
  <si>
    <t>R1-132-02-021-Lammon Appealability.pdf</t>
  </si>
  <si>
    <t>R1-132-03-021-Lammon Appealability.pdf</t>
  </si>
  <si>
    <t>R1-132-04-026-Federal Practice 3914 32.pdf</t>
  </si>
  <si>
    <t>R1-133-01-165-Infra Note 182 and Accompanying Text.pdf</t>
  </si>
  <si>
    <t>R1-134-01-166-Sierra Club v US Dep't of Agric.pdf</t>
  </si>
  <si>
    <t>R1-134-02-167-N Air Cargo v US Postal Serv.pdf</t>
  </si>
  <si>
    <t>R1-135-01-168-NC Fisheries Ass'n v Gutierrez.pdf</t>
  </si>
  <si>
    <t>R1-135-02-169-Lake Pilots Ass'n v US Coast Guard.pdf</t>
  </si>
  <si>
    <t>R1-135-03-170-Oceana.pdf</t>
  </si>
  <si>
    <t>R1-135-04-171-Naacp.pdf</t>
  </si>
  <si>
    <t>R1-136-01-172-Limnia.pdf</t>
  </si>
  <si>
    <t>R1-136-02-173-Am Haw Cruises v Skinner.pdf</t>
  </si>
  <si>
    <t>R1-136-03-104-In Re Long-Distance Tel Serv Fed Excise Tax Refund Litig.pdf</t>
  </si>
  <si>
    <t>R1-136-04-166-Sierra Club v US Dep't of Agric.pdf</t>
  </si>
  <si>
    <t>R1-136-05-032-Pueblo of Sandia v Babbitt.pdf</t>
  </si>
  <si>
    <t>R1-137-01-172-Limnia.pdf</t>
  </si>
  <si>
    <t>R1-138-01-174-Koyo Seiko Co v United States.pdf</t>
  </si>
  <si>
    <t>R1-138-02-116-Travelstead v Derwinski.pdf</t>
  </si>
  <si>
    <t>R1-139-01-128-Cabot Corp v United States.pdf</t>
  </si>
  <si>
    <t>R1-139-02-141-Jeannette Sheet Glass Corp v United States.pdf</t>
  </si>
  <si>
    <t>R1-139-03-175-Supra Note 138.pdf</t>
  </si>
  <si>
    <t>R1-140-01-176-Littlefield v Mashpee Wampanoag Indian Tribe.pdf</t>
  </si>
  <si>
    <t>R1-141-01-176-Littlefield v Mashpee Wampanoag Indian Tribe.pdf</t>
  </si>
  <si>
    <t>R1-141-02-140-Mall.pdf</t>
  </si>
  <si>
    <t>R1-142-01-177-Perales v Sullivan.pdf</t>
  </si>
  <si>
    <t>R1-143-01-034-NY Legal Assistance GRP v Cardona.pdf</t>
  </si>
  <si>
    <t>R1-143-02-178-Silver v Smith.pdf</t>
  </si>
  <si>
    <t>R1-144-01-179-Bey v City of New York.pdf</t>
  </si>
  <si>
    <t>R1-144-02-150-Mead v Reliastar Life Ins Co.pdf</t>
  </si>
  <si>
    <t>R1-145-01-052-Papotto.pdf</t>
  </si>
  <si>
    <t>R1-145-02-053-Kreider.pdf</t>
  </si>
  <si>
    <t>R1-145-03-180-BHD of Maint of Way Emps v Consol Rail Corp.pdf</t>
  </si>
  <si>
    <t>R1-145-04-133-Aja Assocs v Army Corps of Eng'rs.pdf</t>
  </si>
  <si>
    <t>R1-145-05-181-United Steelworkers of Am Local 1913 v Union RR Co.pdf</t>
  </si>
  <si>
    <t>R1-146-01-181-United Steelworkers of Am Local 1913 v Union RR Co.pdf</t>
  </si>
  <si>
    <t>R1-146-02-182-United States v Spears.pdf</t>
  </si>
  <si>
    <t>R1-146-03-183-Horizons.pdf</t>
  </si>
  <si>
    <t>R1-147-01-184-Shipbuilders Council of Am v US Coast Guard.pdf</t>
  </si>
  <si>
    <t>R1-147-02-185-Highlands Conservancy.pdf</t>
  </si>
  <si>
    <t>R1-147-03-186-Hanauer v Reich.pdf</t>
  </si>
  <si>
    <t>R1-147-04-187-Colvin v Sullivan.pdf</t>
  </si>
  <si>
    <t>R1-147-05-188-Nielsen v Hagel.pdf</t>
  </si>
  <si>
    <t>R1-148-01-184-Shipbuilders Council of Am v US Coast Guard.pdf</t>
  </si>
  <si>
    <t>R1-148-02-189-Culbertson v Sec'y of Health and Hum Servs.pdf</t>
  </si>
  <si>
    <t>R1-149-01-069-Vista.pdf</t>
  </si>
  <si>
    <t>R1-149-02-190-Adkins v Silverman.pdf</t>
  </si>
  <si>
    <t>R1-149-03-191-BNSF Ry Co v Am Train Dispatchers Ass'n.pdf</t>
  </si>
  <si>
    <t>R1-150-01-192-Schuck v Frank.pdf</t>
  </si>
  <si>
    <t>R1-150-02-153-Nat'l Air Traffic Controllers.pdf</t>
  </si>
  <si>
    <t>R1-150-03-193-Ackerman v US Dep't of Agric.pdf</t>
  </si>
  <si>
    <t>R1-150-04-194-Local 1982.pdf</t>
  </si>
  <si>
    <t>R1-151-01-195-Matter.pdf</t>
  </si>
  <si>
    <t>R1-152-01-196-Am Train Dispatchers Dep't of Int'l BHD of Locomotive Eng'rs v Norfolk S Ry Co.pdf</t>
  </si>
  <si>
    <t>R1-153-01-197-Perlman v Swiss Bank Corp Comprehensive Disability Prot Plan.pdf</t>
  </si>
  <si>
    <t>R1-154-01-198-Travis v Sullivan.pdf</t>
  </si>
  <si>
    <t>R1-154-02-051-Crowder v Sullivan.pdf</t>
  </si>
  <si>
    <t>R1-155-01-197-Perlman v Swiss Bank Corp Comprehensive Disability Prot Plan.pdf</t>
  </si>
  <si>
    <t>R1-155-02-195-Matter.pdf</t>
  </si>
  <si>
    <t>R1-156-01-199-Izaak Walton.pdf</t>
  </si>
  <si>
    <t>R1-157-01-200-City.pdf</t>
  </si>
  <si>
    <t>R1-157-02-201-Davies v Johanns.pdf</t>
  </si>
  <si>
    <t>R1-158-01-200-City.pdf</t>
  </si>
  <si>
    <t>R1-158-02-199-Izaak Walton.pdf</t>
  </si>
  <si>
    <t>R1-158-03-145-Giordano v Roudebush.pdf</t>
  </si>
  <si>
    <t>R1-159-01-008-Alsea Valley Alliance v Dep't of Commerce.pdf</t>
  </si>
  <si>
    <t>R1-159-02-049-Collord v US Dep't of the Interior.pdf</t>
  </si>
  <si>
    <t>R1-160-01-202-Supra Note 68 and Accompanying Text.pdf</t>
  </si>
  <si>
    <t>R1-160-02-203-Borntrager v Cent States.pdf</t>
  </si>
  <si>
    <t>R1-161-01-033-CTR for Biological Diversity v Bureau of Land MGMT.pdf</t>
  </si>
  <si>
    <t>R1-161-02-008-Alsea Valley Alliance v Dep't of Commerce.pdf</t>
  </si>
  <si>
    <t>R1-162-01-054-Digital Equip Corp.pdf</t>
  </si>
  <si>
    <t>R1-163-01-008-Alsea Valley Alliance v Dep't of Commerce.pdf</t>
  </si>
  <si>
    <t>R1-163-02-049-Collord v US Dep't of the Interior.pdf</t>
  </si>
  <si>
    <t>R1-163-03-138-Stone v Heckler.pdf</t>
  </si>
  <si>
    <t>R1-164-01-204-Sierra Forest Legacy v Sherman.pdf</t>
  </si>
  <si>
    <t>R1-164-02-205-United States v US Bd of Water Comm'rs.pdf</t>
  </si>
  <si>
    <t>R1-164-03-206-Gallatin Wildlife Ass'n v US Forest Serv.pdf</t>
  </si>
  <si>
    <t>R1-164-04-207-Supra Notes 53-97 and Accompanying Text.pdf</t>
  </si>
  <si>
    <t>R1-165-01-208-Nat'l Wildlife Fed'n v Nat'l Marine Fisheries Serv.pdf</t>
  </si>
  <si>
    <t>R1-165-02-209-Oregon Wild v Bureau of Land MGMT.pdf</t>
  </si>
  <si>
    <t>R1-165-03-008-Alsea Valley Alliance v Dep't of Commerce.pdf</t>
  </si>
  <si>
    <t>R1-166-01-210-Crow Indian Tribe v United States.pdf</t>
  </si>
  <si>
    <t>R1-166-02-205-United States v US Bd of Water Comm'rs.pdf</t>
  </si>
  <si>
    <t>R1-166-03-204-Sierra Forest Legacy v Sherman.pdf</t>
  </si>
  <si>
    <t>R1-166-04-068-Pauly v US Dept of Agri.pdf</t>
  </si>
  <si>
    <t>R1-166-05-211-Skagit Cnty.pdf</t>
  </si>
  <si>
    <t>R1-166-06-212-Neighbors Against Bison Slaughter v Nat'l Park Serv.pdf</t>
  </si>
  <si>
    <t>R1-167-01-033-CTR for Biological Diversity v Bureau of Land MGMT.pdf</t>
  </si>
  <si>
    <t>R1-167-02-213-Zen.pdf</t>
  </si>
  <si>
    <t>R1-167-03-208-Nat'l Wildlife Fed'n v Nat'l Marine Fisheries Serv.pdf</t>
  </si>
  <si>
    <t>R1-167-04-214-Pit River Tribe v US Forest Serv.pdf</t>
  </si>
  <si>
    <t>R1-167-05-012-Montana Env't Info CTR.pdf</t>
  </si>
  <si>
    <t>R1-168-01-208-Nat'l Wildlife Fed'n v Nat'l Marine Fisheries Serv.pdf</t>
  </si>
  <si>
    <t>R1-168-02-204-Sierra Forest Legacy v Sherman.pdf</t>
  </si>
  <si>
    <t>R1-169-01-204-Sierra Forest Legacy v Sherman.pdf</t>
  </si>
  <si>
    <t>R1-169-02-068-Pauly v US Dept of Agri.pdf</t>
  </si>
  <si>
    <t>R1-170-01-215-Bair v Cal Dep't of Transp.pdf</t>
  </si>
  <si>
    <t>R1-170-02-210-Crow Indian Tribe v United States.pdf</t>
  </si>
  <si>
    <t>R1-171-01-210-Crow Indian Tribe v United States.pdf</t>
  </si>
  <si>
    <t>R1-172-01-216-W Energy Alliance.pdf</t>
  </si>
  <si>
    <t>R1-172-02-217-Graham.pdf</t>
  </si>
  <si>
    <t>R1-172-03-137-Bender v Clark.pdf</t>
  </si>
  <si>
    <t>R1-173-01-137-Bender v Clark.pdf</t>
  </si>
  <si>
    <t>R1-174-01-218-American Wild Horse Preservation Campaign v Jewell.pdf</t>
  </si>
  <si>
    <t>R1-175-01-219-New Mexico Health Connections v US Dep't of Health and Human Servs.pdf</t>
  </si>
  <si>
    <t>R1-175-02-216-W Energy Alliance.pdf</t>
  </si>
  <si>
    <t>R1-176-01-220-Rocky MTN Wild v Dallas.pdf</t>
  </si>
  <si>
    <t>R1-176-02-219-New Mexico Health Connections v US Dep't of Health and Human Servs.pdf</t>
  </si>
  <si>
    <t>R1-176-03-152-Miami Tribe.pdf</t>
  </si>
  <si>
    <t>R1-176-04-221-Trout Unlimited v US Dep't of Agric.pdf</t>
  </si>
  <si>
    <t>R1-176-05-115-Baca-Prieto v A1 Guigni.pdf</t>
  </si>
  <si>
    <t>R1-177-01-222-Merit.pdf</t>
  </si>
  <si>
    <t>R1-177-02-218-American Wild Horse Preservation Campaign v Jewell.pdf</t>
  </si>
  <si>
    <t>R1-177-03-155-Cotton Petroleum Corp.pdf</t>
  </si>
  <si>
    <t>R1-177-04-216-W Energy Alliance.pdf</t>
  </si>
  <si>
    <t>R1-177-05-223-S Utah Wilderness Alliance v Kempthorne.pdf</t>
  </si>
  <si>
    <t>R1-177-06-224-Rocky MTN Unpublished.pdf</t>
  </si>
  <si>
    <t>R1-177-07-225-Dine Citizens Against Ruining Our Env't v Klein.pdf</t>
  </si>
  <si>
    <t>R1-178-01-151-World Fuel Corp v Geithner.pdf</t>
  </si>
  <si>
    <t>R1-178-02-226-Mci Telecomms Corp v Bellsouth Telecomms Corp.pdf</t>
  </si>
  <si>
    <t>R1-178-03-132-Pierre v Rivkind.pdf</t>
  </si>
  <si>
    <t>R1-178-04-134-Huie v Bowen.pdf</t>
  </si>
  <si>
    <t>R1-179-01-227-Fla.pdf</t>
  </si>
  <si>
    <t>R1-180-01-226-Mci Telecomms Corp v Bellsouth Telecomms Corp.pdf</t>
  </si>
  <si>
    <t>R1-180-02-226-Mci Telecomms Corp v Bellsouth Telecomms Corp.pdf</t>
  </si>
  <si>
    <t>R1-181-01-151-World Fuel Corp v Geithner.pdf</t>
  </si>
  <si>
    <t>R1-183-01-228-Supra Notes 145-146.pdf</t>
  </si>
  <si>
    <t>R1-184-01-166-Sierra Club v US Dep't of Agric.pdf</t>
  </si>
  <si>
    <t>R1-184-02-199-Izaak Walton.pdf</t>
  </si>
  <si>
    <t>R1-184-03-221-Trout Unlimited v US Dep't of Agric.pdf</t>
  </si>
  <si>
    <t>R1-185-01-229-Cherokee Nation v Bernhardt.pdf</t>
  </si>
  <si>
    <t>R1-185-02-210-Crow Indian Tribe v United States.pdf</t>
  </si>
  <si>
    <t>R1-185-03-213-Zen.pdf</t>
  </si>
  <si>
    <t>R1-186-01-230-Supra Note 165 and Accompanying Text.pdf</t>
  </si>
  <si>
    <t>R1-187-01-068-Pauly v US Dept of Agri.pdf</t>
  </si>
  <si>
    <t>R1-187-02-174-Koyo Seiko Co v United States.pdf</t>
  </si>
  <si>
    <t>R1-187-03-026-Federal Practice 3914 32.pdf</t>
  </si>
  <si>
    <t>R1-188-01-231-Administrative Office.pdf</t>
  </si>
  <si>
    <t>R1-189-01-068-Pauly v US Dept of Agri.pdf</t>
  </si>
  <si>
    <t>R1-189-02-232-Chang v United States.pdf</t>
  </si>
  <si>
    <t>R1-189-03-211-Skagit Cnty.pdf</t>
  </si>
  <si>
    <t>R1-190-01-204-Sierra Forest Legacy v Sherman.pdf</t>
  </si>
  <si>
    <t>R1-191-01-021-Lammon Appealability.pdf</t>
  </si>
  <si>
    <t>R1-192-01-021-Lammon Appealability.pdf</t>
  </si>
  <si>
    <t>R1-193-01-005-Friends of Hope Valley v US Forest Service.pdf</t>
  </si>
  <si>
    <t>R1-193-02-204-Sierra Forest Legacy v Sherman.pdf</t>
  </si>
  <si>
    <t>R1-193-03-233-Bitterroot.pdf</t>
  </si>
  <si>
    <t>R1-193-04-234-Infra Notes 227-251.pdf</t>
  </si>
  <si>
    <t>R1-194-01-104-In Re Long-Distance Tel Serv Fed Excise Tax Refund Litig.pdf</t>
  </si>
  <si>
    <t>R1-194-02-155-Cotton Petroleum Corp.pdf</t>
  </si>
  <si>
    <t>R1-194-03-216-W Energy Alliance.pdf</t>
  </si>
  <si>
    <t>R1-194-04-235-Stubblefield v Windsor Cap GRP.pdf</t>
  </si>
  <si>
    <t>R1-194-05-236-Boughton v Cotter Corp.pdf</t>
  </si>
  <si>
    <t>R1-194-06-237-Supra Notes 176-177 and Accompanying Text.pdf</t>
  </si>
  <si>
    <t>R1-195-01-238-Johnsen.pdf</t>
  </si>
  <si>
    <t>R1-196-01-009-Infra Part IB.pdf</t>
  </si>
  <si>
    <t>R1-196-02-022-Lammon Dizzying.pdf</t>
  </si>
  <si>
    <t>R1-196-03-022-Lammon Dizzying.pdf</t>
  </si>
  <si>
    <t>R1-197-01-009-Infra Part IB.pdf</t>
  </si>
  <si>
    <t>R1-198-01-224-Rocky MTN Unpublished.pdf</t>
  </si>
  <si>
    <t>R1-198-02-166-Sierra Club v US Dep't of Agric.pdf</t>
  </si>
  <si>
    <t>R1-198-03-153-Nat'l Air Traffic Controllers.pdf</t>
  </si>
  <si>
    <t>R1-198-04-169-Lake Pilots Ass'n v US Coast Guard.pdf</t>
  </si>
  <si>
    <t>R1-198-05-146-Occidental Petroleum Corp.pdf</t>
  </si>
  <si>
    <t>R1-198-06-180-BHD of Maint of Way Emps v Consol Rail Corp.pdf</t>
  </si>
  <si>
    <t>R1-199-01-239-Rabin.pdf</t>
  </si>
  <si>
    <t>R1-199-02-240-Spitzer.pdf</t>
  </si>
  <si>
    <t>R1-199-03-241-Stephenson.pdf</t>
  </si>
  <si>
    <t>R1-200-01-016-Developments.pdf</t>
  </si>
  <si>
    <t>R1-200-02-242-Postell.pdf</t>
  </si>
  <si>
    <t>R1-200-03-015-Michaels.pdf</t>
  </si>
  <si>
    <t>R1-200-04-243-Ilan.pdf</t>
  </si>
  <si>
    <t>R1-200-05-244-Freeman.pdf</t>
  </si>
  <si>
    <t>R1-200-06-245-Boyden.pdf</t>
  </si>
  <si>
    <t>R1-201-01-246-Vertesch.pdf</t>
  </si>
  <si>
    <t>R1-201-02-247-Infra Notes 273-277 and Accompanying Text.pdf</t>
  </si>
  <si>
    <t>R1-202-01-248-Barkow.pdf</t>
  </si>
  <si>
    <t>R1-202-02-055-Bagley.pdf</t>
  </si>
  <si>
    <t>R1-202-03-249-M.pdf</t>
  </si>
  <si>
    <t>R1-203-01-250-Farber.pdf</t>
  </si>
  <si>
    <t>R1-203-02-248-Barkow.pdf</t>
  </si>
  <si>
    <t>R1-204-01-248-Barkow.pdf</t>
  </si>
  <si>
    <t>R1-204-02-055-Bagley.pdf</t>
  </si>
  <si>
    <t>R1-205-01-251-Prusak.pdf</t>
  </si>
  <si>
    <t>R1-205-02-252-Hilary.pdf</t>
  </si>
  <si>
    <t>R1-206-01-004-Memorandum.pdf</t>
  </si>
  <si>
    <t>R1-207-01-004-Memorandum.pdf</t>
  </si>
  <si>
    <t>R1-208-01-004-Memorandum.pdf</t>
  </si>
  <si>
    <t>R1-209-01-004-Memorandum.pdf</t>
  </si>
  <si>
    <t>R1-210-01-253-Associated.pdf</t>
  </si>
  <si>
    <t>R1-211-01-254-42 USC 4321.pdf</t>
  </si>
  <si>
    <t>R1-212-01-004-Memorandum.pdf</t>
  </si>
  <si>
    <t>R1-213-01-255-Complaint.pdf</t>
  </si>
  <si>
    <t>R1-213-02-004-Memorandum.pdf</t>
  </si>
  <si>
    <t>R1-214-01-004-Memorandum.pdf</t>
  </si>
  <si>
    <t>R1-215-01-256-Infra Notes 244-250 and Accompanying Text.pdf</t>
  </si>
  <si>
    <t>R1-216-01-257-Brief.pdf</t>
  </si>
  <si>
    <t>R1-217-01-005-Friends of Hope Valley v US Forest Service.pdf</t>
  </si>
  <si>
    <t>R1-218-01-005-Friends of Hope Valley v US Forest Service.pdf</t>
  </si>
  <si>
    <t>R1-219-01-258-FONSI.pdf</t>
  </si>
  <si>
    <t>R1-219-02-258-FONSI.pdf</t>
  </si>
  <si>
    <t>R1-220-01-258-FONSI.pdf</t>
  </si>
  <si>
    <t>R1-221-01-258-FONSI.pdf</t>
  </si>
  <si>
    <t>R1-221-02-259-Friends 2008.pdf</t>
  </si>
  <si>
    <t>R1-222-01-260-Friends 2007.pdf</t>
  </si>
  <si>
    <t>R1-223-01-261-USDA.pdf</t>
  </si>
  <si>
    <t>R1-224-01-262-Supra Notes 184-185 and Accompanying Text.pdf</t>
  </si>
  <si>
    <t>R1-225-01-055-Bagley.pdf</t>
  </si>
  <si>
    <t>R1-225-02-263-Desert Survivors v United States Dep't of the Interior.pdf</t>
  </si>
  <si>
    <t>R1-226-01-264-Supra Notes 35-38 and Accompanying Text.pdf</t>
  </si>
  <si>
    <t>R1-227-01-166-Sierra Club v US Dep't of Agric.pdf</t>
  </si>
  <si>
    <t>R1-227-02-225-Dine Citizens Against Ruining Our Env't v Klein.pdf</t>
  </si>
  <si>
    <t>R1-227-03-223-S Utah Wilderness Alliance v Kempthorne.pdf</t>
  </si>
  <si>
    <t>R1-228-01-220-Rocky MTN Wild v Dallas.pdf</t>
  </si>
  <si>
    <t>R1-228-02-265-Cherokee Nation.pdf</t>
  </si>
  <si>
    <t>R1-229-01-210-Crow Indian Tribe v United States.pdf</t>
  </si>
  <si>
    <t>R1-230-01-211-Skagit Cnty.pdf</t>
  </si>
  <si>
    <t>R1-231-01-211-Skagit Cnty.pdf</t>
  </si>
  <si>
    <t>R1-232-01-232-Chang v United States.pdf</t>
  </si>
  <si>
    <t>R1-232-02-232-Chang v United States.pdf</t>
  </si>
  <si>
    <t>R1-233-01-205-United States v US Bd of Water Comm'rs.pdf</t>
  </si>
  <si>
    <t>R1-234-01-204-Sierra Forest Legacy v Sherman.pdf</t>
  </si>
  <si>
    <t>R1-235-01-204-Sierra Forest Legacy v Sherman.pdf</t>
  </si>
  <si>
    <t>R1-235-02-180-BHD of Maint of Way Emps v Consol Rail Corp.pdf</t>
  </si>
  <si>
    <t>R1-236-01-104-In Re Long-Distance Tel Serv Fed Excise Tax Refund Litig.pdf</t>
  </si>
  <si>
    <t>R1-237-01-211-Skagit Cnty.pdf</t>
  </si>
  <si>
    <t>R1-238-01-232-Chang v United States.pdf</t>
  </si>
  <si>
    <t>R1-239-01-204-Sierra Forest Legacy v Sherman.pdf</t>
  </si>
  <si>
    <t>R1-240-01-204-Sierra Forest Legacy v Sherman.pdf</t>
  </si>
  <si>
    <t>R1-241-01-104-In Re Long-Distance Tel Serv Fed Excise Tax Refund Litig.pdf</t>
  </si>
  <si>
    <t>R1-242-01-266-Supra Notes 136-137 and Accompanying Text.pdf</t>
  </si>
  <si>
    <t>R1-243-01-267-Supra Notes 219-223 and Accompanying Text.pdf</t>
  </si>
  <si>
    <t>R1-244-01-268-Deposit Guaranty Nat'l Bank v Roper.pdf</t>
  </si>
  <si>
    <t>R1-245-01-269-Envtl Prot Info CTR v Pac Lumber Co.pdf</t>
  </si>
  <si>
    <t>R1-246-01-270-California v Rooney.pdf</t>
  </si>
  <si>
    <t>R1-247-01-112-Forney v Apfel.pdf</t>
  </si>
  <si>
    <t>R1-248-01-112-Forney v Apfel.pdf</t>
  </si>
  <si>
    <t>R1-248-02-211-Skagit Cnty.pdf</t>
  </si>
  <si>
    <t>R1-248-03-152-Miami Tribe.pdf</t>
  </si>
  <si>
    <t>R1-249-01-271-NRDC.pdf</t>
  </si>
  <si>
    <t>R1-250-01-272-Camreta.pdf</t>
  </si>
  <si>
    <t>R1-250-02-210-Crow Indian Tribe v United States.pdf</t>
  </si>
  <si>
    <t>R1-251-01-205-United States v US Bd of Water Comm'rs.pdf</t>
  </si>
  <si>
    <t>R1-251-02-273-Cottonwood.pdf</t>
  </si>
  <si>
    <t>R1-251-03-212-Neighbors Against Bison Slaughter v Nat'l Park Serv.pdf</t>
  </si>
  <si>
    <t>R1-251-04-119-Bohms v Gardner.pdf</t>
  </si>
  <si>
    <t>R1-251-05-019-Finkelstein.pdf</t>
  </si>
  <si>
    <t>R1-251-06-060-Walker Referral.pdf</t>
  </si>
  <si>
    <t>R1-252-01-274-Gersen.pdf</t>
  </si>
  <si>
    <t>R1-253-01-275-53 F 4th.pdf</t>
  </si>
  <si>
    <t>R1-254-01-275-53 F 4th.pdf</t>
  </si>
  <si>
    <t>R1-255-01-104-In Re Long-Distance Tel Serv Fed Excise Tax Refund Litig.pdf</t>
  </si>
  <si>
    <t>R1-256-01-104-In Re Long-Distance Tel Serv Fed Excise Tax Refund Litig.pdf</t>
  </si>
  <si>
    <t>R1-256-02-059-Glicksman.pdf</t>
  </si>
  <si>
    <t>R1-257-01-033-CTR for Biological Diversity v Bureau of Land MGMT.pdf</t>
  </si>
  <si>
    <t>R1-258-01-033-CTR for Biological Diversity v Bureau of Land MGMT.pdf</t>
  </si>
  <si>
    <t>R1-259-01-033-CTR for Biological Diversity v Bureau of Land MGMT.pdf</t>
  </si>
  <si>
    <t>R1-259-02-276-In Re Clean Water Act.pdf</t>
  </si>
  <si>
    <t>R1-260-01-033-CTR for Biological Diversity v Bureau of Land MGMT.pdf</t>
  </si>
  <si>
    <t>R1-261-01-033-CTR for Biological Diversity v Bureau of Land MGMT.pdf</t>
  </si>
  <si>
    <t>R1-261-02-033-CTR for Biological Diversity v Bureau of Land MGMT.pdf</t>
  </si>
  <si>
    <t>R1-261-03-277-Mont Wildlife Fed'n v Haaland.pdf</t>
  </si>
  <si>
    <t>R1-262-01-278-Supra Notes 211-214 and Accompanying Text.pdf</t>
  </si>
  <si>
    <t>R1-263-01-204-Sierra Forest Legacy v Sherman.pdf</t>
  </si>
  <si>
    <t>R1-264-01-204-Sierra Forest Legacy v Sherman.pdf</t>
  </si>
  <si>
    <t>R1-265-01-204-Sierra Forest Legacy v Sherman.pdf</t>
  </si>
  <si>
    <t>R1-266-01-204-Sierra Forest Legacy v Sherman.pdf</t>
  </si>
  <si>
    <t>R1-266-02-211-Skagit Cnty.pdf</t>
  </si>
  <si>
    <t>R1-267-01-204-Sierra Forest Legacy v Sherman.pdf</t>
  </si>
  <si>
    <t>R1-268-01-233-Bitterroot.pdf</t>
  </si>
  <si>
    <t>R1-269-01-279-69 F 4th.pdf</t>
  </si>
  <si>
    <t>R1-269-02-280-Thompson.pdf</t>
  </si>
  <si>
    <t>R1-270-01-281-Supra Notes 186-192.pdf</t>
  </si>
  <si>
    <t>R1-271-01-282-Mergen.pdf</t>
  </si>
  <si>
    <t>R1-272-01-283-Supra Part ID 4.pdf</t>
  </si>
  <si>
    <t>R1-273-01-284-Loper Bright Enterprises v Raimondo.pdf</t>
  </si>
  <si>
    <t>R1-273-02-285-Chevron.pdf</t>
  </si>
  <si>
    <t>R1-273-03-286-Seven County Infrastructure Coalition v Eagle County.pdf</t>
  </si>
  <si>
    <t>R1-274-01-287-Kisor v Wilkie.pdf</t>
  </si>
  <si>
    <t>R1-275-01-288-Securities and Exchange Comm'n v Jarkesy.pdf</t>
  </si>
  <si>
    <t>R1-276-01-289-Biden v Nebraska.pdf</t>
  </si>
  <si>
    <t>R1-276-02-290-W Va v Env't Prot Agency.pdf</t>
  </si>
  <si>
    <t>R1-276-03-291-Alabama Ass'n of Realtors v Dep't of Health and Human Servs.pdf</t>
  </si>
  <si>
    <t>R1-277-01-292-Corner.pdf</t>
  </si>
  <si>
    <t>R1-277-02-293-28 USC 2401(A.pdf</t>
  </si>
  <si>
    <t>R1-278-01-294-Sivas.pdf</t>
  </si>
  <si>
    <t>R1-279-01-240-Spitzer.pdf</t>
  </si>
  <si>
    <t>R1-280-01-206-Gallatin Wildlife Ass'n v US Forest Serv.pdf</t>
  </si>
  <si>
    <t>R1-280-02-152-Miami Tribe.pdf</t>
  </si>
  <si>
    <t>R1-280-03-295-Utah State Dep't of Health v Kennecott Corp.pdf</t>
  </si>
  <si>
    <t>R1-280-04-128-Cabot Corp v United States.pdf</t>
  </si>
  <si>
    <t>R1-280-05-130-McCoy v Schweiker.pdf</t>
  </si>
  <si>
    <t>R1-280-06-019-Finkelstein.pdf</t>
  </si>
  <si>
    <t>R1-280-07-296-15a Wright.pdf</t>
  </si>
  <si>
    <t>R1-280-08-297-Fed 54(b.pdf</t>
  </si>
  <si>
    <t>R1-280-09-046-1292.pdf</t>
  </si>
  <si>
    <t>R1-281-01-013-Dcor.pdf</t>
  </si>
  <si>
    <t>R1-281-02-298-Aaron P v Dep't of Educ.pdf</t>
  </si>
  <si>
    <t>R1-281-03-299-Miami Tribe Distr. Ct..pdf</t>
  </si>
  <si>
    <t>R1-281-04-300-Associated Mortg.pdf</t>
  </si>
  <si>
    <t>R1-282-01-301-Wild Rockies.pdf</t>
  </si>
  <si>
    <t>R1-282-02-204-Sierra Forest Legacy v Sherman.pdf</t>
  </si>
  <si>
    <t>R1-283-01-152-Miami Tribe.pdf</t>
  </si>
  <si>
    <t>R1-283-02-302-McBride v Citgo Petroleum Corp.pdf</t>
  </si>
  <si>
    <t>R1-283-03-303-Federal Practice 3949 4.pdf</t>
  </si>
  <si>
    <t>R1-284-01-301-Wild Rockies.pdf</t>
  </si>
  <si>
    <t>R1-285-01-301-Wild Rockies.pdf</t>
  </si>
  <si>
    <t>R1-286-01-152-Miami Tribe.pdf</t>
  </si>
  <si>
    <t>R1-286-02-304-Viraj.pdf</t>
  </si>
  <si>
    <t>R1-286-03-025-Lynch.pdf</t>
  </si>
  <si>
    <t>R1-287-01-026-Federal Practice 3914 32.pdf</t>
  </si>
  <si>
    <t>R1-288-01-250-Farber.pdf</t>
  </si>
  <si>
    <t>R1-289-01-305-O'Connell Agency.pdf</t>
  </si>
  <si>
    <t>R1-289-02-306-O'Connell Cycles.pdf</t>
  </si>
  <si>
    <t>R1-290-01-037-Clopton.pdf</t>
  </si>
  <si>
    <t>R1-291-01-033-CTR for Biological Diversity v Bureau of Land MGMT.pdf</t>
  </si>
  <si>
    <t>R1-291-02-063-Revesz.pdf</t>
  </si>
  <si>
    <t>R1-291-03-059-Glicksman.pdf</t>
  </si>
  <si>
    <t>R1-292-01-037-Clopton.pdf</t>
  </si>
  <si>
    <t>R1-292-02-250-Farber.pdf</t>
  </si>
  <si>
    <t>R1-293-01-250-Farber.pdf</t>
  </si>
  <si>
    <t>R1-293-02-307-Supra Notes 272-277 and Accompanying Text.pdf</t>
  </si>
  <si>
    <t>R1-294-01-063-Revesz.pdf</t>
  </si>
  <si>
    <t>R1-295-01-102-McGourkey v Toledo and Ohio CR Co.pdf</t>
  </si>
  <si>
    <t>R1-296-01-102-McGourkey v Toledo and Ohio CR Co.pdf</t>
  </si>
  <si>
    <t>R1-297-01-308-Rule 54(b).pdf</t>
  </si>
  <si>
    <t>R1-297-02-046-1292.pdf</t>
  </si>
  <si>
    <t>R1-297-03-141-Jeannette Sheet Glass Corp v United States.pdf</t>
  </si>
  <si>
    <t>R1-297-04-309-Supra Notes 67.pdf</t>
  </si>
  <si>
    <t>R1-298-01-310-Supra Notes 132-194 and Accompanying Text.pdf</t>
  </si>
  <si>
    <t>R1-299-01-311-Supra Notes 127.pdf</t>
  </si>
  <si>
    <t>R1-300-01-021-Lammon Appealability.pdf</t>
  </si>
  <si>
    <t>R1-301-01-312-Supra Note 163 and Accompanying Text.pdf</t>
  </si>
  <si>
    <t>R1-302-01-313-Supra Note 136 and Accompanying Text.pdf</t>
  </si>
  <si>
    <t>R1-303-01-266-Supra Notes 136-137 and Accompanying Text.pdf</t>
  </si>
  <si>
    <t>R1-303-02-084-Lammon Disarming.pdf</t>
  </si>
  <si>
    <t>R1-304-01-314-Supra Note 175 and Accompanying Text.pdf</t>
  </si>
  <si>
    <t>R1-304-02-315-Supra Note 174 and Accompanying Text.pdf</t>
  </si>
  <si>
    <t>R1-305-01-223-S Utah Wilderness Alliance v Kempthorne.pdf</t>
  </si>
  <si>
    <t>R1-306-01-137-Bender v Clark.pdf</t>
  </si>
  <si>
    <t>R1-306-02-176-Littlefield v Mashpee Wampanoag Indian Tribe.pdf</t>
  </si>
  <si>
    <t>R1-307-01-316-Supra Notes 115.pdf</t>
  </si>
  <si>
    <t>R1-308-01-081-Mohawk.pdf</t>
  </si>
  <si>
    <t>R1-308-02-054-Digital Equip Corp.pdf</t>
  </si>
  <si>
    <t>R1-309-01-026-Federal Practice 3914 32.pdf</t>
  </si>
  <si>
    <t>R1-309-02-027-Federal Practice 3903.pdf</t>
  </si>
  <si>
    <t>R1-310-01-116-Travelstead v Derwinski.pdf</t>
  </si>
  <si>
    <t>R1-310-02-116-Travelstead v Derwinski.pdf</t>
  </si>
  <si>
    <t>R1-311-01-091-Heppner.pdf</t>
  </si>
  <si>
    <t>R1-312-01-091-Heppner.pdf</t>
  </si>
  <si>
    <t>R1-313-01-317-Supra Note 269 and Accompanying Text.pdf</t>
  </si>
  <si>
    <t>R1-314-01-026-Federal Practice 3914 32.pdf</t>
  </si>
  <si>
    <t>R1-314-02-318-Supra Notes 282-287 and Accompanying Text.pdf</t>
  </si>
  <si>
    <t>R1-315-01-319-Supra Notes 280-281 and Accompanying Text.pdf</t>
  </si>
  <si>
    <t>R1-316-01-022-Lammon Dizzying.pdf</t>
  </si>
  <si>
    <t>R1-317-01-022-Lammon Dizzying.pdf</t>
  </si>
  <si>
    <t>R1-318-01-320-28 USC 158(d.pdf</t>
  </si>
  <si>
    <t>R1-318-02-321-28 USC 2253.pdf</t>
  </si>
  <si>
    <t>R1-318-03-322-28 USC 1295.pdf</t>
  </si>
  <si>
    <t>R1-318-04-323-38 USC 7291.pdf</t>
  </si>
  <si>
    <t>R1-319-01-021-Lammon Appealability.pdf</t>
  </si>
  <si>
    <t>R1-319-02-324-28 USC 2702(c).pdf</t>
  </si>
  <si>
    <t>R1-320-01-324-28 USC 2702(c).pdf</t>
  </si>
  <si>
    <t>R1-320-02-046-1292.pdf</t>
  </si>
  <si>
    <t>R1-321-01-325-Walker James.pdf</t>
  </si>
  <si>
    <t>R1-321-02-060-Walker Referral.pdf</t>
  </si>
  <si>
    <t>R1-322-01-055-Bagley.pdf</t>
  </si>
  <si>
    <t>R1-323-01-326-Supra Notes 299-301 and Accompanying Text.pdf</t>
  </si>
  <si>
    <t>R1-324-01-327-Supra Note 116.pdf</t>
  </si>
  <si>
    <t>R1-324-02-155-Cotton Petroleum Corp.pdf</t>
  </si>
</sst>
</file>

<file path=xl/styles.xml><?xml version="1.0" encoding="utf-8"?>
<styleSheet xmlns="http://schemas.openxmlformats.org/spreadsheetml/2006/main" xmlns:x14ac="http://schemas.microsoft.com/office/spreadsheetml/2009/9/ac" xmlns:mc="http://schemas.openxmlformats.org/markup-compatibility/2006">
  <fonts count="34">
    <font>
      <sz val="10.0"/>
      <color rgb="FF000000"/>
      <name val="Arial"/>
    </font>
    <font/>
    <font>
      <b/>
      <color rgb="FFFFFFFF"/>
      <name val="Palatino Linotype"/>
    </font>
    <font>
      <b/>
      <name val="Palatino Linotype"/>
    </font>
    <font>
      <name val="Palatino Linotype"/>
    </font>
    <font>
      <name val="&quot;Palatino Linotype&quot;"/>
    </font>
    <font>
      <b/>
      <color rgb="FFFFFFFF"/>
    </font>
    <font>
      <sz val="12.0"/>
      <color rgb="FF000000"/>
      <name val="Arial"/>
    </font>
    <font>
      <u/>
      <sz val="12.0"/>
      <color rgb="FF000000"/>
      <name val="Arial"/>
    </font>
    <font>
      <sz val="12.0"/>
      <name val="Arial"/>
    </font>
    <font>
      <sz val="12.0"/>
      <color rgb="FF000000"/>
      <name val="&quot;Aptos Narrow&quot;"/>
    </font>
    <font>
      <color rgb="FFFFFFFF"/>
      <name val="Inherit"/>
    </font>
    <font>
      <i/>
      <sz val="12.0"/>
      <name val="Arial"/>
    </font>
    <font>
      <u/>
      <sz val="12.0"/>
      <color rgb="FF000000"/>
      <name val="&quot;Aptos Narrow&quot;"/>
    </font>
    <font>
      <u/>
      <sz val="12.0"/>
      <color rgb="FF0000FF"/>
      <name val="Arial"/>
    </font>
    <font>
      <sz val="12.0"/>
    </font>
    <font>
      <u/>
      <sz val="12.0"/>
      <color rgb="FF000000"/>
      <name val="&quot;Aptos Narrow&quot;"/>
    </font>
    <font>
      <b/>
      <sz val="11.0"/>
      <color rgb="FFFFFFFF"/>
      <name val="Arial"/>
    </font>
    <font>
      <b/>
      <sz val="10.0"/>
      <color rgb="FFFFFFFF"/>
      <name val="Arial"/>
    </font>
    <font>
      <b/>
      <color rgb="FFFFFFFF"/>
      <name val="Arial"/>
    </font>
    <font>
      <color rgb="FFFFFFFF"/>
      <name val="Arial"/>
    </font>
    <font>
      <sz val="10.0"/>
      <name val="Arial"/>
    </font>
    <font>
      <color rgb="FF85200C"/>
      <name val="Arial"/>
    </font>
    <font>
      <name val="Arial"/>
    </font>
    <font>
      <sz val="10.0"/>
      <color rgb="FF85200C"/>
      <name val="Arial"/>
    </font>
    <font>
      <u/>
      <sz val="10.0"/>
      <color rgb="FF000000"/>
      <name val="Arial"/>
    </font>
    <font>
      <b/>
      <name val="Arial"/>
    </font>
    <font>
      <color rgb="FFA61C00"/>
      <name val="Arial"/>
    </font>
    <font>
      <color rgb="FF000000"/>
      <name val="Arial"/>
    </font>
    <font>
      <sz val="9.0"/>
      <color rgb="FF000000"/>
      <name val="Arial"/>
    </font>
    <font>
      <u/>
      <sz val="10.0"/>
      <color rgb="FF0000FF"/>
      <name val="Arial"/>
    </font>
    <font>
      <u/>
      <color rgb="FF0000FF"/>
      <name val="Arial"/>
    </font>
    <font>
      <b/>
      <sz val="10.0"/>
      <color rgb="FF000000"/>
      <name val="Arial"/>
    </font>
    <font>
      <i/>
      <sz val="10.0"/>
      <name val="Arial"/>
    </font>
  </fonts>
  <fills count="10">
    <fill>
      <patternFill patternType="none"/>
    </fill>
    <fill>
      <patternFill patternType="lightGray"/>
    </fill>
    <fill>
      <patternFill patternType="solid">
        <fgColor rgb="FF990000"/>
        <bgColor rgb="FF990000"/>
      </patternFill>
    </fill>
    <fill>
      <patternFill patternType="solid">
        <fgColor rgb="FFF4CCCC"/>
        <bgColor rgb="FFF4CCCC"/>
      </patternFill>
    </fill>
    <fill>
      <patternFill patternType="solid">
        <fgColor rgb="FFF3F3F3"/>
        <bgColor rgb="FFF3F3F3"/>
      </patternFill>
    </fill>
    <fill>
      <patternFill patternType="solid">
        <fgColor rgb="FFB7B7B7"/>
        <bgColor rgb="FFB7B7B7"/>
      </patternFill>
    </fill>
    <fill>
      <patternFill patternType="solid">
        <fgColor rgb="FFEFEFEF"/>
        <bgColor rgb="FFEFEFEF"/>
      </patternFill>
    </fill>
    <fill>
      <patternFill patternType="solid">
        <fgColor rgb="FFFFFFFF"/>
        <bgColor rgb="FFFFFFFF"/>
      </patternFill>
    </fill>
    <fill>
      <patternFill patternType="solid">
        <fgColor rgb="FF980000"/>
        <bgColor rgb="FF980000"/>
      </patternFill>
    </fill>
    <fill>
      <patternFill patternType="solid">
        <fgColor rgb="FF666666"/>
        <bgColor rgb="FF666666"/>
      </patternFill>
    </fill>
  </fills>
  <borders count="22">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rder>
    <border>
      <left style="thin">
        <color rgb="FFFFFFFF"/>
      </left>
      <top style="thin">
        <color rgb="FFFFFFFF"/>
      </top>
      <bottom style="thin">
        <color rgb="FFFFFFFF"/>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right style="thin">
        <color rgb="FFFFFFFF"/>
      </right>
      <top style="thin">
        <color rgb="FFFFFFFF"/>
      </top>
      <bottom style="thin">
        <color rgb="FFFFFFFF"/>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FFFFFF"/>
      </left>
      <right style="thin">
        <color rgb="FFFFFFFF"/>
      </right>
      <bottom style="thin">
        <color rgb="FFFFFFFF"/>
      </bottom>
    </border>
    <border>
      <bottom style="double">
        <color rgb="FF000000"/>
      </bottom>
    </border>
    <border>
      <top style="double">
        <color rgb="FF000000"/>
      </top>
    </border>
    <border>
      <top style="double">
        <color rgb="FF000000"/>
      </top>
      <bottom style="double">
        <color rgb="FF000000"/>
      </bottom>
    </border>
    <border>
      <right style="double">
        <color rgb="FF000000"/>
      </right>
      <top style="double">
        <color rgb="FF000000"/>
      </top>
      <bottom style="double">
        <color rgb="FF000000"/>
      </bottom>
    </border>
    <border>
      <left style="double">
        <color rgb="FF000000"/>
      </left>
      <top style="double">
        <color rgb="FF000000"/>
      </top>
      <bottom style="double">
        <color rgb="FF000000"/>
      </bottom>
    </border>
    <border>
      <left style="double">
        <color rgb="FF000000"/>
      </left>
    </border>
    <border>
      <right style="double">
        <color rgb="FF000000"/>
      </right>
    </border>
    <border>
      <left style="double">
        <color rgb="FF000000"/>
      </left>
      <right style="thin">
        <color rgb="FF000000"/>
      </right>
    </border>
  </borders>
  <cellStyleXfs count="1">
    <xf borderId="0" fillId="0" fontId="0" numFmtId="0" applyAlignment="1" applyFont="1"/>
  </cellStyleXfs>
  <cellXfs count="160">
    <xf borderId="0" fillId="0" fontId="0" numFmtId="0" xfId="0" applyAlignment="1" applyFont="1">
      <alignment readingOrder="0" shrinkToFit="0" vertical="bottom" wrapText="0"/>
    </xf>
    <xf borderId="1" fillId="0" fontId="1" numFmtId="0" xfId="0" applyBorder="1" applyFont="1"/>
    <xf borderId="2" fillId="0" fontId="1" numFmtId="0" xfId="0" applyBorder="1" applyFont="1"/>
    <xf borderId="3" fillId="0" fontId="1" numFmtId="0" xfId="0" applyBorder="1" applyFont="1"/>
    <xf borderId="4" fillId="2" fontId="2" numFmtId="0" xfId="0" applyAlignment="1" applyBorder="1" applyFill="1" applyFont="1">
      <alignment horizontal="right" readingOrder="0"/>
    </xf>
    <xf borderId="5" fillId="3" fontId="3" numFmtId="0" xfId="0" applyAlignment="1" applyBorder="1" applyFill="1" applyFont="1">
      <alignment horizontal="left" readingOrder="0" shrinkToFit="0" vertical="bottom" wrapText="1"/>
    </xf>
    <xf borderId="6" fillId="0" fontId="1" numFmtId="0" xfId="0" applyAlignment="1" applyBorder="1" applyFont="1">
      <alignment readingOrder="0"/>
    </xf>
    <xf borderId="5" fillId="3" fontId="3" numFmtId="49" xfId="0" applyAlignment="1" applyBorder="1" applyFont="1" applyNumberFormat="1">
      <alignment horizontal="left" readingOrder="0"/>
    </xf>
    <xf borderId="6" fillId="0" fontId="1" numFmtId="0" xfId="0" applyBorder="1" applyFont="1"/>
    <xf borderId="5" fillId="3" fontId="3" numFmtId="49" xfId="0" applyAlignment="1" applyBorder="1" applyFont="1" applyNumberFormat="1">
      <alignment horizontal="left" readingOrder="0" shrinkToFit="0" wrapText="1"/>
    </xf>
    <xf borderId="5" fillId="3" fontId="4" numFmtId="49" xfId="0" applyAlignment="1" applyBorder="1" applyFont="1" applyNumberFormat="1">
      <alignment horizontal="left" readingOrder="0" shrinkToFit="0" wrapText="1"/>
    </xf>
    <xf borderId="5" fillId="3" fontId="4" numFmtId="0" xfId="0" applyAlignment="1" applyBorder="1" applyFont="1">
      <alignment horizontal="left" readingOrder="0" shrinkToFit="0" wrapText="1"/>
    </xf>
    <xf borderId="7" fillId="2" fontId="2" numFmtId="0" xfId="0" applyAlignment="1" applyBorder="1" applyFont="1">
      <alignment horizontal="right" readingOrder="0"/>
    </xf>
    <xf borderId="8" fillId="3" fontId="5" numFmtId="0" xfId="0" applyAlignment="1" applyBorder="1" applyFont="1">
      <alignment readingOrder="0" shrinkToFit="0" vertical="bottom" wrapText="1"/>
    </xf>
    <xf borderId="9" fillId="2" fontId="2" numFmtId="0" xfId="0" applyAlignment="1" applyBorder="1" applyFont="1">
      <alignment horizontal="right" readingOrder="0"/>
    </xf>
    <xf borderId="10" fillId="3" fontId="5" numFmtId="0" xfId="0" applyAlignment="1" applyBorder="1" applyFont="1">
      <alignment readingOrder="0" shrinkToFit="0" vertical="bottom" wrapText="1"/>
    </xf>
    <xf borderId="3" fillId="0" fontId="1" numFmtId="0" xfId="0" applyAlignment="1" applyBorder="1" applyFont="1">
      <alignment horizontal="right"/>
    </xf>
    <xf borderId="1" fillId="0" fontId="1" numFmtId="0" xfId="0" applyAlignment="1" applyBorder="1" applyFont="1">
      <alignment horizontal="right"/>
    </xf>
    <xf borderId="1" fillId="0" fontId="1" numFmtId="0" xfId="0" applyAlignment="1" applyBorder="1" applyFont="1">
      <alignment readingOrder="0"/>
    </xf>
    <xf borderId="11" fillId="2" fontId="2" numFmtId="0" xfId="0" applyAlignment="1" applyBorder="1" applyFont="1">
      <alignment horizontal="right" readingOrder="0"/>
    </xf>
    <xf borderId="12" fillId="3" fontId="5" numFmtId="0" xfId="0" applyAlignment="1" applyBorder="1" applyFont="1">
      <alignment readingOrder="0" shrinkToFit="0" vertical="bottom" wrapText="1"/>
    </xf>
    <xf borderId="13" fillId="0" fontId="1" numFmtId="49" xfId="0" applyAlignment="1" applyBorder="1" applyFont="1" applyNumberFormat="1">
      <alignment horizontal="left"/>
    </xf>
    <xf borderId="13" fillId="0" fontId="1" numFmtId="0" xfId="0" applyBorder="1" applyFont="1"/>
    <xf borderId="1" fillId="0" fontId="1" numFmtId="49" xfId="0" applyAlignment="1" applyBorder="1" applyFont="1" applyNumberFormat="1">
      <alignment horizontal="left"/>
    </xf>
    <xf borderId="0" fillId="2" fontId="6" numFmtId="0" xfId="0" applyAlignment="1" applyFont="1">
      <alignment horizontal="center" readingOrder="0" shrinkToFit="0" wrapText="1"/>
    </xf>
    <xf borderId="0" fillId="2" fontId="6" numFmtId="3" xfId="0" applyAlignment="1" applyFont="1" applyNumberFormat="1">
      <alignment horizontal="center" readingOrder="0"/>
    </xf>
    <xf borderId="0" fillId="2" fontId="6" numFmtId="49" xfId="0" applyAlignment="1" applyFont="1" applyNumberFormat="1">
      <alignment horizontal="center" readingOrder="0"/>
    </xf>
    <xf borderId="0" fillId="2" fontId="6" numFmtId="49" xfId="0" applyAlignment="1" applyFont="1" applyNumberFormat="1">
      <alignment horizontal="center"/>
    </xf>
    <xf borderId="0" fillId="0" fontId="7" numFmtId="0" xfId="0" applyAlignment="1" applyFont="1">
      <alignment horizontal="left" readingOrder="0" shrinkToFit="0" vertical="bottom" wrapText="1"/>
    </xf>
    <xf borderId="0" fillId="0" fontId="8" numFmtId="0" xfId="0" applyAlignment="1" applyFont="1">
      <alignment horizontal="left" readingOrder="0" shrinkToFit="0" vertical="bottom" wrapText="1"/>
    </xf>
    <xf borderId="0" fillId="4" fontId="9" numFmtId="49" xfId="0" applyAlignment="1" applyFill="1" applyFont="1" applyNumberFormat="1">
      <alignment readingOrder="0" shrinkToFit="0" wrapText="1"/>
    </xf>
    <xf borderId="0" fillId="0" fontId="10" numFmtId="0" xfId="0" applyAlignment="1" applyFont="1">
      <alignment horizontal="left" shrinkToFit="0" vertical="bottom" wrapText="1"/>
    </xf>
    <xf borderId="0" fillId="0" fontId="1" numFmtId="49" xfId="0" applyAlignment="1" applyFont="1" applyNumberFormat="1">
      <alignment horizontal="left" readingOrder="0"/>
    </xf>
    <xf borderId="0" fillId="0" fontId="11" numFmtId="49" xfId="0" applyAlignment="1" applyFont="1" applyNumberFormat="1">
      <alignment horizontal="left"/>
    </xf>
    <xf borderId="0" fillId="0" fontId="1" numFmtId="49" xfId="0" applyAlignment="1" applyFont="1" applyNumberFormat="1">
      <alignment horizontal="left"/>
    </xf>
    <xf borderId="0" fillId="0" fontId="7" numFmtId="0" xfId="0" applyAlignment="1" applyFont="1">
      <alignment horizontal="left" readingOrder="0" shrinkToFit="0" vertical="bottom" wrapText="1"/>
    </xf>
    <xf borderId="0" fillId="4" fontId="12" numFmtId="49" xfId="0" applyAlignment="1" applyFont="1" applyNumberFormat="1">
      <alignment readingOrder="0" shrinkToFit="0" wrapText="1"/>
    </xf>
    <xf borderId="0" fillId="0" fontId="10" numFmtId="0" xfId="0" applyAlignment="1" applyFont="1">
      <alignment horizontal="left" readingOrder="0" shrinkToFit="0" vertical="bottom" wrapText="1"/>
    </xf>
    <xf borderId="0" fillId="0" fontId="13" numFmtId="0" xfId="0" applyAlignment="1" applyFont="1">
      <alignment horizontal="left" readingOrder="0" shrinkToFit="0" vertical="bottom" wrapText="1"/>
    </xf>
    <xf borderId="0" fillId="0" fontId="14" numFmtId="0" xfId="0" applyAlignment="1" applyFont="1">
      <alignment horizontal="left" readingOrder="0" shrinkToFit="0" vertical="bottom" wrapText="1"/>
    </xf>
    <xf borderId="0" fillId="0" fontId="7" numFmtId="0" xfId="0" applyAlignment="1" applyFont="1">
      <alignment horizontal="left" shrinkToFit="0" vertical="bottom" wrapText="1"/>
    </xf>
    <xf borderId="0" fillId="0" fontId="15" numFmtId="0" xfId="0" applyAlignment="1" applyFont="1">
      <alignment readingOrder="0"/>
    </xf>
    <xf borderId="0" fillId="0" fontId="16" numFmtId="0" xfId="0" applyAlignment="1" applyFont="1">
      <alignment horizontal="left" readingOrder="0" shrinkToFit="0" vertical="bottom" wrapText="1"/>
    </xf>
    <xf borderId="0" fillId="0" fontId="10" numFmtId="0" xfId="0" applyAlignment="1" applyFont="1">
      <alignment horizontal="left" readingOrder="0" shrinkToFit="0" vertical="bottom" wrapText="1"/>
    </xf>
    <xf borderId="0" fillId="0" fontId="7" numFmtId="49" xfId="0" applyAlignment="1" applyFont="1" applyNumberFormat="1">
      <alignment horizontal="left" readingOrder="0" shrinkToFit="0" vertical="bottom" wrapText="1"/>
    </xf>
    <xf borderId="0" fillId="0" fontId="10" numFmtId="49" xfId="0" applyAlignment="1" applyFont="1" applyNumberFormat="1">
      <alignment horizontal="left" readingOrder="0" shrinkToFit="0" vertical="bottom" wrapText="1"/>
    </xf>
    <xf borderId="0" fillId="0" fontId="10" numFmtId="49" xfId="0" applyAlignment="1" applyFont="1" applyNumberFormat="1">
      <alignment horizontal="left" shrinkToFit="0" vertical="bottom" wrapText="1"/>
    </xf>
    <xf borderId="0" fillId="0" fontId="1" numFmtId="49" xfId="0" applyFont="1" applyNumberFormat="1"/>
    <xf borderId="14" fillId="2" fontId="17" numFmtId="49" xfId="0" applyAlignment="1" applyBorder="1" applyFont="1" applyNumberFormat="1">
      <alignment horizontal="center" readingOrder="0" shrinkToFit="0" vertical="bottom" wrapText="1"/>
    </xf>
    <xf borderId="14" fillId="2" fontId="18" numFmtId="49" xfId="0" applyAlignment="1" applyBorder="1" applyFont="1" applyNumberFormat="1">
      <alignment horizontal="center" readingOrder="0" shrinkToFit="0" vertical="bottom" wrapText="1"/>
    </xf>
    <xf borderId="14" fillId="2" fontId="18" numFmtId="49" xfId="0" applyAlignment="1" applyBorder="1" applyFont="1" applyNumberFormat="1">
      <alignment horizontal="center" shrinkToFit="0" vertical="bottom" wrapText="1"/>
    </xf>
    <xf borderId="14" fillId="2" fontId="19" numFmtId="49" xfId="0" applyAlignment="1" applyBorder="1" applyFont="1" applyNumberFormat="1">
      <alignment horizontal="center" readingOrder="0" shrinkToFit="0" vertical="bottom" wrapText="1"/>
    </xf>
    <xf borderId="14" fillId="2" fontId="19" numFmtId="49" xfId="0" applyAlignment="1" applyBorder="1" applyFont="1" applyNumberFormat="1">
      <alignment horizontal="center" shrinkToFit="0" vertical="bottom" wrapText="1"/>
    </xf>
    <xf borderId="14" fillId="2" fontId="20" numFmtId="49" xfId="0" applyAlignment="1" applyBorder="1" applyFont="1" applyNumberFormat="1">
      <alignment horizontal="center" vertical="bottom"/>
    </xf>
    <xf borderId="0" fillId="5" fontId="21" numFmtId="49" xfId="0" applyAlignment="1" applyFill="1" applyFont="1" applyNumberFormat="1">
      <alignment horizontal="center" readingOrder="0" shrinkToFit="0" vertical="bottom" wrapText="1"/>
    </xf>
    <xf borderId="0" fillId="5" fontId="21" numFmtId="49" xfId="0" applyAlignment="1" applyFont="1" applyNumberFormat="1">
      <alignment horizontal="left" readingOrder="0" shrinkToFit="0" vertical="bottom" wrapText="1"/>
    </xf>
    <xf borderId="15" fillId="5" fontId="22" numFmtId="49" xfId="0" applyAlignment="1" applyBorder="1" applyFont="1" applyNumberFormat="1">
      <alignment horizontal="center" shrinkToFit="0" vertical="bottom" wrapText="1"/>
    </xf>
    <xf borderId="0" fillId="5" fontId="23" numFmtId="49" xfId="0" applyAlignment="1" applyFont="1" applyNumberFormat="1">
      <alignment horizontal="left" shrinkToFit="0" vertical="bottom" wrapText="1"/>
    </xf>
    <xf borderId="0" fillId="5" fontId="21" numFmtId="49" xfId="0" applyAlignment="1" applyFont="1" applyNumberFormat="1">
      <alignment horizontal="left" shrinkToFit="0" vertical="bottom" wrapText="1"/>
    </xf>
    <xf borderId="0" fillId="5" fontId="23" numFmtId="49" xfId="0" applyAlignment="1" applyFont="1" applyNumberFormat="1">
      <alignment horizontal="left" vertical="bottom"/>
    </xf>
    <xf borderId="0" fillId="0" fontId="21" numFmtId="49" xfId="0" applyAlignment="1" applyFont="1" applyNumberFormat="1">
      <alignment horizontal="center" readingOrder="0" shrinkToFit="0" vertical="bottom" wrapText="1"/>
    </xf>
    <xf borderId="0" fillId="6" fontId="21" numFmtId="49" xfId="0" applyAlignment="1" applyFill="1" applyFont="1" applyNumberFormat="1">
      <alignment horizontal="left" readingOrder="0" shrinkToFit="0" vertical="bottom" wrapText="1"/>
    </xf>
    <xf borderId="0" fillId="6" fontId="24" numFmtId="49" xfId="0" applyAlignment="1" applyFont="1" applyNumberFormat="1">
      <alignment horizontal="center" readingOrder="0" shrinkToFit="0" vertical="bottom" wrapText="1"/>
    </xf>
    <xf borderId="0" fillId="6" fontId="21" numFmtId="49" xfId="0" applyAlignment="1" applyFont="1" applyNumberFormat="1">
      <alignment horizontal="left" readingOrder="0" vertical="bottom"/>
    </xf>
    <xf borderId="0" fillId="7" fontId="21" numFmtId="0" xfId="0" applyAlignment="1" applyFill="1" applyFont="1">
      <alignment horizontal="left" readingOrder="0" shrinkToFit="0" vertical="bottom" wrapText="0"/>
    </xf>
    <xf borderId="0" fillId="7" fontId="21" numFmtId="49" xfId="0" applyAlignment="1" applyFont="1" applyNumberFormat="1">
      <alignment horizontal="left" readingOrder="0" shrinkToFit="0" vertical="bottom" wrapText="0"/>
    </xf>
    <xf borderId="0" fillId="7" fontId="0" numFmtId="49" xfId="0" applyAlignment="1" applyFont="1" applyNumberFormat="1">
      <alignment horizontal="left" readingOrder="0" shrinkToFit="0" vertical="bottom" wrapText="0"/>
    </xf>
    <xf borderId="0" fillId="7" fontId="23" numFmtId="49" xfId="0" applyAlignment="1" applyFont="1" applyNumberFormat="1">
      <alignment horizontal="left" shrinkToFit="0" vertical="bottom" wrapText="1"/>
    </xf>
    <xf borderId="0" fillId="7" fontId="23" numFmtId="49" xfId="0" applyAlignment="1" applyFont="1" applyNumberFormat="1">
      <alignment horizontal="left" readingOrder="0" shrinkToFit="0" vertical="bottom" wrapText="1"/>
    </xf>
    <xf borderId="0" fillId="0" fontId="23" numFmtId="49" xfId="0" applyAlignment="1" applyFont="1" applyNumberFormat="1">
      <alignment horizontal="left"/>
    </xf>
    <xf borderId="0" fillId="7" fontId="21" numFmtId="49" xfId="0" applyAlignment="1" applyFont="1" applyNumberFormat="1">
      <alignment horizontal="left" readingOrder="0"/>
    </xf>
    <xf borderId="0" fillId="7" fontId="21" numFmtId="49" xfId="0" applyAlignment="1" applyFont="1" applyNumberFormat="1">
      <alignment horizontal="left" readingOrder="0" vertical="bottom"/>
    </xf>
    <xf borderId="0" fillId="0" fontId="23" numFmtId="49" xfId="0" applyAlignment="1" applyFont="1" applyNumberFormat="1">
      <alignment horizontal="left" vertical="bottom"/>
    </xf>
    <xf borderId="0" fillId="6" fontId="0" numFmtId="49" xfId="0" applyAlignment="1" applyFont="1" applyNumberFormat="1">
      <alignment horizontal="left" readingOrder="0" shrinkToFit="0" wrapText="1"/>
    </xf>
    <xf borderId="0" fillId="6" fontId="24" numFmtId="49" xfId="0" applyAlignment="1" applyFont="1" applyNumberFormat="1">
      <alignment horizontal="center" readingOrder="0" vertical="bottom"/>
    </xf>
    <xf borderId="0" fillId="0" fontId="21" numFmtId="49" xfId="0" applyAlignment="1" applyFont="1" applyNumberFormat="1">
      <alignment horizontal="left" readingOrder="0"/>
    </xf>
    <xf borderId="0" fillId="6" fontId="25" numFmtId="49" xfId="0" applyAlignment="1" applyFont="1" applyNumberFormat="1">
      <alignment horizontal="left" readingOrder="0" shrinkToFit="0" wrapText="1"/>
    </xf>
    <xf borderId="0" fillId="6" fontId="23" numFmtId="49" xfId="0" applyAlignment="1" applyFont="1" applyNumberFormat="1">
      <alignment horizontal="left" shrinkToFit="0" wrapText="1"/>
    </xf>
    <xf borderId="0" fillId="7" fontId="21" numFmtId="49" xfId="0" applyAlignment="1" applyFont="1" applyNumberFormat="1">
      <alignment horizontal="left" vertical="bottom"/>
    </xf>
    <xf borderId="0" fillId="6" fontId="0" numFmtId="49" xfId="0" applyAlignment="1" applyFont="1" applyNumberFormat="1">
      <alignment horizontal="left" readingOrder="0" shrinkToFit="0" wrapText="1"/>
    </xf>
    <xf borderId="0" fillId="6" fontId="21" numFmtId="49" xfId="0" applyAlignment="1" applyFont="1" applyNumberFormat="1">
      <alignment horizontal="left" readingOrder="0" shrinkToFit="0" vertical="bottom" wrapText="0"/>
    </xf>
    <xf borderId="0" fillId="6" fontId="21" numFmtId="49" xfId="0" applyAlignment="1" applyFont="1" applyNumberFormat="1">
      <alignment horizontal="left" readingOrder="0" shrinkToFit="0" vertical="bottom" wrapText="1"/>
    </xf>
    <xf borderId="0" fillId="6" fontId="24" numFmtId="49" xfId="0" applyAlignment="1" applyFont="1" applyNumberFormat="1">
      <alignment horizontal="center" readingOrder="0" shrinkToFit="0" vertical="bottom" wrapText="0"/>
    </xf>
    <xf borderId="0" fillId="6" fontId="21" numFmtId="49" xfId="0" applyAlignment="1" applyFont="1" applyNumberFormat="1">
      <alignment horizontal="left" readingOrder="0" shrinkToFit="0" wrapText="1"/>
    </xf>
    <xf borderId="0" fillId="7" fontId="0" numFmtId="49" xfId="0" applyAlignment="1" applyFont="1" applyNumberFormat="1">
      <alignment horizontal="left" readingOrder="0" vertical="bottom"/>
    </xf>
    <xf borderId="0" fillId="6" fontId="23" numFmtId="49" xfId="0" applyAlignment="1" applyFont="1" applyNumberFormat="1">
      <alignment horizontal="left" readingOrder="0" shrinkToFit="0" wrapText="1"/>
    </xf>
    <xf borderId="0" fillId="7" fontId="0" numFmtId="49" xfId="0" applyAlignment="1" applyFont="1" applyNumberFormat="1">
      <alignment horizontal="left" readingOrder="0"/>
    </xf>
    <xf borderId="0" fillId="7" fontId="21" numFmtId="49" xfId="0" applyAlignment="1" applyFont="1" applyNumberFormat="1">
      <alignment horizontal="left" readingOrder="0" vertical="bottom"/>
    </xf>
    <xf borderId="0" fillId="7" fontId="23" numFmtId="49" xfId="0" applyAlignment="1" applyFont="1" applyNumberFormat="1">
      <alignment horizontal="left" readingOrder="0" vertical="bottom"/>
    </xf>
    <xf borderId="0" fillId="7" fontId="23" numFmtId="49" xfId="0" applyAlignment="1" applyFont="1" applyNumberFormat="1">
      <alignment horizontal="left"/>
    </xf>
    <xf borderId="0" fillId="7" fontId="23" numFmtId="49" xfId="0" applyAlignment="1" applyFont="1" applyNumberFormat="1">
      <alignment horizontal="left" vertical="bottom"/>
    </xf>
    <xf borderId="0" fillId="6" fontId="0" numFmtId="49" xfId="0" applyAlignment="1" applyFont="1" applyNumberFormat="1">
      <alignment horizontal="left" readingOrder="0" shrinkToFit="0" wrapText="1"/>
    </xf>
    <xf borderId="0" fillId="7" fontId="23" numFmtId="49" xfId="0" applyAlignment="1" applyFont="1" applyNumberFormat="1">
      <alignment horizontal="left" readingOrder="0" vertical="bottom"/>
    </xf>
    <xf borderId="0" fillId="7" fontId="23" numFmtId="49" xfId="0" applyAlignment="1" applyFont="1" applyNumberFormat="1">
      <alignment horizontal="left" readingOrder="0"/>
    </xf>
    <xf borderId="0" fillId="8" fontId="18" numFmtId="49" xfId="0" applyAlignment="1" applyFill="1" applyFont="1" applyNumberFormat="1">
      <alignment horizontal="center" shrinkToFit="0" vertical="bottom" wrapText="1"/>
    </xf>
    <xf borderId="0" fillId="8" fontId="18" numFmtId="49" xfId="0" applyAlignment="1" applyFont="1" applyNumberFormat="1">
      <alignment horizontal="center" readingOrder="0" shrinkToFit="0" vertical="bottom" wrapText="1"/>
    </xf>
    <xf borderId="16" fillId="8" fontId="18" numFmtId="49" xfId="0" applyAlignment="1" applyBorder="1" applyFont="1" applyNumberFormat="1">
      <alignment horizontal="center" readingOrder="0" shrinkToFit="0" vertical="bottom" wrapText="1"/>
    </xf>
    <xf borderId="16" fillId="0" fontId="1" numFmtId="0" xfId="0" applyBorder="1" applyFont="1"/>
    <xf borderId="17" fillId="0" fontId="1" numFmtId="0" xfId="0" applyBorder="1" applyFont="1"/>
    <xf borderId="18" fillId="8" fontId="18" numFmtId="49" xfId="0" applyAlignment="1" applyBorder="1" applyFont="1" applyNumberFormat="1">
      <alignment horizontal="center" shrinkToFit="0" vertical="bottom" wrapText="1"/>
    </xf>
    <xf borderId="19" fillId="8" fontId="18" numFmtId="49" xfId="0" applyAlignment="1" applyBorder="1" applyFont="1" applyNumberFormat="1">
      <alignment horizontal="center" readingOrder="0" shrinkToFit="0" vertical="bottom" wrapText="1"/>
    </xf>
    <xf borderId="20" fillId="8" fontId="18" numFmtId="49" xfId="0" applyAlignment="1" applyBorder="1" applyFont="1" applyNumberFormat="1">
      <alignment horizontal="center" readingOrder="0" shrinkToFit="0" vertical="bottom" wrapText="1"/>
    </xf>
    <xf borderId="10" fillId="8" fontId="18" numFmtId="49" xfId="0" applyAlignment="1" applyBorder="1" applyFont="1" applyNumberFormat="1">
      <alignment horizontal="center" shrinkToFit="0" vertical="bottom" wrapText="1"/>
    </xf>
    <xf borderId="10" fillId="8" fontId="18" numFmtId="49" xfId="0" applyAlignment="1" applyBorder="1" applyFont="1" applyNumberFormat="1">
      <alignment horizontal="center" readingOrder="0" shrinkToFit="0" vertical="bottom" wrapText="1"/>
    </xf>
    <xf borderId="20" fillId="8" fontId="18" numFmtId="49" xfId="0" applyAlignment="1" applyBorder="1" applyFont="1" applyNumberFormat="1">
      <alignment horizontal="center" shrinkToFit="0" vertical="bottom" wrapText="1"/>
    </xf>
    <xf borderId="21" fillId="8" fontId="18" numFmtId="49" xfId="0" applyAlignment="1" applyBorder="1" applyFont="1" applyNumberFormat="1">
      <alignment horizontal="center" shrinkToFit="0" vertical="bottom" wrapText="1"/>
    </xf>
    <xf borderId="0" fillId="5" fontId="26" numFmtId="49" xfId="0" applyAlignment="1" applyFont="1" applyNumberFormat="1">
      <alignment horizontal="left" shrinkToFit="0" vertical="bottom" wrapText="1"/>
    </xf>
    <xf borderId="0" fillId="5" fontId="27" numFmtId="49" xfId="0" applyAlignment="1" applyFont="1" applyNumberFormat="1">
      <alignment horizontal="left" shrinkToFit="0" vertical="bottom" wrapText="1"/>
    </xf>
    <xf borderId="20" fillId="5" fontId="28" numFmtId="49" xfId="0" applyAlignment="1" applyBorder="1" applyFont="1" applyNumberFormat="1">
      <alignment horizontal="left" shrinkToFit="0" wrapText="1"/>
    </xf>
    <xf borderId="19" fillId="5" fontId="28" numFmtId="49" xfId="0" applyAlignment="1" applyBorder="1" applyFont="1" applyNumberFormat="1">
      <alignment horizontal="left" readingOrder="0" shrinkToFit="0" vertical="bottom" wrapText="1"/>
    </xf>
    <xf borderId="0" fillId="0" fontId="21" numFmtId="49" xfId="0" applyAlignment="1" applyFont="1" applyNumberFormat="1">
      <alignment horizontal="left" readingOrder="0" shrinkToFit="0" vertical="bottom" wrapText="1"/>
    </xf>
    <xf borderId="0" fillId="6" fontId="28" numFmtId="49" xfId="0" applyAlignment="1" applyFont="1" applyNumberFormat="1">
      <alignment horizontal="left" shrinkToFit="0" vertical="bottom" wrapText="1"/>
    </xf>
    <xf borderId="0" fillId="6" fontId="27" numFmtId="49" xfId="0" applyAlignment="1" applyFont="1" applyNumberFormat="1">
      <alignment horizontal="left" readingOrder="0" shrinkToFit="0" vertical="bottom" wrapText="1"/>
    </xf>
    <xf borderId="0" fillId="6" fontId="27" numFmtId="49" xfId="0" applyAlignment="1" applyFont="1" applyNumberFormat="1">
      <alignment horizontal="left" shrinkToFit="0" vertical="bottom" wrapText="1"/>
    </xf>
    <xf borderId="0" fillId="0" fontId="28" numFmtId="49" xfId="0" applyAlignment="1" applyFont="1" applyNumberFormat="1">
      <alignment horizontal="left" readingOrder="0" shrinkToFit="0" vertical="bottom" wrapText="1"/>
    </xf>
    <xf borderId="0" fillId="0" fontId="0" numFmtId="49" xfId="0" applyAlignment="1" applyFont="1" applyNumberFormat="1">
      <alignment horizontal="left" readingOrder="0" shrinkToFit="0" vertical="bottom" wrapText="1"/>
    </xf>
    <xf borderId="20" fillId="0" fontId="28" numFmtId="49" xfId="0" applyAlignment="1" applyBorder="1" applyFont="1" applyNumberFormat="1">
      <alignment horizontal="left" shrinkToFit="0" wrapText="1"/>
    </xf>
    <xf borderId="19" fillId="0" fontId="28" numFmtId="49" xfId="0" applyAlignment="1" applyBorder="1" applyFont="1" applyNumberFormat="1">
      <alignment horizontal="left" readingOrder="0" shrinkToFit="0" vertical="bottom" wrapText="1"/>
    </xf>
    <xf borderId="0" fillId="0" fontId="28" numFmtId="49" xfId="0" applyAlignment="1" applyFont="1" applyNumberFormat="1">
      <alignment horizontal="left" shrinkToFit="0" vertical="bottom" wrapText="1"/>
    </xf>
    <xf borderId="0" fillId="0" fontId="28" numFmtId="49" xfId="0" applyAlignment="1" applyFont="1" applyNumberFormat="1">
      <alignment horizontal="left" readingOrder="0" shrinkToFit="0" wrapText="1"/>
    </xf>
    <xf borderId="20" fillId="0" fontId="28" numFmtId="49" xfId="0" applyAlignment="1" applyBorder="1" applyFont="1" applyNumberFormat="1">
      <alignment horizontal="left" readingOrder="0" shrinkToFit="0" wrapText="1"/>
    </xf>
    <xf borderId="0" fillId="0" fontId="29" numFmtId="49" xfId="0" applyAlignment="1" applyFont="1" applyNumberFormat="1">
      <alignment horizontal="left" readingOrder="0" shrinkToFit="0" wrapText="1"/>
    </xf>
    <xf borderId="20" fillId="0" fontId="23" numFmtId="49" xfId="0" applyAlignment="1" applyBorder="1" applyFont="1" applyNumberFormat="1">
      <alignment vertical="bottom"/>
    </xf>
    <xf borderId="0" fillId="0" fontId="23" numFmtId="49" xfId="0" applyAlignment="1" applyFont="1" applyNumberFormat="1">
      <alignment vertical="bottom"/>
    </xf>
    <xf borderId="14" fillId="2" fontId="18" numFmtId="49" xfId="0" applyAlignment="1" applyBorder="1" applyFont="1" applyNumberFormat="1">
      <alignment horizontal="center" readingOrder="0" shrinkToFit="0" vertical="bottom" wrapText="0"/>
    </xf>
    <xf borderId="0" fillId="5" fontId="21" numFmtId="49" xfId="0" applyAlignment="1" applyFont="1" applyNumberFormat="1">
      <alignment horizontal="left" shrinkToFit="0" vertical="bottom" wrapText="0"/>
    </xf>
    <xf borderId="0" fillId="7" fontId="0" numFmtId="49" xfId="0" applyAlignment="1" applyFont="1" applyNumberFormat="1">
      <alignment horizontal="center" readingOrder="0" shrinkToFit="0" vertical="bottom" wrapText="1"/>
    </xf>
    <xf borderId="0" fillId="6" fontId="0" numFmtId="49" xfId="0" applyAlignment="1" applyFont="1" applyNumberFormat="1">
      <alignment horizontal="left" readingOrder="0" shrinkToFit="0" vertical="bottom" wrapText="1"/>
    </xf>
    <xf borderId="0" fillId="7" fontId="0" numFmtId="0" xfId="0" applyAlignment="1" applyFont="1">
      <alignment horizontal="left" readingOrder="0" shrinkToFit="0" vertical="bottom" wrapText="0"/>
    </xf>
    <xf borderId="0" fillId="7" fontId="0" numFmtId="49" xfId="0" applyAlignment="1" applyFont="1" applyNumberFormat="1">
      <alignment horizontal="left" readingOrder="0" shrinkToFit="0" vertical="bottom" wrapText="0"/>
    </xf>
    <xf borderId="0" fillId="7" fontId="28" numFmtId="49" xfId="0" applyAlignment="1" applyFont="1" applyNumberFormat="1">
      <alignment horizontal="left" readingOrder="0" shrinkToFit="0" vertical="bottom" wrapText="1"/>
    </xf>
    <xf borderId="0" fillId="7" fontId="28" numFmtId="49" xfId="0" applyAlignment="1" applyFont="1" applyNumberFormat="1">
      <alignment horizontal="left" readingOrder="0" shrinkToFit="0" wrapText="1"/>
    </xf>
    <xf borderId="0" fillId="7" fontId="0" numFmtId="49" xfId="0" applyAlignment="1" applyFont="1" applyNumberFormat="1">
      <alignment horizontal="left" readingOrder="0"/>
    </xf>
    <xf borderId="0" fillId="7" fontId="0" numFmtId="49" xfId="0" applyAlignment="1" applyFont="1" applyNumberFormat="1">
      <alignment horizontal="left" readingOrder="0" vertical="bottom"/>
    </xf>
    <xf borderId="0" fillId="7" fontId="28" numFmtId="49" xfId="0" applyAlignment="1" applyFont="1" applyNumberFormat="1">
      <alignment horizontal="left" vertical="bottom"/>
    </xf>
    <xf borderId="0" fillId="6" fontId="0" numFmtId="49" xfId="0" applyAlignment="1" applyFont="1" applyNumberFormat="1">
      <alignment horizontal="left" readingOrder="0" vertical="bottom"/>
    </xf>
    <xf borderId="0" fillId="6" fontId="0" numFmtId="49" xfId="0" applyAlignment="1" applyFont="1" applyNumberFormat="1">
      <alignment horizontal="left" readingOrder="0" shrinkToFit="0" wrapText="1"/>
    </xf>
    <xf borderId="0" fillId="7" fontId="28" numFmtId="49" xfId="0" applyAlignment="1" applyFont="1" applyNumberFormat="1">
      <alignment horizontal="left" readingOrder="0"/>
    </xf>
    <xf borderId="0" fillId="6" fontId="30" numFmtId="49" xfId="0" applyAlignment="1" applyFont="1" applyNumberFormat="1">
      <alignment horizontal="left" readingOrder="0" shrinkToFit="0" wrapText="1"/>
    </xf>
    <xf borderId="0" fillId="9" fontId="24" numFmtId="49" xfId="0" applyAlignment="1" applyFill="1" applyFont="1" applyNumberFormat="1">
      <alignment horizontal="center" readingOrder="0" vertical="bottom"/>
    </xf>
    <xf borderId="0" fillId="7" fontId="28" numFmtId="49" xfId="0" applyAlignment="1" applyFont="1" applyNumberFormat="1">
      <alignment horizontal="left" shrinkToFit="0" vertical="bottom" wrapText="1"/>
    </xf>
    <xf borderId="0" fillId="7" fontId="28" numFmtId="49" xfId="0" applyAlignment="1" applyFont="1" applyNumberFormat="1">
      <alignment horizontal="left" readingOrder="0" shrinkToFit="0" vertical="bottom" wrapText="1"/>
    </xf>
    <xf borderId="0" fillId="6" fontId="28" numFmtId="49" xfId="0" applyAlignment="1" applyFont="1" applyNumberFormat="1">
      <alignment horizontal="left" readingOrder="0" shrinkToFit="0" wrapText="1"/>
    </xf>
    <xf borderId="0" fillId="7" fontId="0" numFmtId="49" xfId="0" applyAlignment="1" applyFont="1" applyNumberFormat="1">
      <alignment horizontal="left" vertical="bottom"/>
    </xf>
    <xf borderId="0" fillId="6" fontId="0" numFmtId="49" xfId="0" applyAlignment="1" applyFont="1" applyNumberFormat="1">
      <alignment horizontal="left" readingOrder="0" shrinkToFit="0" wrapText="1"/>
    </xf>
    <xf borderId="0" fillId="6" fontId="0" numFmtId="49" xfId="0" applyAlignment="1" applyFont="1" applyNumberFormat="1">
      <alignment horizontal="left" readingOrder="0" shrinkToFit="0" vertical="bottom" wrapText="0"/>
    </xf>
    <xf borderId="0" fillId="6" fontId="0" numFmtId="49" xfId="0" applyAlignment="1" applyFont="1" applyNumberFormat="1">
      <alignment horizontal="left" readingOrder="0" shrinkToFit="0" vertical="bottom" wrapText="1"/>
    </xf>
    <xf borderId="0" fillId="7" fontId="0" numFmtId="49" xfId="0" applyAlignment="1" applyFont="1" applyNumberFormat="1">
      <alignment horizontal="left" readingOrder="0" shrinkToFit="0" vertical="bottom" wrapText="1"/>
    </xf>
    <xf borderId="0" fillId="7" fontId="28" numFmtId="49" xfId="0" applyAlignment="1" applyFont="1" applyNumberFormat="1">
      <alignment horizontal="left" readingOrder="0" shrinkToFit="0" wrapText="1"/>
    </xf>
    <xf borderId="0" fillId="7" fontId="0" numFmtId="49" xfId="0" applyAlignment="1" applyFont="1" applyNumberFormat="1">
      <alignment horizontal="left" readingOrder="0" vertical="bottom"/>
    </xf>
    <xf borderId="0" fillId="7" fontId="28" numFmtId="49" xfId="0" applyAlignment="1" applyFont="1" applyNumberFormat="1">
      <alignment horizontal="left" readingOrder="0" vertical="bottom"/>
    </xf>
    <xf borderId="0" fillId="7" fontId="28" numFmtId="49" xfId="0" applyAlignment="1" applyFont="1" applyNumberFormat="1">
      <alignment horizontal="left"/>
    </xf>
    <xf borderId="0" fillId="7" fontId="28" numFmtId="49" xfId="0" applyAlignment="1" applyFont="1" applyNumberFormat="1">
      <alignment horizontal="left" readingOrder="0" vertical="bottom"/>
    </xf>
    <xf borderId="0" fillId="7" fontId="28" numFmtId="49" xfId="0" applyAlignment="1" applyFont="1" applyNumberFormat="1">
      <alignment horizontal="left" readingOrder="0"/>
    </xf>
    <xf borderId="0" fillId="7" fontId="31" numFmtId="49" xfId="0" applyAlignment="1" applyFont="1" applyNumberFormat="1">
      <alignment horizontal="left" readingOrder="0" shrinkToFit="0" vertical="bottom" wrapText="1"/>
    </xf>
    <xf borderId="0" fillId="7" fontId="0" numFmtId="49" xfId="0" applyAlignment="1" applyFont="1" applyNumberFormat="1">
      <alignment horizontal="left" readingOrder="0" shrinkToFit="0" vertical="bottom" wrapText="0"/>
    </xf>
    <xf borderId="0" fillId="7" fontId="32" numFmtId="49" xfId="0" applyAlignment="1" applyFont="1" applyNumberFormat="1">
      <alignment horizontal="left" readingOrder="0" shrinkToFit="0" vertical="bottom" wrapText="0"/>
    </xf>
    <xf borderId="0" fillId="4" fontId="21" numFmtId="49" xfId="0" applyAlignment="1" applyFont="1" applyNumberFormat="1">
      <alignment readingOrder="0" shrinkToFit="0" wrapText="1"/>
    </xf>
    <xf borderId="0" fillId="4" fontId="33" numFmtId="49" xfId="0" applyAlignment="1" applyFont="1" applyNumberFormat="1">
      <alignment readingOrder="0" shrinkToFit="0" wrapText="1"/>
    </xf>
    <xf borderId="0" fillId="7" fontId="28" numFmtId="49" xfId="0" applyAlignment="1" applyFont="1" applyNumberFormat="1">
      <alignment vertical="bottom"/>
    </xf>
  </cellXfs>
  <cellStyles count="1">
    <cellStyle xfId="0" name="Normal" builtinId="0"/>
  </cellStyles>
  <dxfs count="8">
    <dxf>
      <font>
        <b/>
      </font>
      <fill>
        <patternFill patternType="solid">
          <fgColor rgb="FFFF00FF"/>
          <bgColor rgb="FFFF00FF"/>
        </patternFill>
      </fill>
      <border/>
    </dxf>
    <dxf>
      <font/>
      <fill>
        <patternFill patternType="solid">
          <fgColor rgb="FFD0E0E3"/>
          <bgColor rgb="FFD0E0E3"/>
        </patternFill>
      </fill>
      <border/>
    </dxf>
    <dxf>
      <font/>
      <fill>
        <patternFill patternType="solid">
          <fgColor rgb="FFF4CCCC"/>
          <bgColor rgb="FFF4CCCC"/>
        </patternFill>
      </fill>
      <border/>
    </dxf>
    <dxf>
      <font/>
      <fill>
        <patternFill patternType="solid">
          <fgColor rgb="FFB7E1CD"/>
          <bgColor rgb="FFB7E1CD"/>
        </patternFill>
      </fill>
      <border/>
    </dxf>
    <dxf>
      <font/>
      <fill>
        <patternFill patternType="solid">
          <fgColor rgb="FFF4C7C3"/>
          <bgColor rgb="FFF4C7C3"/>
        </patternFill>
      </fill>
      <border/>
    </dxf>
    <dxf>
      <font/>
      <fill>
        <patternFill patternType="solid">
          <fgColor rgb="FFFFE599"/>
          <bgColor rgb="FFFFE599"/>
        </patternFill>
      </fill>
      <border/>
    </dxf>
    <dxf>
      <font/>
      <fill>
        <patternFill patternType="solid">
          <fgColor rgb="FFD9D2E9"/>
          <bgColor rgb="FFD9D2E9"/>
        </patternFill>
      </fill>
      <border/>
    </dxf>
    <dxf>
      <font/>
      <fill>
        <patternFill patternType="solid">
          <fgColor rgb="FF00F2F2"/>
          <bgColor rgb="FF00F2F2"/>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5" Type="http://schemas.openxmlformats.org/officeDocument/2006/relationships/worksheet" Target="worksheets/sheet13.xml"/><Relationship Id="rId14" Type="http://schemas.openxmlformats.org/officeDocument/2006/relationships/worksheet" Target="worksheets/sheet12.xml"/><Relationship Id="rId16" Type="http://schemas.openxmlformats.org/officeDocument/2006/relationships/worksheet" Target="worksheets/sheet14.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1" Type="http://schemas.openxmlformats.org/officeDocument/2006/relationships/hyperlink" Target="https://www.friendsofhopevalley.org/2008newsletterweb.pdf" TargetMode="External"/><Relationship Id="rId10" Type="http://schemas.openxmlformats.org/officeDocument/2006/relationships/hyperlink" Target="https://www.friendsofhopevalley.org/news07_winter.pdf" TargetMode="External"/><Relationship Id="rId13" Type="http://schemas.openxmlformats.org/officeDocument/2006/relationships/drawing" Target="../drawings/drawing2.xml"/><Relationship Id="rId12" Type="http://schemas.openxmlformats.org/officeDocument/2006/relationships/hyperlink" Target="https://www.fs.usda.gov/Internet/FSE_DOCUMENTS/stelprdb5294291.pdf" TargetMode="External"/><Relationship Id="rId1" Type="http://schemas.openxmlformats.org/officeDocument/2006/relationships/hyperlink" Target="https://www.tahoedailytribune.com/news/emigrant-trail-tour-promises-spectacular-colors/" TargetMode="External"/><Relationship Id="rId2" Type="http://schemas.openxmlformats.org/officeDocument/2006/relationships/hyperlink" Target="https://www.tahoedailytribune.com/news/emigrant-trail-tour-promises-spectacular-colors/" TargetMode="External"/><Relationship Id="rId3" Type="http://schemas.openxmlformats.org/officeDocument/2006/relationships/hyperlink" Target="https://www.tahoedailytribune.com/news/emigrant-trail-tour-promises-spectacular-colors/" TargetMode="External"/><Relationship Id="rId4" Type="http://schemas.openxmlformats.org/officeDocument/2006/relationships/hyperlink" Target="https://www.fs.usda.gov/Internet/FSE_DOCUMENTS/stelprdb5294291.pdf." TargetMode="External"/><Relationship Id="rId9" Type="http://schemas.openxmlformats.org/officeDocument/2006/relationships/hyperlink" Target="https://www.friendsofhopevalley.org/2008newsletterweb.pdf" TargetMode="External"/><Relationship Id="rId5" Type="http://schemas.openxmlformats.org/officeDocument/2006/relationships/hyperlink" Target="https://www.fs.usda.gov/Internet/FSE_DOCUMENTS/stelprdb5294291.pdf." TargetMode="External"/><Relationship Id="rId6" Type="http://schemas.openxmlformats.org/officeDocument/2006/relationships/hyperlink" Target="https://books.google.com/books?id=xCQEAAAAMBAJ&amp;pg=PT43" TargetMode="External"/><Relationship Id="rId7" Type="http://schemas.openxmlformats.org/officeDocument/2006/relationships/hyperlink" Target="https://books.google.com/books?id=JCgEAAAAMBAJ&amp;pg=RA1-PA25" TargetMode="External"/><Relationship Id="rId8" Type="http://schemas.openxmlformats.org/officeDocument/2006/relationships/hyperlink" Target="https://books.google.com/books?id=xCQEAAAAMBAJ&amp;pg=PT43"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drive.google.com/drive/search?q=parent:1VmyDEdY-rZ9IfPP9oyBpoZpjcDWGggJR%20%22SP-039-John%20Muir%20Health.pdf%22" TargetMode="External"/><Relationship Id="rId190" Type="http://schemas.openxmlformats.org/officeDocument/2006/relationships/hyperlink" Target="https://drive.google.com/drive/search?q=parent:1VmyDEdY-rZ9IfPP9oyBpoZpjcDWGggJR%20%22SP-187-Colvin%20v%20Sullivan.pdf%22" TargetMode="External"/><Relationship Id="rId42" Type="http://schemas.openxmlformats.org/officeDocument/2006/relationships/hyperlink" Target="https://drive.google.com/drive/search?q=parent:1VmyDEdY-rZ9IfPP9oyBpoZpjcDWGggJR%20%22SP-041-Holton.pdf%22" TargetMode="External"/><Relationship Id="rId41" Type="http://schemas.openxmlformats.org/officeDocument/2006/relationships/hyperlink" Target="https://drive.google.com/drive/search?q=parent:1VmyDEdY-rZ9IfPP9oyBpoZpjcDWGggJR%20%22SP-040-Federman.pdf%22" TargetMode="External"/><Relationship Id="rId44" Type="http://schemas.openxmlformats.org/officeDocument/2006/relationships/hyperlink" Target="https://drive.google.com/drive/search?q=parent:1VmyDEdY-rZ9IfPP9oyBpoZpjcDWGggJR%20%22SP-043-Am%20Constr%20Co.pdf%22" TargetMode="External"/><Relationship Id="rId194" Type="http://schemas.openxmlformats.org/officeDocument/2006/relationships/hyperlink" Target="https://drive.google.com/drive/search?q=parent:1VmyDEdY-rZ9IfPP9oyBpoZpjcDWGggJR%20%22SP-191-BNSF%20Ry%20Co%20v%20Am%20Train%20Dispatchers%20Ass'n.pdf%22" TargetMode="External"/><Relationship Id="rId43" Type="http://schemas.openxmlformats.org/officeDocument/2006/relationships/hyperlink" Target="https://drive.google.com/drive/search?q=parent:1VmyDEdY-rZ9IfPP9oyBpoZpjcDWGggJR%20%22SP-042-Bearns.pdf%22" TargetMode="External"/><Relationship Id="rId193" Type="http://schemas.openxmlformats.org/officeDocument/2006/relationships/hyperlink" Target="https://drive.google.com/drive/search?q=parent:1VmyDEdY-rZ9IfPP9oyBpoZpjcDWGggJR%20%22SP-190-Adkins%20v%20Silverman.pdf%22" TargetMode="External"/><Relationship Id="rId46" Type="http://schemas.openxmlformats.org/officeDocument/2006/relationships/hyperlink" Target="https://drive.google.com/drive/search?q=parent:1VmyDEdY-rZ9IfPP9oyBpoZpjcDWGggJR%20%22SP-045-1291.pdf%22" TargetMode="External"/><Relationship Id="rId192" Type="http://schemas.openxmlformats.org/officeDocument/2006/relationships/hyperlink" Target="https://drive.google.com/drive/search?q=parent:1VmyDEdY-rZ9IfPP9oyBpoZpjcDWGggJR%20%22SP-189-Culbertson%20v%20Sec'y%20of%20Health%20and%20Hum%20Servs.pdf%22" TargetMode="External"/><Relationship Id="rId45" Type="http://schemas.openxmlformats.org/officeDocument/2006/relationships/hyperlink" Target="https://drive.google.com/drive/search?q=parent:1VmyDEdY-rZ9IfPP9oyBpoZpjcDWGggJR%20%22SP-044-Infra%20Notes%2029.pdf%22" TargetMode="External"/><Relationship Id="rId191" Type="http://schemas.openxmlformats.org/officeDocument/2006/relationships/hyperlink" Target="https://drive.google.com/drive/search?q=parent:1VmyDEdY-rZ9IfPP9oyBpoZpjcDWGggJR%20%22SP-188-Nielsen%20v%20Hagel.pdf%22" TargetMode="External"/><Relationship Id="rId48" Type="http://schemas.openxmlformats.org/officeDocument/2006/relationships/hyperlink" Target="https://drive.google.com/drive/search?q=parent:1VmyDEdY-rZ9IfPP9oyBpoZpjcDWGggJR%20%22SP-047-Federal%20Rule.pdf%22" TargetMode="External"/><Relationship Id="rId187" Type="http://schemas.openxmlformats.org/officeDocument/2006/relationships/hyperlink" Target="https://drive.google.com/drive/search?q=parent:1VmyDEdY-rZ9IfPP9oyBpoZpjcDWGggJR%20%22SP-184-Shipbuilders%20Council%20of%20Am%20v%20US%20Coast%20Guard.pdf%22" TargetMode="External"/><Relationship Id="rId47" Type="http://schemas.openxmlformats.org/officeDocument/2006/relationships/hyperlink" Target="https://drive.google.com/drive/search?q=parent:1VmyDEdY-rZ9IfPP9oyBpoZpjcDWGggJR%20%22SP-046-1292.pdf%22" TargetMode="External"/><Relationship Id="rId186" Type="http://schemas.openxmlformats.org/officeDocument/2006/relationships/hyperlink" Target="https://drive.google.com/drive/search?q=parent:1VmyDEdY-rZ9IfPP9oyBpoZpjcDWGggJR%20%22SP-183-Horizons.pdf%22" TargetMode="External"/><Relationship Id="rId185" Type="http://schemas.openxmlformats.org/officeDocument/2006/relationships/hyperlink" Target="https://drive.google.com/drive/search?q=parent:1VmyDEdY-rZ9IfPP9oyBpoZpjcDWGggJR%20%22SP-182-United%20States%20v%20Spears.pdf%22" TargetMode="External"/><Relationship Id="rId49" Type="http://schemas.openxmlformats.org/officeDocument/2006/relationships/hyperlink" Target="https://drive.google.com/drive/search?q=parent:1VmyDEdY-rZ9IfPP9oyBpoZpjcDWGggJR%20%22SP-048-Infra%20Notes%20280.pdf%22" TargetMode="External"/><Relationship Id="rId184" Type="http://schemas.openxmlformats.org/officeDocument/2006/relationships/hyperlink" Target="https://drive.google.com/drive/search?q=parent:1VmyDEdY-rZ9IfPP9oyBpoZpjcDWGggJR%20%22SP-181-United%20Steelworkers%20of%20Am%20Local%201913%20v%20Union%20RR%20Co.pdf%22" TargetMode="External"/><Relationship Id="rId189" Type="http://schemas.openxmlformats.org/officeDocument/2006/relationships/hyperlink" Target="https://drive.google.com/drive/search?q=parent:1VmyDEdY-rZ9IfPP9oyBpoZpjcDWGggJR%20%22SP-186-Hanauer%20v%20Reich.pdf%22" TargetMode="External"/><Relationship Id="rId188" Type="http://schemas.openxmlformats.org/officeDocument/2006/relationships/hyperlink" Target="https://drive.google.com/drive/search?q=parent:1VmyDEdY-rZ9IfPP9oyBpoZpjcDWGggJR%20%22SP-185-Highlands%20Conservancy.pdf%22" TargetMode="External"/><Relationship Id="rId31" Type="http://schemas.openxmlformats.org/officeDocument/2006/relationships/hyperlink" Target="https://drive.google.com/drive/search?q=parent:1VmyDEdY-rZ9IfPP9oyBpoZpjcDWGggJR%20%22SP-030-Infra%20Notes%2039-51%20and%20Accompanying%20Text.pdf%22" TargetMode="External"/><Relationship Id="rId30" Type="http://schemas.openxmlformats.org/officeDocument/2006/relationships/hyperlink" Target="https://drive.google.com/drive/search?q=parent:1VmyDEdY-rZ9IfPP9oyBpoZpjcDWGggJR%20%22SP-029-Fed%20Ct.pdf%22" TargetMode="External"/><Relationship Id="rId33" Type="http://schemas.openxmlformats.org/officeDocument/2006/relationships/hyperlink" Target="https://drive.google.com/drive/search?q=parent:1VmyDEdY-rZ9IfPP9oyBpoZpjcDWGggJR%20%22SP-032-Pueblo%20of%20Sandia%20v%20Babbitt.pdf%22" TargetMode="External"/><Relationship Id="rId183" Type="http://schemas.openxmlformats.org/officeDocument/2006/relationships/hyperlink" Target="https://drive.google.com/drive/search?q=parent:1VmyDEdY-rZ9IfPP9oyBpoZpjcDWGggJR%20%22SP-180-BHD%20of%20Maint%20of%20Way%20Emps%20v%20Consol%20Rail%20Corp.pdf%22" TargetMode="External"/><Relationship Id="rId32" Type="http://schemas.openxmlformats.org/officeDocument/2006/relationships/hyperlink" Target="https://drive.google.com/drive/search?q=parent:1VmyDEdY-rZ9IfPP9oyBpoZpjcDWGggJR%20%22SP-031-Infra%20Notes%2046-48%20and%20Accompanying%20Text.pdf%22" TargetMode="External"/><Relationship Id="rId182" Type="http://schemas.openxmlformats.org/officeDocument/2006/relationships/hyperlink" Target="https://drive.google.com/drive/search?q=parent:1VmyDEdY-rZ9IfPP9oyBpoZpjcDWGggJR%20%22SP-179-Bey%20v%20City%20of%20New%20York.pdf%22" TargetMode="External"/><Relationship Id="rId35" Type="http://schemas.openxmlformats.org/officeDocument/2006/relationships/hyperlink" Target="https://drive.google.com/drive/search?q=parent:1VmyDEdY-rZ9IfPP9oyBpoZpjcDWGggJR%20%22SP-034-NY%20Legal%20Assistance%20GRP%20v%20Cardona.pdf%22" TargetMode="External"/><Relationship Id="rId181" Type="http://schemas.openxmlformats.org/officeDocument/2006/relationships/hyperlink" Target="https://drive.google.com/drive/search?q=parent:1VmyDEdY-rZ9IfPP9oyBpoZpjcDWGggJR%20%22SP-178-Silver%20v%20Smith.pdf%22" TargetMode="External"/><Relationship Id="rId34" Type="http://schemas.openxmlformats.org/officeDocument/2006/relationships/hyperlink" Target="https://drive.google.com/drive/search?q=parent:1VmyDEdY-rZ9IfPP9oyBpoZpjcDWGggJR%20%22SP-033-CTR%20for%20Biological%20Diversity%20v%20Bureau%20of%20Land%20MGMT.pdf%22" TargetMode="External"/><Relationship Id="rId180" Type="http://schemas.openxmlformats.org/officeDocument/2006/relationships/hyperlink" Target="https://drive.google.com/drive/search?q=parent:1VmyDEdY-rZ9IfPP9oyBpoZpjcDWGggJR%20%22SP-177-Perales%20v%20Sullivan.pdf%22" TargetMode="External"/><Relationship Id="rId37" Type="http://schemas.openxmlformats.org/officeDocument/2006/relationships/hyperlink" Target="https://drive.google.com/drive/search?q=parent:1VmyDEdY-rZ9IfPP9oyBpoZpjcDWGggJR%20%22SP-036-Infra%20Notes%20193-194.pdf%22" TargetMode="External"/><Relationship Id="rId176" Type="http://schemas.openxmlformats.org/officeDocument/2006/relationships/hyperlink" Target="https://drive.google.com/drive/search?q=parent:1VmyDEdY-rZ9IfPP9oyBpoZpjcDWGggJR%20%22SP-173-Am%20Haw%20Cruises%20v%20Skinner.pdf%22" TargetMode="External"/><Relationship Id="rId297" Type="http://schemas.openxmlformats.org/officeDocument/2006/relationships/hyperlink" Target="https://drive.google.com/drive/search?q=parent:1VmyDEdY-rZ9IfPP9oyBpoZpjcDWGggJR%20%22SP-293-28%20USC%202401(A.pdf%22" TargetMode="External"/><Relationship Id="rId36" Type="http://schemas.openxmlformats.org/officeDocument/2006/relationships/hyperlink" Target="https://drive.google.com/drive/search?q=parent:1VmyDEdY-rZ9IfPP9oyBpoZpjcDWGggJR%20%22SP-035-Infra%20Notes%20132-192%20and%20Accompanying%20Text.pdf%22" TargetMode="External"/><Relationship Id="rId175" Type="http://schemas.openxmlformats.org/officeDocument/2006/relationships/hyperlink" Target="https://drive.google.com/drive/search?q=parent:1VmyDEdY-rZ9IfPP9oyBpoZpjcDWGggJR%20%22SP-172-Limnia.pdf%22" TargetMode="External"/><Relationship Id="rId296" Type="http://schemas.openxmlformats.org/officeDocument/2006/relationships/hyperlink" Target="https://drive.google.com/drive/search?q=parent:1VmyDEdY-rZ9IfPP9oyBpoZpjcDWGggJR%20%22SP-292-Corner.pdf%22" TargetMode="External"/><Relationship Id="rId39" Type="http://schemas.openxmlformats.org/officeDocument/2006/relationships/hyperlink" Target="https://drive.google.com/drive/search?q=parent:1VmyDEdY-rZ9IfPP9oyBpoZpjcDWGggJR%20%22SP-038-Jackson.pdf%22" TargetMode="External"/><Relationship Id="rId174" Type="http://schemas.openxmlformats.org/officeDocument/2006/relationships/hyperlink" Target="https://drive.google.com/drive/search?q=parent:1VmyDEdY-rZ9IfPP9oyBpoZpjcDWGggJR%20%22SP-171-Naacp.pdf%22" TargetMode="External"/><Relationship Id="rId295" Type="http://schemas.openxmlformats.org/officeDocument/2006/relationships/hyperlink" Target="https://drive.google.com/drive/search?q=parent:1VmyDEdY-rZ9IfPP9oyBpoZpjcDWGggJR%20%22SP-291-Alabama%20Ass'n%20of%20Realtors%20v%20Dep't%20of%20Health%20and%20Human%20Servs.pdf%22" TargetMode="External"/><Relationship Id="rId38" Type="http://schemas.openxmlformats.org/officeDocument/2006/relationships/hyperlink" Target="https://drive.google.com/drive/search?q=parent:1VmyDEdY-rZ9IfPP9oyBpoZpjcDWGggJR%20%22SP-037-Clopton.pdf%22" TargetMode="External"/><Relationship Id="rId173" Type="http://schemas.openxmlformats.org/officeDocument/2006/relationships/hyperlink" Target="https://drive.google.com/drive/search?q=parent:1VmyDEdY-rZ9IfPP9oyBpoZpjcDWGggJR%20%22SP-170-Oceana.pdf%22" TargetMode="External"/><Relationship Id="rId294" Type="http://schemas.openxmlformats.org/officeDocument/2006/relationships/hyperlink" Target="https://drive.google.com/drive/search?q=parent:1VmyDEdY-rZ9IfPP9oyBpoZpjcDWGggJR%20%22SP-290-W%20Va%20v%20Env't%20Prot%20Agency.pdf%22" TargetMode="External"/><Relationship Id="rId179" Type="http://schemas.openxmlformats.org/officeDocument/2006/relationships/hyperlink" Target="https://drive.google.com/drive/search?q=parent:1VmyDEdY-rZ9IfPP9oyBpoZpjcDWGggJR%20%22SP-176-Littlefield%20v%20Mashpee%20Wampanoag%20Indian%20Tribe.pdf%22" TargetMode="External"/><Relationship Id="rId178" Type="http://schemas.openxmlformats.org/officeDocument/2006/relationships/hyperlink" Target="https://drive.google.com/drive/search?q=parent:1VmyDEdY-rZ9IfPP9oyBpoZpjcDWGggJR%20%22SP-175-Supra%20Note%20138.pdf%22" TargetMode="External"/><Relationship Id="rId299" Type="http://schemas.openxmlformats.org/officeDocument/2006/relationships/hyperlink" Target="https://drive.google.com/drive/search?q=parent:1VmyDEdY-rZ9IfPP9oyBpoZpjcDWGggJR%20%22SP-295-Utah%20State%20Dep't%20of%20Health%20v%20Kennecott%20Corp.pdf%22" TargetMode="External"/><Relationship Id="rId177" Type="http://schemas.openxmlformats.org/officeDocument/2006/relationships/hyperlink" Target="https://drive.google.com/drive/search?q=parent:1VmyDEdY-rZ9IfPP9oyBpoZpjcDWGggJR%20%22SP-174-Koyo%20Seiko%20Co%20v%20United%20States.pdf%22" TargetMode="External"/><Relationship Id="rId298" Type="http://schemas.openxmlformats.org/officeDocument/2006/relationships/hyperlink" Target="https://drive.google.com/drive/search?q=parent:1VmyDEdY-rZ9IfPP9oyBpoZpjcDWGggJR%20%22SP-294-Sivas.pdf%22" TargetMode="External"/><Relationship Id="rId20" Type="http://schemas.openxmlformats.org/officeDocument/2006/relationships/hyperlink" Target="https://drive.google.com/drive/search?q=parent:1VmyDEdY-rZ9IfPP9oyBpoZpjcDWGggJR%20%22SP-019-Finkelstein.pdf%22" TargetMode="External"/><Relationship Id="rId22" Type="http://schemas.openxmlformats.org/officeDocument/2006/relationships/hyperlink" Target="https://drive.google.com/drive/search?q=parent:1VmyDEdY-rZ9IfPP9oyBpoZpjcDWGggJR%20%22SP-021-Lammon%20Appealability.pdf%22" TargetMode="External"/><Relationship Id="rId21" Type="http://schemas.openxmlformats.org/officeDocument/2006/relationships/hyperlink" Target="https://drive.google.com/drive/search?q=parent:1VmyDEdY-rZ9IfPP9oyBpoZpjcDWGggJR%20%22SP-020-Infra%20Notes%2089-97%20and%20Accompanying%20Text%20Pp%2017-19.pdf%22" TargetMode="External"/><Relationship Id="rId24" Type="http://schemas.openxmlformats.org/officeDocument/2006/relationships/hyperlink" Target="https://drive.google.com/drive/search?q=parent:1VmyDEdY-rZ9IfPP9oyBpoZpjcDWGggJR%20%22SP-023-Krent.pdf%22" TargetMode="External"/><Relationship Id="rId23" Type="http://schemas.openxmlformats.org/officeDocument/2006/relationships/hyperlink" Target="https://drive.google.com/drive/search?q=parent:1VmyDEdY-rZ9IfPP9oyBpoZpjcDWGggJR%20%22SP-022-Lammon%20Dizzying.pdf%22" TargetMode="External"/><Relationship Id="rId26" Type="http://schemas.openxmlformats.org/officeDocument/2006/relationships/hyperlink" Target="https://drive.google.com/drive/search?q=parent:1VmyDEdY-rZ9IfPP9oyBpoZpjcDWGggJR%20%22SP-025-Lynch.pdf%22" TargetMode="External"/><Relationship Id="rId25" Type="http://schemas.openxmlformats.org/officeDocument/2006/relationships/hyperlink" Target="https://drive.google.com/drive/search?q=parent:1VmyDEdY-rZ9IfPP9oyBpoZpjcDWGggJR%20%22SP-024-Biever.pdf%22" TargetMode="External"/><Relationship Id="rId28" Type="http://schemas.openxmlformats.org/officeDocument/2006/relationships/hyperlink" Target="https://drive.google.com/drive/search?q=parent:1VmyDEdY-rZ9IfPP9oyBpoZpjcDWGggJR%20%22SP-027-Federal%20Practice%203903.pdf%22" TargetMode="External"/><Relationship Id="rId27" Type="http://schemas.openxmlformats.org/officeDocument/2006/relationships/hyperlink" Target="https://drive.google.com/drive/search?q=parent:1VmyDEdY-rZ9IfPP9oyBpoZpjcDWGggJR%20%22SP-026-Federal%20Practice%203914%2032.pdf%22" TargetMode="External"/><Relationship Id="rId29" Type="http://schemas.openxmlformats.org/officeDocument/2006/relationships/hyperlink" Target="https://drive.google.com/drive/search?q=parent:1VmyDEdY-rZ9IfPP9oyBpoZpjcDWGggJR%20%22SP-028-73a%20CJS.pdf%22" TargetMode="External"/><Relationship Id="rId11" Type="http://schemas.openxmlformats.org/officeDocument/2006/relationships/hyperlink" Target="https://drive.google.com/drive/search?q=parent:1VmyDEdY-rZ9IfPP9oyBpoZpjcDWGggJR%20%22SP-010-Infra%20Note%2023.pdf%22" TargetMode="External"/><Relationship Id="rId10" Type="http://schemas.openxmlformats.org/officeDocument/2006/relationships/hyperlink" Target="https://drive.google.com/drive/search?q=parent:1VmyDEdY-rZ9IfPP9oyBpoZpjcDWGggJR%20%22SP-009-Infra%20Part%20IB.pdf%22" TargetMode="External"/><Relationship Id="rId13" Type="http://schemas.openxmlformats.org/officeDocument/2006/relationships/hyperlink" Target="https://drive.google.com/drive/search?q=parent:1VmyDEdY-rZ9IfPP9oyBpoZpjcDWGggJR%20%22SP-012-Montana%20Env't%20Info%20CTR.pdf%22" TargetMode="External"/><Relationship Id="rId12" Type="http://schemas.openxmlformats.org/officeDocument/2006/relationships/hyperlink" Target="https://drive.google.com/drive/search?q=parent:1VmyDEdY-rZ9IfPP9oyBpoZpjcDWGggJR%20%22SP-011-Denver%20Cnty.pdf%22" TargetMode="External"/><Relationship Id="rId15" Type="http://schemas.openxmlformats.org/officeDocument/2006/relationships/hyperlink" Target="https://drive.google.com/drive/search?q=parent:1VmyDEdY-rZ9IfPP9oyBpoZpjcDWGggJR%20%22SP-014-Infra%20Part%20I.pdf%22" TargetMode="External"/><Relationship Id="rId198" Type="http://schemas.openxmlformats.org/officeDocument/2006/relationships/hyperlink" Target="https://drive.google.com/drive/search?q=parent:1VmyDEdY-rZ9IfPP9oyBpoZpjcDWGggJR%20%22SP-195-Matter.pdf%22" TargetMode="External"/><Relationship Id="rId14" Type="http://schemas.openxmlformats.org/officeDocument/2006/relationships/hyperlink" Target="https://drive.google.com/drive/search?q=parent:1VmyDEdY-rZ9IfPP9oyBpoZpjcDWGggJR%20%22SP-013-Dcor.pdf%22" TargetMode="External"/><Relationship Id="rId197" Type="http://schemas.openxmlformats.org/officeDocument/2006/relationships/hyperlink" Target="https://drive.google.com/drive/search?q=parent:1VmyDEdY-rZ9IfPP9oyBpoZpjcDWGggJR%20%22SP-194-Local%201982.pdf%22" TargetMode="External"/><Relationship Id="rId17" Type="http://schemas.openxmlformats.org/officeDocument/2006/relationships/hyperlink" Target="https://drive.google.com/drive/search?q=parent:1VmyDEdY-rZ9IfPP9oyBpoZpjcDWGggJR%20%22SP-016-Developments.pdf%22" TargetMode="External"/><Relationship Id="rId196" Type="http://schemas.openxmlformats.org/officeDocument/2006/relationships/hyperlink" Target="https://drive.google.com/drive/search?q=parent:1VmyDEdY-rZ9IfPP9oyBpoZpjcDWGggJR%20%22SP-193-Ackerman%20v%20US%20Dep't%20of%20Agric.pdf%22" TargetMode="External"/><Relationship Id="rId16" Type="http://schemas.openxmlformats.org/officeDocument/2006/relationships/hyperlink" Target="https://drive.google.com/drive/search?q=parent:1VmyDEdY-rZ9IfPP9oyBpoZpjcDWGggJR%20%22SP-015-Michaels.pdf%22" TargetMode="External"/><Relationship Id="rId195" Type="http://schemas.openxmlformats.org/officeDocument/2006/relationships/hyperlink" Target="https://drive.google.com/drive/search?q=parent:1VmyDEdY-rZ9IfPP9oyBpoZpjcDWGggJR%20%22SP-192-Schuck%20v%20Frank.pdf%22" TargetMode="External"/><Relationship Id="rId19" Type="http://schemas.openxmlformats.org/officeDocument/2006/relationships/hyperlink" Target="https://drive.google.com/drive/search?q=parent:1VmyDEdY-rZ9IfPP9oyBpoZpjcDWGggJR%20%22SP-018-Jordan.pdf%22" TargetMode="External"/><Relationship Id="rId18" Type="http://schemas.openxmlformats.org/officeDocument/2006/relationships/hyperlink" Target="https://drive.google.com/drive/search?q=parent:1VmyDEdY-rZ9IfPP9oyBpoZpjcDWGggJR%20%22SP-017-Ho.pdf%22" TargetMode="External"/><Relationship Id="rId199" Type="http://schemas.openxmlformats.org/officeDocument/2006/relationships/hyperlink" Target="https://drive.google.com/drive/search?q=parent:1VmyDEdY-rZ9IfPP9oyBpoZpjcDWGggJR%20%22SP-196-Am%20Train%20Dispatchers%20Dep't%20of%20Int'l%20BHD%20of%20Locomotive%20Eng'rs%20v%20Norfolk%20S%20Ry%20Co.pdf%22" TargetMode="External"/><Relationship Id="rId84" Type="http://schemas.openxmlformats.org/officeDocument/2006/relationships/hyperlink" Target="https://drive.google.com/drive/search?q=parent:1VmyDEdY-rZ9IfPP9oyBpoZpjcDWGggJR%20%22SP-083-Di%20Bella%20v%20United%20States.pdf%22" TargetMode="External"/><Relationship Id="rId83" Type="http://schemas.openxmlformats.org/officeDocument/2006/relationships/hyperlink" Target="https://drive.google.com/drive/search?q=parent:1VmyDEdY-rZ9IfPP9oyBpoZpjcDWGggJR%20%22SP-082-Johnson%20v%20Jones.pdf%22" TargetMode="External"/><Relationship Id="rId86" Type="http://schemas.openxmlformats.org/officeDocument/2006/relationships/hyperlink" Target="https://drive.google.com/drive/search?q=parent:1VmyDEdY-rZ9IfPP9oyBpoZpjcDWGggJR%20%22SP-085-Frank.pdf%22" TargetMode="External"/><Relationship Id="rId85" Type="http://schemas.openxmlformats.org/officeDocument/2006/relationships/hyperlink" Target="https://drive.google.com/drive/search?q=parent:1VmyDEdY-rZ9IfPP9oyBpoZpjcDWGggJR%20%22SP-084-Lammon%20Disarming.pdf%22" TargetMode="External"/><Relationship Id="rId88" Type="http://schemas.openxmlformats.org/officeDocument/2006/relationships/hyperlink" Target="https://drive.google.com/drive/search?q=parent:1VmyDEdY-rZ9IfPP9oyBpoZpjcDWGggJR%20%22SP-087-Firestone%20Tire%20and%20Rubber%20Co%20v%20Risjord.pdf%22" TargetMode="External"/><Relationship Id="rId150" Type="http://schemas.openxmlformats.org/officeDocument/2006/relationships/hyperlink" Target="https://drive.google.com/drive/search?q=parent:1VmyDEdY-rZ9IfPP9oyBpoZpjcDWGggJR%20%22SP-149-Shapiro%20v%20Paradise%20Valley%20Unified%20SCH%20Dist.pdf%22" TargetMode="External"/><Relationship Id="rId271" Type="http://schemas.openxmlformats.org/officeDocument/2006/relationships/hyperlink" Target="https://drive.google.com/drive/search?q=parent:1VmyDEdY-rZ9IfPP9oyBpoZpjcDWGggJR%20%22SP-267-Supra%20Notes%20219-223%20and%20Accompanying%20Text.pdf%22" TargetMode="External"/><Relationship Id="rId87" Type="http://schemas.openxmlformats.org/officeDocument/2006/relationships/hyperlink" Target="https://drive.google.com/drive/search?q=parent:1VmyDEdY-rZ9IfPP9oyBpoZpjcDWGggJR%20%22SP-086-Infra%20Notes%2053-97%20and%20Accompanying%20Text.pdf%22" TargetMode="External"/><Relationship Id="rId270" Type="http://schemas.openxmlformats.org/officeDocument/2006/relationships/hyperlink" Target="https://drive.google.com/drive/search?q=parent:1VmyDEdY-rZ9IfPP9oyBpoZpjcDWGggJR%20%22SP-266-Supra%20Notes%20136-137%20and%20Accompanying%20Text.pdf%22" TargetMode="External"/><Relationship Id="rId89" Type="http://schemas.openxmlformats.org/officeDocument/2006/relationships/hyperlink" Target="https://drive.google.com/drive/search?q=parent:1VmyDEdY-rZ9IfPP9oyBpoZpjcDWGggJR%20%22SP-088-Richardson-Merrell%20Inc%20v%20Koller.pdf%22" TargetMode="External"/><Relationship Id="rId80" Type="http://schemas.openxmlformats.org/officeDocument/2006/relationships/hyperlink" Target="https://drive.google.com/drive/search?q=parent:1VmyDEdY-rZ9IfPP9oyBpoZpjcDWGggJR%20%22SP-079-Federal%20Practice%203907.pdf%22" TargetMode="External"/><Relationship Id="rId82" Type="http://schemas.openxmlformats.org/officeDocument/2006/relationships/hyperlink" Target="https://drive.google.com/drive/search?q=parent:1VmyDEdY-rZ9IfPP9oyBpoZpjcDWGggJR%20%22SP-081-Mohawk.pdf%22" TargetMode="External"/><Relationship Id="rId81" Type="http://schemas.openxmlformats.org/officeDocument/2006/relationships/hyperlink" Target="https://drive.google.com/drive/search?q=parent:1VmyDEdY-rZ9IfPP9oyBpoZpjcDWGggJR%20%22SP-080-Microsoft%20Corp%20v%20Baker.pdf%22" TargetMode="External"/><Relationship Id="rId1" Type="http://schemas.openxmlformats.org/officeDocument/2006/relationships/hyperlink" Target="https://drive.google.com/drive/search?q=parent:1VmyDEdY-rZ9IfPP9oyBpoZpjcDWGggJR%20%22SP-001-Tortorich.pdf%22" TargetMode="External"/><Relationship Id="rId2" Type="http://schemas.openxmlformats.org/officeDocument/2006/relationships/hyperlink" Target="https://drive.google.com/drive/search?q=parent:1VmyDEdY-rZ9IfPP9oyBpoZpjcDWGggJR%20%22SP-002-Munson.pdf%22" TargetMode="External"/><Relationship Id="rId3" Type="http://schemas.openxmlformats.org/officeDocument/2006/relationships/hyperlink" Target="https://www.fs.usda.gov/Internet/FSE_DOCUMENTS/stelprdb5294291.pdf." TargetMode="External"/><Relationship Id="rId149" Type="http://schemas.openxmlformats.org/officeDocument/2006/relationships/hyperlink" Target="https://drive.google.com/drive/search?q=parent:1VmyDEdY-rZ9IfPP9oyBpoZpjcDWGggJR%20%22SP-148-Cobb%20Cnty.pdf%22" TargetMode="External"/><Relationship Id="rId4" Type="http://schemas.openxmlformats.org/officeDocument/2006/relationships/hyperlink" Target="https://drive.google.com/drive/search?q=parent:1VmyDEdY-rZ9IfPP9oyBpoZpjcDWGggJR%20%22SP-003-Hope%20Valley%20Recreation.pdf%22" TargetMode="External"/><Relationship Id="rId148" Type="http://schemas.openxmlformats.org/officeDocument/2006/relationships/hyperlink" Target="https://drive.google.com/drive/search?q=parent:1VmyDEdY-rZ9IfPP9oyBpoZpjcDWGggJR%20%22SP-147-Individuals.pdf%22" TargetMode="External"/><Relationship Id="rId269" Type="http://schemas.openxmlformats.org/officeDocument/2006/relationships/hyperlink" Target="https://drive.google.com/drive/search?q=parent:1VmyDEdY-rZ9IfPP9oyBpoZpjcDWGggJR%20%22SP-265-Cherokee%20Nation.pdf%22" TargetMode="External"/><Relationship Id="rId9" Type="http://schemas.openxmlformats.org/officeDocument/2006/relationships/hyperlink" Target="https://drive.google.com/drive/search?q=parent:1VmyDEdY-rZ9IfPP9oyBpoZpjcDWGggJR%20%22SP-008-Alsea%20Valley%20Alliance%20v%20Dep't%20of%20Commerce.pdf%22" TargetMode="External"/><Relationship Id="rId143" Type="http://schemas.openxmlformats.org/officeDocument/2006/relationships/hyperlink" Target="https://drive.google.com/drive/search?q=parent:1VmyDEdY-rZ9IfPP9oyBpoZpjcDWGggJR%20%22SP-142-Mem'l%20Hosp%20Sys%20v%20Heckler.pdf%22" TargetMode="External"/><Relationship Id="rId264" Type="http://schemas.openxmlformats.org/officeDocument/2006/relationships/hyperlink" Target="https://www.fs.usda.gov/Internet/FSE_DOCUMENTS/stelprdb5294291.pdf" TargetMode="External"/><Relationship Id="rId142" Type="http://schemas.openxmlformats.org/officeDocument/2006/relationships/hyperlink" Target="https://drive.google.com/drive/search?q=parent:1VmyDEdY-rZ9IfPP9oyBpoZpjcDWGggJR%20%22SP-141-Jeannette%20Sheet%20Glass%20Corp%20v%20United%20States.pdf%22" TargetMode="External"/><Relationship Id="rId263" Type="http://schemas.openxmlformats.org/officeDocument/2006/relationships/hyperlink" Target="https://drive.google.com/drive/search?q=parent:1VmyDEdY-rZ9IfPP9oyBpoZpjcDWGggJR%20%22SP-260-Friends%202007.pdf%22" TargetMode="External"/><Relationship Id="rId141" Type="http://schemas.openxmlformats.org/officeDocument/2006/relationships/hyperlink" Target="https://drive.google.com/drive/search?q=parent:1VmyDEdY-rZ9IfPP9oyBpoZpjcDWGggJR%20%22SP-140-Mall.pdf%22" TargetMode="External"/><Relationship Id="rId262" Type="http://schemas.openxmlformats.org/officeDocument/2006/relationships/hyperlink" Target="https://drive.google.com/drive/search?q=parent:1VmyDEdY-rZ9IfPP9oyBpoZpjcDWGggJR%20%22SP-259-Friends%202008.pdf%22" TargetMode="External"/><Relationship Id="rId140" Type="http://schemas.openxmlformats.org/officeDocument/2006/relationships/hyperlink" Target="https://drive.google.com/drive/search?q=parent:1VmyDEdY-rZ9IfPP9oyBpoZpjcDWGggJR%20%22SP-139-United%20States%20v%20Alcon%20Labs.pdf%22" TargetMode="External"/><Relationship Id="rId261" Type="http://schemas.openxmlformats.org/officeDocument/2006/relationships/hyperlink" Target="https://drive.google.com/drive/search?q=parent:1VmyDEdY-rZ9IfPP9oyBpoZpjcDWGggJR%20%22SP-258-FONSI.pdf%22" TargetMode="External"/><Relationship Id="rId5" Type="http://schemas.openxmlformats.org/officeDocument/2006/relationships/hyperlink" Target="https://drive.google.com/drive/search?q=parent:1VmyDEdY-rZ9IfPP9oyBpoZpjcDWGggJR%20%22SP-004-Memorandum.pdf%22" TargetMode="External"/><Relationship Id="rId147" Type="http://schemas.openxmlformats.org/officeDocument/2006/relationships/hyperlink" Target="https://drive.google.com/drive/search?q=parent:1VmyDEdY-rZ9IfPP9oyBpoZpjcDWGggJR%20%22SP-146-Occidental%20Petroleum%20Corp.pdf%22" TargetMode="External"/><Relationship Id="rId268" Type="http://schemas.openxmlformats.org/officeDocument/2006/relationships/hyperlink" Target="https://drive.google.com/drive/search?q=parent:1VmyDEdY-rZ9IfPP9oyBpoZpjcDWGggJR%20%22SP-264-Supra%20Notes%2035-38%20and%20Accompanying%20Text.pdf%22" TargetMode="External"/><Relationship Id="rId6" Type="http://schemas.openxmlformats.org/officeDocument/2006/relationships/hyperlink" Target="https://drive.google.com/drive/search?q=parent:1VmyDEdY-rZ9IfPP9oyBpoZpjcDWGggJR%20%22SP-005-Friends%20of%20Hope%20Valley%20v%20US%20Forest%20Service.pdf%22" TargetMode="External"/><Relationship Id="rId146" Type="http://schemas.openxmlformats.org/officeDocument/2006/relationships/hyperlink" Target="https://drive.google.com/drive/search?q=parent:1VmyDEdY-rZ9IfPP9oyBpoZpjcDWGggJR%20%22SP-145-Giordano%20v%20Roudebush.pdf%22" TargetMode="External"/><Relationship Id="rId267" Type="http://schemas.openxmlformats.org/officeDocument/2006/relationships/hyperlink" Target="https://drive.google.com/drive/search?q=parent:1VmyDEdY-rZ9IfPP9oyBpoZpjcDWGggJR%20%22SP-263-Desert%20Survivors%20v%20United%20States%20Dep't%20of%20the%20Interior.pdf%22" TargetMode="External"/><Relationship Id="rId7" Type="http://schemas.openxmlformats.org/officeDocument/2006/relationships/hyperlink" Target="https://drive.google.com/drive/search?q=parent:1VmyDEdY-rZ9IfPP9oyBpoZpjcDWGggJR%20%22SP-006-APA.pdf%22" TargetMode="External"/><Relationship Id="rId145" Type="http://schemas.openxmlformats.org/officeDocument/2006/relationships/hyperlink" Target="https://drive.google.com/drive/search?q=parent:1VmyDEdY-rZ9IfPP9oyBpoZpjcDWGggJR%20%22SP-144-Eluska%20v%20Andrus.pdf%22" TargetMode="External"/><Relationship Id="rId266" Type="http://schemas.openxmlformats.org/officeDocument/2006/relationships/hyperlink" Target="https://drive.google.com/drive/search?q=parent:1VmyDEdY-rZ9IfPP9oyBpoZpjcDWGggJR%20%22SP-262-Supra%20Notes%20184-185%20and%20Accompanying%20Text.pdf%22" TargetMode="External"/><Relationship Id="rId8" Type="http://schemas.openxmlformats.org/officeDocument/2006/relationships/hyperlink" Target="https://drive.google.com/drive/search?q=parent:1VmyDEdY-rZ9IfPP9oyBpoZpjcDWGggJR%20%22SP-007-Infra%20Notes%20113,%20151-153.pdf%22" TargetMode="External"/><Relationship Id="rId144" Type="http://schemas.openxmlformats.org/officeDocument/2006/relationships/hyperlink" Target="https://drive.google.com/drive/search?q=parent:1VmyDEdY-rZ9IfPP9oyBpoZpjcDWGggJR%20%22SP-143-Farr%20v%20Heckler.pdf%22" TargetMode="External"/><Relationship Id="rId265" Type="http://schemas.openxmlformats.org/officeDocument/2006/relationships/hyperlink" Target="https://drive.google.com/drive/search?q=parent:1VmyDEdY-rZ9IfPP9oyBpoZpjcDWGggJR%20%22SP-261-USDA.pdf%22" TargetMode="External"/><Relationship Id="rId73" Type="http://schemas.openxmlformats.org/officeDocument/2006/relationships/hyperlink" Target="https://drive.google.com/drive/search?q=parent:1VmyDEdY-rZ9IfPP9oyBpoZpjcDWGggJR%20%22SP-072-Metcalfe.pdf%22" TargetMode="External"/><Relationship Id="rId72" Type="http://schemas.openxmlformats.org/officeDocument/2006/relationships/hyperlink" Target="https://drive.google.com/drive/search?q=parent:1VmyDEdY-rZ9IfPP9oyBpoZpjcDWGggJR%20%22SP-071-Federal%20Practice%203906.pdf%22" TargetMode="External"/><Relationship Id="rId75" Type="http://schemas.openxmlformats.org/officeDocument/2006/relationships/hyperlink" Target="https://drive.google.com/drive/search?q=parent:1VmyDEdY-rZ9IfPP9oyBpoZpjcDWGggJR%20%22SP-074-62%20Stat.pdf%22" TargetMode="External"/><Relationship Id="rId74" Type="http://schemas.openxmlformats.org/officeDocument/2006/relationships/hyperlink" Target="https://drive.google.com/drive/search?q=parent:1VmyDEdY-rZ9IfPP9oyBpoZpjcDWGggJR%20%22SP-073-Catlin%20v%20United%20States.pdf%22" TargetMode="External"/><Relationship Id="rId77" Type="http://schemas.openxmlformats.org/officeDocument/2006/relationships/hyperlink" Target="https://drive.google.com/drive/search?q=parent:1VmyDEdY-rZ9IfPP9oyBpoZpjcDWGggJR%20%22SP-076-Katz%20v%20Carte%20Blanche%20Corp.pdf%22" TargetMode="External"/><Relationship Id="rId260" Type="http://schemas.openxmlformats.org/officeDocument/2006/relationships/hyperlink" Target="https://drive.google.com/drive/search?q=parent:1VmyDEdY-rZ9IfPP9oyBpoZpjcDWGggJR%20%22SP-257-Brief.pdf%22" TargetMode="External"/><Relationship Id="rId76" Type="http://schemas.openxmlformats.org/officeDocument/2006/relationships/hyperlink" Target="https://drive.google.com/drive/search?q=parent:1VmyDEdY-rZ9IfPP9oyBpoZpjcDWGggJR%20%22SP-075-Bachowski%20v%20Usery.pdf%22" TargetMode="External"/><Relationship Id="rId79" Type="http://schemas.openxmlformats.org/officeDocument/2006/relationships/hyperlink" Target="https://drive.google.com/drive/search?q=parent:1VmyDEdY-rZ9IfPP9oyBpoZpjcDWGggJR%20%22SP-078-Cobbledick.pdf%22" TargetMode="External"/><Relationship Id="rId78" Type="http://schemas.openxmlformats.org/officeDocument/2006/relationships/hyperlink" Target="https://drive.google.com/drive/search?q=parent:1VmyDEdY-rZ9IfPP9oyBpoZpjcDWGggJR%20%22SP-077-P.%20Law%2079.pdf%22" TargetMode="External"/><Relationship Id="rId71" Type="http://schemas.openxmlformats.org/officeDocument/2006/relationships/hyperlink" Target="https://drive.google.com/drive/search?q=parent:1VmyDEdY-rZ9IfPP9oyBpoZpjcDWGggJR%20%22SP-070-Act%20of%20Sept%2024.pdf%22" TargetMode="External"/><Relationship Id="rId70" Type="http://schemas.openxmlformats.org/officeDocument/2006/relationships/hyperlink" Target="https://drive.google.com/drive/search?q=parent:1VmyDEdY-rZ9IfPP9oyBpoZpjcDWGggJR%20%22SP-069-Vista.pdf%22" TargetMode="External"/><Relationship Id="rId139" Type="http://schemas.openxmlformats.org/officeDocument/2006/relationships/hyperlink" Target="https://drive.google.com/drive/search?q=parent:1VmyDEdY-rZ9IfPP9oyBpoZpjcDWGggJR%20%22SP-138-Stone%20v%20Heckler.pdf%22" TargetMode="External"/><Relationship Id="rId138" Type="http://schemas.openxmlformats.org/officeDocument/2006/relationships/hyperlink" Target="https://drive.google.com/drive/search?q=parent:1VmyDEdY-rZ9IfPP9oyBpoZpjcDWGggJR%20%22SP-137-Bender%20v%20Clark.pdf%22" TargetMode="External"/><Relationship Id="rId259" Type="http://schemas.openxmlformats.org/officeDocument/2006/relationships/hyperlink" Target="https://drive.google.com/drive/search?q=parent:1VmyDEdY-rZ9IfPP9oyBpoZpjcDWGggJR%20%22SP-256-Infra%20Notes%20244-250%20and%20Accompanying%20Text.pdf%22" TargetMode="External"/><Relationship Id="rId137" Type="http://schemas.openxmlformats.org/officeDocument/2006/relationships/hyperlink" Target="https://drive.google.com/drive/search?q=parent:1VmyDEdY-rZ9IfPP9oyBpoZpjcDWGggJR%20%22SP-136-Good%20Samaritan%20Hosp%20v%20Shalala.pdf%22" TargetMode="External"/><Relationship Id="rId258" Type="http://schemas.openxmlformats.org/officeDocument/2006/relationships/hyperlink" Target="https://drive.google.com/drive/search?q=parent:1VmyDEdY-rZ9IfPP9oyBpoZpjcDWGggJR%20%22SP-255-Complaint.pdf%22" TargetMode="External"/><Relationship Id="rId132" Type="http://schemas.openxmlformats.org/officeDocument/2006/relationships/hyperlink" Target="https://drive.google.com/drive/search?q=parent:1VmyDEdY-rZ9IfPP9oyBpoZpjcDWGggJR%20%22SP-131-Doughty%20v%20Bowen.pdf%22" TargetMode="External"/><Relationship Id="rId253" Type="http://schemas.openxmlformats.org/officeDocument/2006/relationships/hyperlink" Target="https://drive.google.com/drive/search?q=parent:1VmyDEdY-rZ9IfPP9oyBpoZpjcDWGggJR%20%22SP-250-Farber.pdf%22" TargetMode="External"/><Relationship Id="rId131" Type="http://schemas.openxmlformats.org/officeDocument/2006/relationships/hyperlink" Target="https://drive.google.com/drive/search?q=parent:1VmyDEdY-rZ9IfPP9oyBpoZpjcDWGggJR%20%22SP-130-McCoy%20v%20Schweiker.pdf%22" TargetMode="External"/><Relationship Id="rId252" Type="http://schemas.openxmlformats.org/officeDocument/2006/relationships/hyperlink" Target="https://drive.google.com/drive/search?q=parent:1VmyDEdY-rZ9IfPP9oyBpoZpjcDWGggJR%20%22SP-249-M.pdf%22" TargetMode="External"/><Relationship Id="rId130" Type="http://schemas.openxmlformats.org/officeDocument/2006/relationships/hyperlink" Target="https://drive.google.com/drive/search?q=parent:1VmyDEdY-rZ9IfPP9oyBpoZpjcDWGggJR%20%22SP-129-Pauls%20v%20Sec'y%20of%20the%20Air%20Force.pdf%22" TargetMode="External"/><Relationship Id="rId251" Type="http://schemas.openxmlformats.org/officeDocument/2006/relationships/hyperlink" Target="https://drive.google.com/drive/search?q=parent:1VmyDEdY-rZ9IfPP9oyBpoZpjcDWGggJR%20%22SP-248-Barkow.pdf%22" TargetMode="External"/><Relationship Id="rId250" Type="http://schemas.openxmlformats.org/officeDocument/2006/relationships/hyperlink" Target="https://drive.google.com/drive/search?q=parent:1VmyDEdY-rZ9IfPP9oyBpoZpjcDWGggJR%20%22SP-247-Infra%20Notes%20273-277%20and%20Accompanying%20Text.pdf%22" TargetMode="External"/><Relationship Id="rId136" Type="http://schemas.openxmlformats.org/officeDocument/2006/relationships/hyperlink" Target="https://drive.google.com/drive/search?q=parent:1VmyDEdY-rZ9IfPP9oyBpoZpjcDWGggJR%20%22SP-135-Regents%20of%20the%20Univ%20of%20Calif%20v%20Heckler.pdf%22" TargetMode="External"/><Relationship Id="rId257" Type="http://schemas.openxmlformats.org/officeDocument/2006/relationships/hyperlink" Target="https://drive.google.com/drive/search?q=parent:1VmyDEdY-rZ9IfPP9oyBpoZpjcDWGggJR%20%22SP-254-42%20USC%204321.pdf%22" TargetMode="External"/><Relationship Id="rId135" Type="http://schemas.openxmlformats.org/officeDocument/2006/relationships/hyperlink" Target="https://drive.google.com/drive/search?q=parent:1VmyDEdY-rZ9IfPP9oyBpoZpjcDWGggJR%20%22SP-134-Huie%20v%20Bowen.pdf%22" TargetMode="External"/><Relationship Id="rId256" Type="http://schemas.openxmlformats.org/officeDocument/2006/relationships/hyperlink" Target="https://drive.google.com/drive/search?q=parent:1VmyDEdY-rZ9IfPP9oyBpoZpjcDWGggJR%20%22SP-253-Associated.pdf%22" TargetMode="External"/><Relationship Id="rId134" Type="http://schemas.openxmlformats.org/officeDocument/2006/relationships/hyperlink" Target="https://drive.google.com/drive/search?q=parent:1VmyDEdY-rZ9IfPP9oyBpoZpjcDWGggJR%20%22SP-133-Aja%20Assocs%20v%20Army%20Corps%20of%20Eng'rs.pdf%22" TargetMode="External"/><Relationship Id="rId255" Type="http://schemas.openxmlformats.org/officeDocument/2006/relationships/hyperlink" Target="https://drive.google.com/drive/search?q=parent:1VmyDEdY-rZ9IfPP9oyBpoZpjcDWGggJR%20%22SP-252-Hilary.pdf%22" TargetMode="External"/><Relationship Id="rId133" Type="http://schemas.openxmlformats.org/officeDocument/2006/relationships/hyperlink" Target="https://drive.google.com/drive/search?q=parent:1VmyDEdY-rZ9IfPP9oyBpoZpjcDWGggJR%20%22SP-132-Pierre%20v%20Rivkind.pdf%22" TargetMode="External"/><Relationship Id="rId254" Type="http://schemas.openxmlformats.org/officeDocument/2006/relationships/hyperlink" Target="https://drive.google.com/drive/search?q=parent:1VmyDEdY-rZ9IfPP9oyBpoZpjcDWGggJR%20%22SP-251-Prusak.pdf%22" TargetMode="External"/><Relationship Id="rId62" Type="http://schemas.openxmlformats.org/officeDocument/2006/relationships/hyperlink" Target="https://drive.google.com/drive/search?q=parent:1VmyDEdY-rZ9IfPP9oyBpoZpjcDWGggJR%20%22SP-061-Walker%20Ordinary.pdf%22" TargetMode="External"/><Relationship Id="rId61" Type="http://schemas.openxmlformats.org/officeDocument/2006/relationships/hyperlink" Target="https://drive.google.com/drive/search?q=parent:1VmyDEdY-rZ9IfPP9oyBpoZpjcDWGggJR%20%22SP-060-Walker%20Referral.pdf%22" TargetMode="External"/><Relationship Id="rId64" Type="http://schemas.openxmlformats.org/officeDocument/2006/relationships/hyperlink" Target="https://drive.google.com/drive/search?q=parent:1VmyDEdY-rZ9IfPP9oyBpoZpjcDWGggJR%20%22SP-063-Revesz.pdf%22" TargetMode="External"/><Relationship Id="rId63" Type="http://schemas.openxmlformats.org/officeDocument/2006/relationships/hyperlink" Target="https://drive.google.com/drive/search?q=parent:1VmyDEdY-rZ9IfPP9oyBpoZpjcDWGggJR%20%22SP-062-Infra%20Notes%20257-261%20and%20Accompanying%20Text.pdf%22" TargetMode="External"/><Relationship Id="rId66" Type="http://schemas.openxmlformats.org/officeDocument/2006/relationships/hyperlink" Target="https://drive.google.com/drive/search?q=parent:1VmyDEdY-rZ9IfPP9oyBpoZpjcDWGggJR%20%22SP-065-Motor%20Vehicle%20Mfrs.pdf%22" TargetMode="External"/><Relationship Id="rId172" Type="http://schemas.openxmlformats.org/officeDocument/2006/relationships/hyperlink" Target="https://drive.google.com/drive/search?q=parent:1VmyDEdY-rZ9IfPP9oyBpoZpjcDWGggJR%20%22SP-169-Lake%20Pilots%20Ass'n%20v%20US%20Coast%20Guard.pdf%22" TargetMode="External"/><Relationship Id="rId293" Type="http://schemas.openxmlformats.org/officeDocument/2006/relationships/hyperlink" Target="https://drive.google.com/drive/search?q=parent:1VmyDEdY-rZ9IfPP9oyBpoZpjcDWGggJR%20%22SP-289-Biden%20v%20Nebraska.pdf%22" TargetMode="External"/><Relationship Id="rId65" Type="http://schemas.openxmlformats.org/officeDocument/2006/relationships/hyperlink" Target="https://drive.google.com/drive/search?q=parent:1VmyDEdY-rZ9IfPP9oyBpoZpjcDWGggJR%20%22SP-064-Fine.pdf%22" TargetMode="External"/><Relationship Id="rId171" Type="http://schemas.openxmlformats.org/officeDocument/2006/relationships/hyperlink" Target="https://drive.google.com/drive/search?q=parent:1VmyDEdY-rZ9IfPP9oyBpoZpjcDWGggJR%20%22SP-168-NC%20Fisheries%20Ass'n%20v%20Gutierrez.pdf%22" TargetMode="External"/><Relationship Id="rId292" Type="http://schemas.openxmlformats.org/officeDocument/2006/relationships/hyperlink" Target="https://drive.google.com/drive/search?q=parent:1VmyDEdY-rZ9IfPP9oyBpoZpjcDWGggJR%20%22SP-288-Securities%20and%20Exchange%20Comm'n%20v%20Jarkesy.pdf%22" TargetMode="External"/><Relationship Id="rId68" Type="http://schemas.openxmlformats.org/officeDocument/2006/relationships/hyperlink" Target="https://drive.google.com/drive/search?q=parent:1VmyDEdY-rZ9IfPP9oyBpoZpjcDWGggJR%20%22SP-067-Mendoza.pdf%22" TargetMode="External"/><Relationship Id="rId170" Type="http://schemas.openxmlformats.org/officeDocument/2006/relationships/hyperlink" Target="https://drive.google.com/drive/search?q=parent:1VmyDEdY-rZ9IfPP9oyBpoZpjcDWGggJR%20%22SP-167-N%20Air%20Cargo%20v%20US%20Postal%20Serv.pdf%22" TargetMode="External"/><Relationship Id="rId291" Type="http://schemas.openxmlformats.org/officeDocument/2006/relationships/hyperlink" Target="https://drive.google.com/drive/search?q=parent:1VmyDEdY-rZ9IfPP9oyBpoZpjcDWGggJR%20%22SP-287-Kisor%20v%20Wilkie.pdf%22" TargetMode="External"/><Relationship Id="rId67" Type="http://schemas.openxmlformats.org/officeDocument/2006/relationships/hyperlink" Target="https://drive.google.com/drive/search?q=parent:1VmyDEdY-rZ9IfPP9oyBpoZpjcDWGggJR%20%22SP-066-Friendly.pdf%22" TargetMode="External"/><Relationship Id="rId290" Type="http://schemas.openxmlformats.org/officeDocument/2006/relationships/hyperlink" Target="https://drive.google.com/drive/search?q=parent:1VmyDEdY-rZ9IfPP9oyBpoZpjcDWGggJR%20%22SP-286-Seven%20County%20Infrastructure%20Coalition%20v%20Eagle%20County.pdf%22" TargetMode="External"/><Relationship Id="rId60" Type="http://schemas.openxmlformats.org/officeDocument/2006/relationships/hyperlink" Target="https://drive.google.com/drive/search?q=parent:1VmyDEdY-rZ9IfPP9oyBpoZpjcDWGggJR%20%22SP-059-Glicksman.pdf%22" TargetMode="External"/><Relationship Id="rId165" Type="http://schemas.openxmlformats.org/officeDocument/2006/relationships/hyperlink" Target="https://drive.google.com/drive/search?q=parent:1VmyDEdY-rZ9IfPP9oyBpoZpjcDWGggJR%20%22SP-162-Supra%20Note%2051%20and%20Accompanying%20Text.pdf%22" TargetMode="External"/><Relationship Id="rId286" Type="http://schemas.openxmlformats.org/officeDocument/2006/relationships/hyperlink" Target="https://drive.google.com/drive/search?q=parent:1VmyDEdY-rZ9IfPP9oyBpoZpjcDWGggJR%20%22SP-282-Mergen.pdf%22" TargetMode="External"/><Relationship Id="rId69" Type="http://schemas.openxmlformats.org/officeDocument/2006/relationships/hyperlink" Target="https://drive.google.com/drive/search?q=parent:1VmyDEdY-rZ9IfPP9oyBpoZpjcDWGggJR%20%22SP-068-Pauly%20v%20US%20Dept%20of%20Agri.pdf%22" TargetMode="External"/><Relationship Id="rId164" Type="http://schemas.openxmlformats.org/officeDocument/2006/relationships/hyperlink" Target="https://drive.google.com/drive/search?q=parent:1VmyDEdY-rZ9IfPP9oyBpoZpjcDWGggJR%20%22SP-161-Howell.pdf%22" TargetMode="External"/><Relationship Id="rId285" Type="http://schemas.openxmlformats.org/officeDocument/2006/relationships/hyperlink" Target="https://drive.google.com/drive/search?q=parent:1VmyDEdY-rZ9IfPP9oyBpoZpjcDWGggJR%20%22SP-281-Supra%20Notes%20186-192.pdf%22" TargetMode="External"/><Relationship Id="rId163" Type="http://schemas.openxmlformats.org/officeDocument/2006/relationships/hyperlink" Target="https://drive.google.com/drive/search?q=parent:1VmyDEdY-rZ9IfPP9oyBpoZpjcDWGggJR%20%22SP-160-Paluso.pdf%22" TargetMode="External"/><Relationship Id="rId284" Type="http://schemas.openxmlformats.org/officeDocument/2006/relationships/hyperlink" Target="https://drive.google.com/drive/search?q=parent:1VmyDEdY-rZ9IfPP9oyBpoZpjcDWGggJR%20%22SP-280-Thompson.pdf%22" TargetMode="External"/><Relationship Id="rId162" Type="http://schemas.openxmlformats.org/officeDocument/2006/relationships/hyperlink" Target="https://drive.google.com/drive/search?q=parent:1VmyDEdY-rZ9IfPP9oyBpoZpjcDWGggJR%20%22SP-159-Billboard%20(1976).pdf%22" TargetMode="External"/><Relationship Id="rId283" Type="http://schemas.openxmlformats.org/officeDocument/2006/relationships/hyperlink" Target="https://drive.google.com/drive/search?q=parent:1VmyDEdY-rZ9IfPP9oyBpoZpjcDWGggJR%20%22SP-279-69%20F%204th.pdf%22" TargetMode="External"/><Relationship Id="rId169" Type="http://schemas.openxmlformats.org/officeDocument/2006/relationships/hyperlink" Target="https://drive.google.com/drive/search?q=parent:1VmyDEdY-rZ9IfPP9oyBpoZpjcDWGggJR%20%22SP-166-Sierra%20Club%20v%20US%20Dep't%20of%20Agric.pdf%22" TargetMode="External"/><Relationship Id="rId168" Type="http://schemas.openxmlformats.org/officeDocument/2006/relationships/hyperlink" Target="https://drive.google.com/drive/search?q=parent:1VmyDEdY-rZ9IfPP9oyBpoZpjcDWGggJR%20%22SP-165-Infra%20Note%20182%20and%20Accompanying%20Text.pdf%22" TargetMode="External"/><Relationship Id="rId289" Type="http://schemas.openxmlformats.org/officeDocument/2006/relationships/hyperlink" Target="https://drive.google.com/drive/search?q=parent:1VmyDEdY-rZ9IfPP9oyBpoZpjcDWGggJR%20%22SP-285-Chevron.pdf%22" TargetMode="External"/><Relationship Id="rId167" Type="http://schemas.openxmlformats.org/officeDocument/2006/relationships/hyperlink" Target="https://drive.google.com/drive/search?q=parent:1VmyDEdY-rZ9IfPP9oyBpoZpjcDWGggJR%20%22SP-164-Infra%20Notes%20186-187%20and%20Accompanying%20Text.pdf%22" TargetMode="External"/><Relationship Id="rId288" Type="http://schemas.openxmlformats.org/officeDocument/2006/relationships/hyperlink" Target="https://drive.google.com/drive/search?q=parent:1VmyDEdY-rZ9IfPP9oyBpoZpjcDWGggJR%20%22SP-284-Loper%20Bright%20Enterprises%20v%20Raimondo.pdf%22" TargetMode="External"/><Relationship Id="rId166" Type="http://schemas.openxmlformats.org/officeDocument/2006/relationships/hyperlink" Target="https://drive.google.com/drive/search?q=parent:1VmyDEdY-rZ9IfPP9oyBpoZpjcDWGggJR%20%22SP-163-Infra%20Notes%20183-185%20and%20Accompanying%20Text.pdf%22" TargetMode="External"/><Relationship Id="rId287" Type="http://schemas.openxmlformats.org/officeDocument/2006/relationships/hyperlink" Target="https://drive.google.com/drive/search?q=parent:1VmyDEdY-rZ9IfPP9oyBpoZpjcDWGggJR%20%22SP-283-Supra%20Part%20ID%204.pdf%22" TargetMode="External"/><Relationship Id="rId51" Type="http://schemas.openxmlformats.org/officeDocument/2006/relationships/hyperlink" Target="https://drive.google.com/drive/search?q=parent:1VmyDEdY-rZ9IfPP9oyBpoZpjcDWGggJR%20%22SP-050-Infra%20Notes%20132-181.pdf%22" TargetMode="External"/><Relationship Id="rId50" Type="http://schemas.openxmlformats.org/officeDocument/2006/relationships/hyperlink" Target="https://drive.google.com/drive/search?q=parent:1VmyDEdY-rZ9IfPP9oyBpoZpjcDWGggJR%20%22SP-049-Collord%20v%20US%20Dep't%20of%20the%20Interior.pdf%22" TargetMode="External"/><Relationship Id="rId53" Type="http://schemas.openxmlformats.org/officeDocument/2006/relationships/hyperlink" Target="https://drive.google.com/drive/search?q=parent:1VmyDEdY-rZ9IfPP9oyBpoZpjcDWGggJR%20%22SP-052-Papotto.pdf%22" TargetMode="External"/><Relationship Id="rId52" Type="http://schemas.openxmlformats.org/officeDocument/2006/relationships/hyperlink" Target="https://drive.google.com/drive/search?q=parent:1VmyDEdY-rZ9IfPP9oyBpoZpjcDWGggJR%20%22SP-051-Crowder%20v%20Sullivan.pdf%22" TargetMode="External"/><Relationship Id="rId55" Type="http://schemas.openxmlformats.org/officeDocument/2006/relationships/hyperlink" Target="https://drive.google.com/drive/search?q=parent:1VmyDEdY-rZ9IfPP9oyBpoZpjcDWGggJR%20%22SP-054-Digital%20Equip%20Corp.pdf%22" TargetMode="External"/><Relationship Id="rId161" Type="http://schemas.openxmlformats.org/officeDocument/2006/relationships/hyperlink" Target="https://books.google.com/books?id=xCQEAAAAMBAJ&amp;pg=PT43" TargetMode="External"/><Relationship Id="rId282" Type="http://schemas.openxmlformats.org/officeDocument/2006/relationships/hyperlink" Target="https://drive.google.com/drive/search?q=parent:1VmyDEdY-rZ9IfPP9oyBpoZpjcDWGggJR%20%22SP-278-Supra%20Notes%20211-214%20and%20Accompanying%20Text.pdf%22" TargetMode="External"/><Relationship Id="rId54" Type="http://schemas.openxmlformats.org/officeDocument/2006/relationships/hyperlink" Target="https://drive.google.com/drive/search?q=parent:1VmyDEdY-rZ9IfPP9oyBpoZpjcDWGggJR%20%22SP-053-Kreider.pdf%22" TargetMode="External"/><Relationship Id="rId160" Type="http://schemas.openxmlformats.org/officeDocument/2006/relationships/hyperlink" Target="https://drive.google.com/drive/search?q=parent:1VmyDEdY-rZ9IfPP9oyBpoZpjcDWGggJR%20%22SP-158-Billboard%20(1987).pdf%22" TargetMode="External"/><Relationship Id="rId281" Type="http://schemas.openxmlformats.org/officeDocument/2006/relationships/hyperlink" Target="https://drive.google.com/drive/search?q=parent:1VmyDEdY-rZ9IfPP9oyBpoZpjcDWGggJR%20%22SP-277-Mont%20Wildlife%20Fed'n%20v%20Haaland.pdf%22" TargetMode="External"/><Relationship Id="rId57" Type="http://schemas.openxmlformats.org/officeDocument/2006/relationships/hyperlink" Target="https://drive.google.com/drive/search?q=parent:1VmyDEdY-rZ9IfPP9oyBpoZpjcDWGggJR%20%22SP-056-706.pdf%22" TargetMode="External"/><Relationship Id="rId280" Type="http://schemas.openxmlformats.org/officeDocument/2006/relationships/hyperlink" Target="https://drive.google.com/drive/search?q=parent:1VmyDEdY-rZ9IfPP9oyBpoZpjcDWGggJR%20%22SP-276-In%20Re%20Clean%20Water%20Act.pdf%22" TargetMode="External"/><Relationship Id="rId56" Type="http://schemas.openxmlformats.org/officeDocument/2006/relationships/hyperlink" Target="https://drive.google.com/drive/search?q=parent:1VmyDEdY-rZ9IfPP9oyBpoZpjcDWGggJR%20%22SP-055-Bagley.pdf%22" TargetMode="External"/><Relationship Id="rId159" Type="http://schemas.openxmlformats.org/officeDocument/2006/relationships/hyperlink" Target="https://books.google.com/books?id=JCgEAAAAMBAJ&amp;pg=RA1-PA25" TargetMode="External"/><Relationship Id="rId59" Type="http://schemas.openxmlformats.org/officeDocument/2006/relationships/hyperlink" Target="https://drive.google.com/drive/search?q=parent:1VmyDEdY-rZ9IfPP9oyBpoZpjcDWGggJR%20%22SP-058-Wages%20and%20White%20Lion%20Invs.pdf%22" TargetMode="External"/><Relationship Id="rId154" Type="http://schemas.openxmlformats.org/officeDocument/2006/relationships/hyperlink" Target="https://drive.google.com/drive/search?q=parent:1VmyDEdY-rZ9IfPP9oyBpoZpjcDWGggJR%20%22SP-153-Nat'l%20Air%20Traffic%20Controllers.pdf%22" TargetMode="External"/><Relationship Id="rId275" Type="http://schemas.openxmlformats.org/officeDocument/2006/relationships/hyperlink" Target="https://drive.google.com/drive/search?q=parent:1VmyDEdY-rZ9IfPP9oyBpoZpjcDWGggJR%20%22SP-271-NRDC.pdf%22" TargetMode="External"/><Relationship Id="rId58" Type="http://schemas.openxmlformats.org/officeDocument/2006/relationships/hyperlink" Target="https://drive.google.com/drive/search?q=parent:1VmyDEdY-rZ9IfPP9oyBpoZpjcDWGggJR%20%22SP-057-Chenery%20Corp.pdf%22" TargetMode="External"/><Relationship Id="rId153" Type="http://schemas.openxmlformats.org/officeDocument/2006/relationships/hyperlink" Target="https://drive.google.com/drive/search?q=parent:1VmyDEdY-rZ9IfPP9oyBpoZpjcDWGggJR%20%22SP-152-Miami%20Tribe.pdf%22" TargetMode="External"/><Relationship Id="rId274" Type="http://schemas.openxmlformats.org/officeDocument/2006/relationships/hyperlink" Target="https://drive.google.com/drive/search?q=parent:1VmyDEdY-rZ9IfPP9oyBpoZpjcDWGggJR%20%22SP-270-California%20v%20Rooney.pdf%22" TargetMode="External"/><Relationship Id="rId152" Type="http://schemas.openxmlformats.org/officeDocument/2006/relationships/hyperlink" Target="https://drive.google.com/drive/search?q=parent:1VmyDEdY-rZ9IfPP9oyBpoZpjcDWGggJR%20%22SP-151-World%20Fuel%20Corp%20v%20Geithner.pdf%22" TargetMode="External"/><Relationship Id="rId273" Type="http://schemas.openxmlformats.org/officeDocument/2006/relationships/hyperlink" Target="https://drive.google.com/drive/search?q=parent:1VmyDEdY-rZ9IfPP9oyBpoZpjcDWGggJR%20%22SP-269-Envtl%20Prot%20Info%20CTR%20v%20Pac%20Lumber%20Co.pdf%22" TargetMode="External"/><Relationship Id="rId151" Type="http://schemas.openxmlformats.org/officeDocument/2006/relationships/hyperlink" Target="https://drive.google.com/drive/search?q=parent:1VmyDEdY-rZ9IfPP9oyBpoZpjcDWGggJR%20%22SP-150-Mead%20v%20Reliastar%20Life%20Ins%20Co.pdf%22" TargetMode="External"/><Relationship Id="rId272" Type="http://schemas.openxmlformats.org/officeDocument/2006/relationships/hyperlink" Target="https://drive.google.com/drive/search?q=parent:1VmyDEdY-rZ9IfPP9oyBpoZpjcDWGggJR%20%22SP-268-Deposit%20Guaranty%20Nat'l%20Bank%20v%20Roper.pdf%22" TargetMode="External"/><Relationship Id="rId158" Type="http://schemas.openxmlformats.org/officeDocument/2006/relationships/hyperlink" Target="https://drive.google.com/drive/search?q=parent:1VmyDEdY-rZ9IfPP9oyBpoZpjcDWGggJR%20%22SP-157-Infra%20Notes%20134-194%20and%20Accompanying%20Text.pdf%22" TargetMode="External"/><Relationship Id="rId279" Type="http://schemas.openxmlformats.org/officeDocument/2006/relationships/hyperlink" Target="https://drive.google.com/drive/search?q=parent:1VmyDEdY-rZ9IfPP9oyBpoZpjcDWGggJR%20%22SP-275-53%20F%204th.pdf%22" TargetMode="External"/><Relationship Id="rId157" Type="http://schemas.openxmlformats.org/officeDocument/2006/relationships/hyperlink" Target="https://drive.google.com/drive/search?q=parent:1VmyDEdY-rZ9IfPP9oyBpoZpjcDWGggJR%20%22SP-156-Infra%20Notes%20177.pdf%22" TargetMode="External"/><Relationship Id="rId278" Type="http://schemas.openxmlformats.org/officeDocument/2006/relationships/hyperlink" Target="https://drive.google.com/drive/search?q=parent:1VmyDEdY-rZ9IfPP9oyBpoZpjcDWGggJR%20%22SP-274-Gersen.pdf%22" TargetMode="External"/><Relationship Id="rId156" Type="http://schemas.openxmlformats.org/officeDocument/2006/relationships/hyperlink" Target="https://drive.google.com/drive/search?q=parent:1VmyDEdY-rZ9IfPP9oyBpoZpjcDWGggJR%20%22SP-155-Cotton%20Petroleum%20Corp.pdf%22" TargetMode="External"/><Relationship Id="rId277" Type="http://schemas.openxmlformats.org/officeDocument/2006/relationships/hyperlink" Target="https://drive.google.com/drive/search?q=parent:1VmyDEdY-rZ9IfPP9oyBpoZpjcDWGggJR%20%22SP-273-Cottonwood.pdf%22" TargetMode="External"/><Relationship Id="rId155" Type="http://schemas.openxmlformats.org/officeDocument/2006/relationships/hyperlink" Target="https://drive.google.com/drive/search?q=parent:1VmyDEdY-rZ9IfPP9oyBpoZpjcDWGggJR%20%22SP-154-Supra%20Notes%2098-115%20and%20Accompanying%20Text.pdf%22" TargetMode="External"/><Relationship Id="rId276" Type="http://schemas.openxmlformats.org/officeDocument/2006/relationships/hyperlink" Target="https://drive.google.com/drive/search?q=parent:1VmyDEdY-rZ9IfPP9oyBpoZpjcDWGggJR%20%22SP-272-Camreta.pdf%22" TargetMode="External"/><Relationship Id="rId107" Type="http://schemas.openxmlformats.org/officeDocument/2006/relationships/hyperlink" Target="https://drive.google.com/drive/search?q=parent:1VmyDEdY-rZ9IfPP9oyBpoZpjcDWGggJR%20%22SP-106-Adam.pdf%22" TargetMode="External"/><Relationship Id="rId228" Type="http://schemas.openxmlformats.org/officeDocument/2006/relationships/hyperlink" Target="https://drive.google.com/drive/search?q=parent:1VmyDEdY-rZ9IfPP9oyBpoZpjcDWGggJR%20%22SP-225-Dine%20Citizens%20Against%20Ruining%20Our%20Env't%20v%20Klein.pdf%22" TargetMode="External"/><Relationship Id="rId106" Type="http://schemas.openxmlformats.org/officeDocument/2006/relationships/hyperlink" Target="https://drive.google.com/drive/search?q=parent:1VmyDEdY-rZ9IfPP9oyBpoZpjcDWGggJR%20%22SP-105-437%20US.pdf%22" TargetMode="External"/><Relationship Id="rId227" Type="http://schemas.openxmlformats.org/officeDocument/2006/relationships/hyperlink" Target="https://drive.google.com/drive/search?q=parent:1VmyDEdY-rZ9IfPP9oyBpoZpjcDWGggJR%20%22SP-224-Rocky%20MTN%20Unpublished.pdf%22" TargetMode="External"/><Relationship Id="rId105" Type="http://schemas.openxmlformats.org/officeDocument/2006/relationships/hyperlink" Target="https://drive.google.com/drive/search?q=parent:1VmyDEdY-rZ9IfPP9oyBpoZpjcDWGggJR%20%22SP-104-In%20Re%20Long-Distance%20Tel%20Serv%20Fed%20Excise%20Tax%20Refund%20Litig.pdf%22" TargetMode="External"/><Relationship Id="rId226" Type="http://schemas.openxmlformats.org/officeDocument/2006/relationships/hyperlink" Target="https://drive.google.com/drive/search?q=parent:1VmyDEdY-rZ9IfPP9oyBpoZpjcDWGggJR%20%22SP-223-S%20Utah%20Wilderness%20Alliance%20v%20Kempthorne.pdf%22" TargetMode="External"/><Relationship Id="rId104" Type="http://schemas.openxmlformats.org/officeDocument/2006/relationships/hyperlink" Target="https://drive.google.com/drive/search?q=parent:1VmyDEdY-rZ9IfPP9oyBpoZpjcDWGggJR%20%22SP-103-Dickinson%20v%20Petroleum%20Conversion%20Corp.pdf%22" TargetMode="External"/><Relationship Id="rId225" Type="http://schemas.openxmlformats.org/officeDocument/2006/relationships/hyperlink" Target="https://drive.google.com/drive/search?q=parent:1VmyDEdY-rZ9IfPP9oyBpoZpjcDWGggJR%20%22SP-222-Merit.pdf%22" TargetMode="External"/><Relationship Id="rId109" Type="http://schemas.openxmlformats.org/officeDocument/2006/relationships/hyperlink" Target="https://drive.google.com/drive/search?q=parent:1VmyDEdY-rZ9IfPP9oyBpoZpjcDWGggJR%20%22SP-108-Flanagan%20v%20United%20States.pdf%22" TargetMode="External"/><Relationship Id="rId108" Type="http://schemas.openxmlformats.org/officeDocument/2006/relationships/hyperlink" Target="https://drive.google.com/drive/search?q=parent:1VmyDEdY-rZ9IfPP9oyBpoZpjcDWGggJR%20%22SP-107-Anderson.pdf%22" TargetMode="External"/><Relationship Id="rId229" Type="http://schemas.openxmlformats.org/officeDocument/2006/relationships/hyperlink" Target="https://drive.google.com/drive/search?q=parent:1VmyDEdY-rZ9IfPP9oyBpoZpjcDWGggJR%20%22SP-226-Mci%20Telecomms%20Corp%20v%20Bellsouth%20Telecomms%20Corp.pdf%22" TargetMode="External"/><Relationship Id="rId220" Type="http://schemas.openxmlformats.org/officeDocument/2006/relationships/hyperlink" Target="https://drive.google.com/drive/search?q=parent:1VmyDEdY-rZ9IfPP9oyBpoZpjcDWGggJR%20%22SP-217-Graham.pdf%22" TargetMode="External"/><Relationship Id="rId103" Type="http://schemas.openxmlformats.org/officeDocument/2006/relationships/hyperlink" Target="https://drive.google.com/drive/search?q=parent:1VmyDEdY-rZ9IfPP9oyBpoZpjcDWGggJR%20%22SP-102-McGourkey%20v%20Toledo%20and%20Ohio%20CR%20Co.pdf%22" TargetMode="External"/><Relationship Id="rId224" Type="http://schemas.openxmlformats.org/officeDocument/2006/relationships/hyperlink" Target="https://drive.google.com/drive/search?q=parent:1VmyDEdY-rZ9IfPP9oyBpoZpjcDWGggJR%20%22SP-221-Trout%20Unlimited%20v%20US%20Dep't%20of%20Agric.pdf%22" TargetMode="External"/><Relationship Id="rId102" Type="http://schemas.openxmlformats.org/officeDocument/2006/relationships/hyperlink" Target="https://drive.google.com/drive/search?q=parent:1VmyDEdY-rZ9IfPP9oyBpoZpjcDWGggJR%20%22SP-101-417%20US.pdf%22" TargetMode="External"/><Relationship Id="rId223" Type="http://schemas.openxmlformats.org/officeDocument/2006/relationships/hyperlink" Target="https://drive.google.com/drive/search?q=parent:1VmyDEdY-rZ9IfPP9oyBpoZpjcDWGggJR%20%22SP-220-Rocky%20MTN%20Wild%20v%20Dallas.pdf%22" TargetMode="External"/><Relationship Id="rId101" Type="http://schemas.openxmlformats.org/officeDocument/2006/relationships/hyperlink" Target="https://drive.google.com/drive/search?q=parent:1VmyDEdY-rZ9IfPP9oyBpoZpjcDWGggJR%20%22SP-100-United%20States%20v%20General%20Motors%20Corp.pdf%22" TargetMode="External"/><Relationship Id="rId222" Type="http://schemas.openxmlformats.org/officeDocument/2006/relationships/hyperlink" Target="https://drive.google.com/drive/search?q=parent:1VmyDEdY-rZ9IfPP9oyBpoZpjcDWGggJR%20%22SP-219-New%20Mexico%20Health%20Connections%20v%20US%20Dep't%20of%20Health%20and%20Human%20Servs.pdf%22" TargetMode="External"/><Relationship Id="rId100" Type="http://schemas.openxmlformats.org/officeDocument/2006/relationships/hyperlink" Target="https://drive.google.com/drive/search?q=parent:1VmyDEdY-rZ9IfPP9oyBpoZpjcDWGggJR%20%22SP-099-Gillespie.pdf%22" TargetMode="External"/><Relationship Id="rId221" Type="http://schemas.openxmlformats.org/officeDocument/2006/relationships/hyperlink" Target="https://drive.google.com/drive/search?q=parent:1VmyDEdY-rZ9IfPP9oyBpoZpjcDWGggJR%20%22SP-218-American%20Wild%20Horse%20Preservation%20Campaign%20v%20Jewell.pdf%22" TargetMode="External"/><Relationship Id="rId217" Type="http://schemas.openxmlformats.org/officeDocument/2006/relationships/hyperlink" Target="https://drive.google.com/drive/search?q=parent:1VmyDEdY-rZ9IfPP9oyBpoZpjcDWGggJR%20%22SP-214-Pit%20River%20Tribe%20v%20US%20Forest%20Serv.pdf%22" TargetMode="External"/><Relationship Id="rId216" Type="http://schemas.openxmlformats.org/officeDocument/2006/relationships/hyperlink" Target="https://drive.google.com/drive/search?q=parent:1VmyDEdY-rZ9IfPP9oyBpoZpjcDWGggJR%20%22SP-213-Zen.pdf%22" TargetMode="External"/><Relationship Id="rId215" Type="http://schemas.openxmlformats.org/officeDocument/2006/relationships/hyperlink" Target="https://drive.google.com/drive/search?q=parent:1VmyDEdY-rZ9IfPP9oyBpoZpjcDWGggJR%20%22SP-212-Neighbors%20Against%20Bison%20Slaughter%20v%20Nat'l%20Park%20Serv.pdf%22" TargetMode="External"/><Relationship Id="rId214" Type="http://schemas.openxmlformats.org/officeDocument/2006/relationships/hyperlink" Target="https://drive.google.com/drive/search?q=parent:1VmyDEdY-rZ9IfPP9oyBpoZpjcDWGggJR%20%22SP-211-Skagit%20Cnty.pdf%22" TargetMode="External"/><Relationship Id="rId219" Type="http://schemas.openxmlformats.org/officeDocument/2006/relationships/hyperlink" Target="https://drive.google.com/drive/search?q=parent:1VmyDEdY-rZ9IfPP9oyBpoZpjcDWGggJR%20%22SP-216-W%20Energy%20Alliance.pdf%22" TargetMode="External"/><Relationship Id="rId218" Type="http://schemas.openxmlformats.org/officeDocument/2006/relationships/hyperlink" Target="https://drive.google.com/drive/search?q=parent:1VmyDEdY-rZ9IfPP9oyBpoZpjcDWGggJR%20%22SP-215-Bair%20v%20Cal%20Dep't%20of%20Transp.pdf%22" TargetMode="External"/><Relationship Id="rId330" Type="http://schemas.openxmlformats.org/officeDocument/2006/relationships/hyperlink" Target="https://drive.google.com/drive/search?q=parent:1VmyDEdY-rZ9IfPP9oyBpoZpjcDWGggJR%20%22SP-326-Supra%20Notes%20299-301%20and%20Accompanying%20Text.pdf%22" TargetMode="External"/><Relationship Id="rId213" Type="http://schemas.openxmlformats.org/officeDocument/2006/relationships/hyperlink" Target="https://drive.google.com/drive/search?q=parent:1VmyDEdY-rZ9IfPP9oyBpoZpjcDWGggJR%20%22SP-210-Crow%20Indian%20Tribe%20v%20United%20States.pdf%22" TargetMode="External"/><Relationship Id="rId212" Type="http://schemas.openxmlformats.org/officeDocument/2006/relationships/hyperlink" Target="https://drive.google.com/drive/search?q=parent:1VmyDEdY-rZ9IfPP9oyBpoZpjcDWGggJR%20%22SP-209-Oregon%20Wild%20v%20Bureau%20of%20Land%20MGMT.pdf%22" TargetMode="External"/><Relationship Id="rId211" Type="http://schemas.openxmlformats.org/officeDocument/2006/relationships/hyperlink" Target="https://drive.google.com/drive/search?q=parent:1VmyDEdY-rZ9IfPP9oyBpoZpjcDWGggJR%20%22SP-208-Nat'l%20Wildlife%20Fed'n%20v%20Nat'l%20Marine%20Fisheries%20Serv.pdf%22" TargetMode="External"/><Relationship Id="rId332" Type="http://schemas.openxmlformats.org/officeDocument/2006/relationships/drawing" Target="../drawings/drawing3.xml"/><Relationship Id="rId210" Type="http://schemas.openxmlformats.org/officeDocument/2006/relationships/hyperlink" Target="https://drive.google.com/drive/search?q=parent:1VmyDEdY-rZ9IfPP9oyBpoZpjcDWGggJR%20%22SP-207-Supra%20Notes%2053-97%20and%20Accompanying%20Text.pdf%22" TargetMode="External"/><Relationship Id="rId331" Type="http://schemas.openxmlformats.org/officeDocument/2006/relationships/hyperlink" Target="https://drive.google.com/drive/search?q=parent:1VmyDEdY-rZ9IfPP9oyBpoZpjcDWGggJR%20%22SP-327-Supra%20Note%20116.pdf%22" TargetMode="External"/><Relationship Id="rId129" Type="http://schemas.openxmlformats.org/officeDocument/2006/relationships/hyperlink" Target="https://drive.google.com/drive/search?q=parent:1VmyDEdY-rZ9IfPP9oyBpoZpjcDWGggJR%20%22SP-128-Cabot%20Corp%20v%20United%20States.pdf%22" TargetMode="External"/><Relationship Id="rId128" Type="http://schemas.openxmlformats.org/officeDocument/2006/relationships/hyperlink" Target="https://drive.google.com/drive/search?q=parent:1VmyDEdY-rZ9IfPP9oyBpoZpjcDWGggJR%20%22SP-127-Harper%20v%20Bowen.pdf%22" TargetMode="External"/><Relationship Id="rId249" Type="http://schemas.openxmlformats.org/officeDocument/2006/relationships/hyperlink" Target="https://drive.google.com/drive/search?q=parent:1VmyDEdY-rZ9IfPP9oyBpoZpjcDWGggJR%20%22SP-246-Vertesch.pdf%22" TargetMode="External"/><Relationship Id="rId127" Type="http://schemas.openxmlformats.org/officeDocument/2006/relationships/hyperlink" Target="https://drive.google.com/drive/search?q=parent:1VmyDEdY-rZ9IfPP9oyBpoZpjcDWGggJR%20%22SP-126-Gueory%20v%20Hampton.pdf%22" TargetMode="External"/><Relationship Id="rId248" Type="http://schemas.openxmlformats.org/officeDocument/2006/relationships/hyperlink" Target="https://drive.google.com/drive/search?q=parent:1VmyDEdY-rZ9IfPP9oyBpoZpjcDWGggJR%20%22SP-245-Boyden.pdf%22" TargetMode="External"/><Relationship Id="rId126" Type="http://schemas.openxmlformats.org/officeDocument/2006/relationships/hyperlink" Target="https://drive.google.com/drive/search?q=parent:1VmyDEdY-rZ9IfPP9oyBpoZpjcDWGggJR%20%22SP-125-Gold%20v%20Weinberger.pdf%22" TargetMode="External"/><Relationship Id="rId247" Type="http://schemas.openxmlformats.org/officeDocument/2006/relationships/hyperlink" Target="https://drive.google.com/drive/search?q=parent:1VmyDEdY-rZ9IfPP9oyBpoZpjcDWGggJR%20%22SP-244-Freeman.pdf%22" TargetMode="External"/><Relationship Id="rId121" Type="http://schemas.openxmlformats.org/officeDocument/2006/relationships/hyperlink" Target="https://drive.google.com/drive/search?q=parent:1VmyDEdY-rZ9IfPP9oyBpoZpjcDWGggJR%20%22SP-120-Mayersky%20v%20Celebrezze.pdf%22" TargetMode="External"/><Relationship Id="rId242" Type="http://schemas.openxmlformats.org/officeDocument/2006/relationships/hyperlink" Target="https://drive.google.com/drive/search?q=parent:1VmyDEdY-rZ9IfPP9oyBpoZpjcDWGggJR%20%22SP-239-Rabin.pdf%22" TargetMode="External"/><Relationship Id="rId120" Type="http://schemas.openxmlformats.org/officeDocument/2006/relationships/hyperlink" Target="https://drive.google.com/drive/search?q=parent:1VmyDEdY-rZ9IfPP9oyBpoZpjcDWGggJR%20%22SP-119-Bohms%20v%20Gardner.pdf%22" TargetMode="External"/><Relationship Id="rId241" Type="http://schemas.openxmlformats.org/officeDocument/2006/relationships/hyperlink" Target="https://drive.google.com/drive/search?q=parent:1VmyDEdY-rZ9IfPP9oyBpoZpjcDWGggJR%20%22SP-238-Johnsen.pdf%22" TargetMode="External"/><Relationship Id="rId240" Type="http://schemas.openxmlformats.org/officeDocument/2006/relationships/hyperlink" Target="https://drive.google.com/drive/search?q=parent:1VmyDEdY-rZ9IfPP9oyBpoZpjcDWGggJR%20%22SP-237-Supra%20Notes%20176-177%20and%20Accompanying%20Text.pdf%22" TargetMode="External"/><Relationship Id="rId125" Type="http://schemas.openxmlformats.org/officeDocument/2006/relationships/hyperlink" Target="https://drive.google.com/drive/search?q=parent:1VmyDEdY-rZ9IfPP9oyBpoZpjcDWGggJR%20%22SP-124-Richardson%20v%20Perales.pdf%22" TargetMode="External"/><Relationship Id="rId246" Type="http://schemas.openxmlformats.org/officeDocument/2006/relationships/hyperlink" Target="https://drive.google.com/drive/search?q=parent:1VmyDEdY-rZ9IfPP9oyBpoZpjcDWGggJR%20%22SP-243-Ilan.pdf%22" TargetMode="External"/><Relationship Id="rId124" Type="http://schemas.openxmlformats.org/officeDocument/2006/relationships/hyperlink" Target="https://drive.google.com/drive/search?q=parent:1VmyDEdY-rZ9IfPP9oyBpoZpjcDWGggJR%20%22SP-123-412%20F%202d.pdf%22" TargetMode="External"/><Relationship Id="rId245" Type="http://schemas.openxmlformats.org/officeDocument/2006/relationships/hyperlink" Target="https://drive.google.com/drive/search?q=parent:1VmyDEdY-rZ9IfPP9oyBpoZpjcDWGggJR%20%22SP-242-Postell.pdf%22" TargetMode="External"/><Relationship Id="rId123" Type="http://schemas.openxmlformats.org/officeDocument/2006/relationships/hyperlink" Target="https://drive.google.com/drive/search?q=parent:1VmyDEdY-rZ9IfPP9oyBpoZpjcDWGggJR%20%22SP-122-Stathatos%20v%20Arnold%20Bernstein%20SS%20Corp.pdf%22" TargetMode="External"/><Relationship Id="rId244" Type="http://schemas.openxmlformats.org/officeDocument/2006/relationships/hyperlink" Target="https://drive.google.com/drive/search?q=parent:1VmyDEdY-rZ9IfPP9oyBpoZpjcDWGggJR%20%22SP-241-Stephenson.pdf%22" TargetMode="External"/><Relationship Id="rId122" Type="http://schemas.openxmlformats.org/officeDocument/2006/relationships/hyperlink" Target="https://drive.google.com/drive/search?q=parent:1VmyDEdY-rZ9IfPP9oyBpoZpjcDWGggJR%20%22SP-121-Marshall%20v%20Celebrezze.pdf%22" TargetMode="External"/><Relationship Id="rId243" Type="http://schemas.openxmlformats.org/officeDocument/2006/relationships/hyperlink" Target="https://drive.google.com/drive/search?q=parent:1VmyDEdY-rZ9IfPP9oyBpoZpjcDWGggJR%20%22SP-240-Spitzer.pdf%22" TargetMode="External"/><Relationship Id="rId95" Type="http://schemas.openxmlformats.org/officeDocument/2006/relationships/hyperlink" Target="https://drive.google.com/drive/search?q=parent:1VmyDEdY-rZ9IfPP9oyBpoZpjcDWGggJR%20%22SP-094-Cohen.pdf%22" TargetMode="External"/><Relationship Id="rId94" Type="http://schemas.openxmlformats.org/officeDocument/2006/relationships/hyperlink" Target="https://drive.google.com/drive/search?q=parent:1VmyDEdY-rZ9IfPP9oyBpoZpjcDWGggJR%20%22SP-093-28%20USC%20225.pdf%22" TargetMode="External"/><Relationship Id="rId97" Type="http://schemas.openxmlformats.org/officeDocument/2006/relationships/hyperlink" Target="https://drive.google.com/drive/search?q=parent:1VmyDEdY-rZ9IfPP9oyBpoZpjcDWGggJR%20%22SP-096-Pikor.pdf%22" TargetMode="External"/><Relationship Id="rId96" Type="http://schemas.openxmlformats.org/officeDocument/2006/relationships/hyperlink" Target="https://drive.google.com/drive/search?q=parent:1VmyDEdY-rZ9IfPP9oyBpoZpjcDWGggJR%20%22SP-095-Baker.pdf%22" TargetMode="External"/><Relationship Id="rId99" Type="http://schemas.openxmlformats.org/officeDocument/2006/relationships/hyperlink" Target="https://drive.google.com/drive/search?q=parent:1VmyDEdY-rZ9IfPP9oyBpoZpjcDWGggJR%20%22SP-098-Infra%20Notes%2098-194%20and%20Accompanying%20Text.pdf%22" TargetMode="External"/><Relationship Id="rId98" Type="http://schemas.openxmlformats.org/officeDocument/2006/relationships/hyperlink" Target="https://drive.google.com/drive/search?q=parent:1VmyDEdY-rZ9IfPP9oyBpoZpjcDWGggJR%20%22SP-097-Van%20Cauwenberghe%20v%20Biard.pdf%22" TargetMode="External"/><Relationship Id="rId91" Type="http://schemas.openxmlformats.org/officeDocument/2006/relationships/hyperlink" Target="https://drive.google.com/drive/search?q=parent:1VmyDEdY-rZ9IfPP9oyBpoZpjcDWGggJR%20%22SP-090-Infra%20Part%20IC.pdf%22" TargetMode="External"/><Relationship Id="rId90" Type="http://schemas.openxmlformats.org/officeDocument/2006/relationships/hyperlink" Target="https://drive.google.com/drive/search?q=parent:1VmyDEdY-rZ9IfPP9oyBpoZpjcDWGggJR%20%22SP-089-Cochran.pdf%22" TargetMode="External"/><Relationship Id="rId93" Type="http://schemas.openxmlformats.org/officeDocument/2006/relationships/hyperlink" Target="https://drive.google.com/drive/search?q=parent:1VmyDEdY-rZ9IfPP9oyBpoZpjcDWGggJR%20%22SP-092-Federal%20Practice%203909.pdf%22" TargetMode="External"/><Relationship Id="rId92" Type="http://schemas.openxmlformats.org/officeDocument/2006/relationships/hyperlink" Target="https://drive.google.com/drive/search?q=parent:1VmyDEdY-rZ9IfPP9oyBpoZpjcDWGggJR%20%22SP-091-Heppner.pdf%22" TargetMode="External"/><Relationship Id="rId118" Type="http://schemas.openxmlformats.org/officeDocument/2006/relationships/hyperlink" Target="https://drive.google.com/drive/search?q=parent:1VmyDEdY-rZ9IfPP9oyBpoZpjcDWGggJR%20%22SP-117-St%20Francis%20Med%20CTR%20v%20Sullivan.pdf%22" TargetMode="External"/><Relationship Id="rId239" Type="http://schemas.openxmlformats.org/officeDocument/2006/relationships/hyperlink" Target="https://drive.google.com/drive/search?q=parent:1VmyDEdY-rZ9IfPP9oyBpoZpjcDWGggJR%20%22SP-236-Boughton%20v%20Cotter%20Corp.pdf%22" TargetMode="External"/><Relationship Id="rId117" Type="http://schemas.openxmlformats.org/officeDocument/2006/relationships/hyperlink" Target="https://drive.google.com/drive/search?q=parent:1VmyDEdY-rZ9IfPP9oyBpoZpjcDWGggJR%20%22SP-116-Travelstead%20v%20Derwinski.pdf%22" TargetMode="External"/><Relationship Id="rId238" Type="http://schemas.openxmlformats.org/officeDocument/2006/relationships/hyperlink" Target="https://drive.google.com/drive/search?q=parent:1VmyDEdY-rZ9IfPP9oyBpoZpjcDWGggJR%20%22SP-235-Stubblefield%20v%20Windsor%20Cap%20GRP.pdf%22" TargetMode="External"/><Relationship Id="rId116" Type="http://schemas.openxmlformats.org/officeDocument/2006/relationships/hyperlink" Target="https://drive.google.com/drive/search?q=parent:1VmyDEdY-rZ9IfPP9oyBpoZpjcDWGggJR%20%22SP-115-Baca-Prieto%20v%20A1%20Guigni.pdf%22" TargetMode="External"/><Relationship Id="rId237" Type="http://schemas.openxmlformats.org/officeDocument/2006/relationships/hyperlink" Target="https://drive.google.com/drive/search?q=parent:1VmyDEdY-rZ9IfPP9oyBpoZpjcDWGggJR%20%22SP-234-Infra%20Notes%20227-251.pdf%22" TargetMode="External"/><Relationship Id="rId115" Type="http://schemas.openxmlformats.org/officeDocument/2006/relationships/hyperlink" Target="https://drive.google.com/drive/search?q=parent:1VmyDEdY-rZ9IfPP9oyBpoZpjcDWGggJR%20%22SP-114-Supra%20Note%2029.pdf%22" TargetMode="External"/><Relationship Id="rId236" Type="http://schemas.openxmlformats.org/officeDocument/2006/relationships/hyperlink" Target="https://drive.google.com/drive/search?q=parent:1VmyDEdY-rZ9IfPP9oyBpoZpjcDWGggJR%20%22SP-233-Bitterroot.pdf%22" TargetMode="External"/><Relationship Id="rId119" Type="http://schemas.openxmlformats.org/officeDocument/2006/relationships/hyperlink" Target="https://drive.google.com/drive/search?q=parent:1VmyDEdY-rZ9IfPP9oyBpoZpjcDWGggJR%20%22SP-118-American%20Export%20Lines%20v%20Alvez.pdf%22" TargetMode="External"/><Relationship Id="rId110" Type="http://schemas.openxmlformats.org/officeDocument/2006/relationships/hyperlink" Target="https://drive.google.com/drive/search?q=parent:1VmyDEdY-rZ9IfPP9oyBpoZpjcDWGggJR%20%22SP-109-Stringfellow%20v%20Concerned%20Neighbors%20in%20Action.pdf%22" TargetMode="External"/><Relationship Id="rId231" Type="http://schemas.openxmlformats.org/officeDocument/2006/relationships/hyperlink" Target="https://drive.google.com/drive/search?q=parent:1VmyDEdY-rZ9IfPP9oyBpoZpjcDWGggJR%20%22SP-228-Supra%20Notes%20145-146.pdf%22" TargetMode="External"/><Relationship Id="rId230" Type="http://schemas.openxmlformats.org/officeDocument/2006/relationships/hyperlink" Target="https://drive.google.com/drive/search?q=parent:1VmyDEdY-rZ9IfPP9oyBpoZpjcDWGggJR%20%22SP-227-Fla.pdf%22" TargetMode="External"/><Relationship Id="rId114" Type="http://schemas.openxmlformats.org/officeDocument/2006/relationships/hyperlink" Target="https://drive.google.com/drive/search?q=parent:1VmyDEdY-rZ9IfPP9oyBpoZpjcDWGggJR%20%22SP-113-Supra%20Note%2092.pdf%22" TargetMode="External"/><Relationship Id="rId235" Type="http://schemas.openxmlformats.org/officeDocument/2006/relationships/hyperlink" Target="https://drive.google.com/drive/search?q=parent:1VmyDEdY-rZ9IfPP9oyBpoZpjcDWGggJR%20%22SP-232-Chang%20v%20United%20States.pdf%22" TargetMode="External"/><Relationship Id="rId113" Type="http://schemas.openxmlformats.org/officeDocument/2006/relationships/hyperlink" Target="https://drive.google.com/drive/search?q=parent:1VmyDEdY-rZ9IfPP9oyBpoZpjcDWGggJR%20%22SP-112-Forney%20v%20Apfel.pdf%22" TargetMode="External"/><Relationship Id="rId234" Type="http://schemas.openxmlformats.org/officeDocument/2006/relationships/hyperlink" Target="https://drive.google.com/drive/search?q=parent:1VmyDEdY-rZ9IfPP9oyBpoZpjcDWGggJR%20%22SP-231-Administrative%20Office.pdf%22" TargetMode="External"/><Relationship Id="rId112" Type="http://schemas.openxmlformats.org/officeDocument/2006/relationships/hyperlink" Target="https://drive.google.com/drive/search?q=parent:1VmyDEdY-rZ9IfPP9oyBpoZpjcDWGggJR%20%22SP-111-FRCP%2023(f).pdf%22" TargetMode="External"/><Relationship Id="rId233" Type="http://schemas.openxmlformats.org/officeDocument/2006/relationships/hyperlink" Target="https://drive.google.com/drive/search?q=parent:1VmyDEdY-rZ9IfPP9oyBpoZpjcDWGggJR%20%22SP-230-Supra%20Note%20165%20and%20Accompanying%20Text.pdf%22" TargetMode="External"/><Relationship Id="rId111" Type="http://schemas.openxmlformats.org/officeDocument/2006/relationships/hyperlink" Target="https://drive.google.com/drive/search?q=parent:1VmyDEdY-rZ9IfPP9oyBpoZpjcDWGggJR%20%22SP-110-Rules.pdf%22" TargetMode="External"/><Relationship Id="rId232" Type="http://schemas.openxmlformats.org/officeDocument/2006/relationships/hyperlink" Target="https://drive.google.com/drive/search?q=parent:1VmyDEdY-rZ9IfPP9oyBpoZpjcDWGggJR%20%22SP-229-Cherokee%20Nation%20v%20Bernhardt.pdf%22" TargetMode="External"/><Relationship Id="rId305" Type="http://schemas.openxmlformats.org/officeDocument/2006/relationships/hyperlink" Target="https://drive.google.com/drive/search?q=parent:1VmyDEdY-rZ9IfPP9oyBpoZpjcDWGggJR%20%22SP-301-Wild%20Rockies.pdf%22" TargetMode="External"/><Relationship Id="rId304" Type="http://schemas.openxmlformats.org/officeDocument/2006/relationships/hyperlink" Target="https://drive.google.com/drive/search?q=parent:1VmyDEdY-rZ9IfPP9oyBpoZpjcDWGggJR%20%22SP-300-Associated%20Mortg.pdf%22" TargetMode="External"/><Relationship Id="rId303" Type="http://schemas.openxmlformats.org/officeDocument/2006/relationships/hyperlink" Target="https://drive.google.com/drive/search?q=parent:1VmyDEdY-rZ9IfPP9oyBpoZpjcDWGggJR%20%22SP-299-Miami%20Tribe%20Distr.%20Ct..pdf%22" TargetMode="External"/><Relationship Id="rId302" Type="http://schemas.openxmlformats.org/officeDocument/2006/relationships/hyperlink" Target="https://drive.google.com/drive/search?q=parent:1VmyDEdY-rZ9IfPP9oyBpoZpjcDWGggJR%20%22SP-298-Aaron%20P%20v%20Dep't%20of%20Educ.pdf%22" TargetMode="External"/><Relationship Id="rId309" Type="http://schemas.openxmlformats.org/officeDocument/2006/relationships/hyperlink" Target="https://drive.google.com/drive/search?q=parent:1VmyDEdY-rZ9IfPP9oyBpoZpjcDWGggJR%20%22SP-305-O'Connell%20Agency.pdf%22" TargetMode="External"/><Relationship Id="rId308" Type="http://schemas.openxmlformats.org/officeDocument/2006/relationships/hyperlink" Target="https://drive.google.com/drive/search?q=parent:1VmyDEdY-rZ9IfPP9oyBpoZpjcDWGggJR%20%22SP-304-Viraj.pdf%22" TargetMode="External"/><Relationship Id="rId307" Type="http://schemas.openxmlformats.org/officeDocument/2006/relationships/hyperlink" Target="https://drive.google.com/drive/search?q=parent:1VmyDEdY-rZ9IfPP9oyBpoZpjcDWGggJR%20%22SP-303-Federal%20Practice%203949%204.pdf%22" TargetMode="External"/><Relationship Id="rId306" Type="http://schemas.openxmlformats.org/officeDocument/2006/relationships/hyperlink" Target="https://drive.google.com/drive/search?q=parent:1VmyDEdY-rZ9IfPP9oyBpoZpjcDWGggJR%20%22SP-302-McBride%20v%20Citgo%20Petroleum%20Corp.pdf%22" TargetMode="External"/><Relationship Id="rId301" Type="http://schemas.openxmlformats.org/officeDocument/2006/relationships/hyperlink" Target="https://drive.google.com/drive/search?q=parent:1VmyDEdY-rZ9IfPP9oyBpoZpjcDWGggJR%20%22SP-297-Fed%2054(b.pdf%22" TargetMode="External"/><Relationship Id="rId300" Type="http://schemas.openxmlformats.org/officeDocument/2006/relationships/hyperlink" Target="https://drive.google.com/drive/search?q=parent:1VmyDEdY-rZ9IfPP9oyBpoZpjcDWGggJR%20%22SP-296-15a%20Wright.pdf%22" TargetMode="External"/><Relationship Id="rId206" Type="http://schemas.openxmlformats.org/officeDocument/2006/relationships/hyperlink" Target="https://drive.google.com/drive/search?q=parent:1VmyDEdY-rZ9IfPP9oyBpoZpjcDWGggJR%20%22SP-203-Borntrager%20v%20Cent%20States.pdf%22" TargetMode="External"/><Relationship Id="rId327" Type="http://schemas.openxmlformats.org/officeDocument/2006/relationships/hyperlink" Target="https://drive.google.com/drive/search?q=parent:1VmyDEdY-rZ9IfPP9oyBpoZpjcDWGggJR%20%22SP-323-38%20USC%207291.pdf%22" TargetMode="External"/><Relationship Id="rId205" Type="http://schemas.openxmlformats.org/officeDocument/2006/relationships/hyperlink" Target="https://drive.google.com/drive/search?q=parent:1VmyDEdY-rZ9IfPP9oyBpoZpjcDWGggJR%20%22SP-202-Supra%20Note%2068%20and%20Accompanying%20Text.pdf%22" TargetMode="External"/><Relationship Id="rId326" Type="http://schemas.openxmlformats.org/officeDocument/2006/relationships/hyperlink" Target="https://drive.google.com/drive/search?q=parent:1VmyDEdY-rZ9IfPP9oyBpoZpjcDWGggJR%20%22SP-322-28%20USC%201295.pdf%22" TargetMode="External"/><Relationship Id="rId204" Type="http://schemas.openxmlformats.org/officeDocument/2006/relationships/hyperlink" Target="https://drive.google.com/drive/search?q=parent:1VmyDEdY-rZ9IfPP9oyBpoZpjcDWGggJR%20%22SP-201-Davies%20v%20Johanns.pdf%22" TargetMode="External"/><Relationship Id="rId325" Type="http://schemas.openxmlformats.org/officeDocument/2006/relationships/hyperlink" Target="https://drive.google.com/drive/search?q=parent:1VmyDEdY-rZ9IfPP9oyBpoZpjcDWGggJR%20%22SP-321-28%20USC%202253.pdf%22" TargetMode="External"/><Relationship Id="rId203" Type="http://schemas.openxmlformats.org/officeDocument/2006/relationships/hyperlink" Target="https://drive.google.com/drive/search?q=parent:1VmyDEdY-rZ9IfPP9oyBpoZpjcDWGggJR%20%22SP-200-City.pdf%22" TargetMode="External"/><Relationship Id="rId324" Type="http://schemas.openxmlformats.org/officeDocument/2006/relationships/hyperlink" Target="https://drive.google.com/drive/search?q=parent:1VmyDEdY-rZ9IfPP9oyBpoZpjcDWGggJR%20%22SP-320-28%20USC%20158(d.pdf%22" TargetMode="External"/><Relationship Id="rId209" Type="http://schemas.openxmlformats.org/officeDocument/2006/relationships/hyperlink" Target="https://drive.google.com/drive/search?q=parent:1VmyDEdY-rZ9IfPP9oyBpoZpjcDWGggJR%20%22SP-206-Gallatin%20Wildlife%20Ass'n%20v%20US%20Forest%20Serv.pdf%22" TargetMode="External"/><Relationship Id="rId208" Type="http://schemas.openxmlformats.org/officeDocument/2006/relationships/hyperlink" Target="https://drive.google.com/drive/search?q=parent:1VmyDEdY-rZ9IfPP9oyBpoZpjcDWGggJR%20%22SP-205-United%20States%20v%20US%20Bd%20of%20Water%20Comm'rs.pdf%22" TargetMode="External"/><Relationship Id="rId329" Type="http://schemas.openxmlformats.org/officeDocument/2006/relationships/hyperlink" Target="https://drive.google.com/drive/search?q=parent:1VmyDEdY-rZ9IfPP9oyBpoZpjcDWGggJR%20%22SP-325-Walker%20James.pdf%22" TargetMode="External"/><Relationship Id="rId207" Type="http://schemas.openxmlformats.org/officeDocument/2006/relationships/hyperlink" Target="https://drive.google.com/drive/search?q=parent:1VmyDEdY-rZ9IfPP9oyBpoZpjcDWGggJR%20%22SP-204-Sierra%20Forest%20Legacy%20v%20Sherman.pdf%22" TargetMode="External"/><Relationship Id="rId328" Type="http://schemas.openxmlformats.org/officeDocument/2006/relationships/hyperlink" Target="https://drive.google.com/drive/search?q=parent:1VmyDEdY-rZ9IfPP9oyBpoZpjcDWGggJR%20%22SP-324-28%20USC%202702(c).pdf%22" TargetMode="External"/><Relationship Id="rId202" Type="http://schemas.openxmlformats.org/officeDocument/2006/relationships/hyperlink" Target="https://drive.google.com/drive/search?q=parent:1VmyDEdY-rZ9IfPP9oyBpoZpjcDWGggJR%20%22SP-199-Izaak%20Walton.pdf%22" TargetMode="External"/><Relationship Id="rId323" Type="http://schemas.openxmlformats.org/officeDocument/2006/relationships/hyperlink" Target="https://drive.google.com/drive/search?q=parent:1VmyDEdY-rZ9IfPP9oyBpoZpjcDWGggJR%20%22SP-319-Supra%20Notes%20280-281%20and%20Accompanying%20Text.pdf%22" TargetMode="External"/><Relationship Id="rId201" Type="http://schemas.openxmlformats.org/officeDocument/2006/relationships/hyperlink" Target="https://drive.google.com/drive/search?q=parent:1VmyDEdY-rZ9IfPP9oyBpoZpjcDWGggJR%20%22SP-198-Travis%20v%20Sullivan.pdf%22" TargetMode="External"/><Relationship Id="rId322" Type="http://schemas.openxmlformats.org/officeDocument/2006/relationships/hyperlink" Target="https://drive.google.com/drive/search?q=parent:1VmyDEdY-rZ9IfPP9oyBpoZpjcDWGggJR%20%22SP-318-Supra%20Notes%20282-287%20and%20Accompanying%20Text.pdf%22" TargetMode="External"/><Relationship Id="rId200" Type="http://schemas.openxmlformats.org/officeDocument/2006/relationships/hyperlink" Target="https://drive.google.com/drive/search?q=parent:1VmyDEdY-rZ9IfPP9oyBpoZpjcDWGggJR%20%22SP-197-Perlman%20v%20Swiss%20Bank%20Corp%20Comprehensive%20Disability%20Prot%20Plan.pdf%22" TargetMode="External"/><Relationship Id="rId321" Type="http://schemas.openxmlformats.org/officeDocument/2006/relationships/hyperlink" Target="https://drive.google.com/drive/search?q=parent:1VmyDEdY-rZ9IfPP9oyBpoZpjcDWGggJR%20%22SP-317-Supra%20Note%20269%20and%20Accompanying%20Text.pdf%22" TargetMode="External"/><Relationship Id="rId320" Type="http://schemas.openxmlformats.org/officeDocument/2006/relationships/hyperlink" Target="https://drive.google.com/drive/search?q=parent:1VmyDEdY-rZ9IfPP9oyBpoZpjcDWGggJR%20%22SP-316-Supra%20Notes%20115.pdf%22" TargetMode="External"/><Relationship Id="rId316" Type="http://schemas.openxmlformats.org/officeDocument/2006/relationships/hyperlink" Target="https://drive.google.com/drive/search?q=parent:1VmyDEdY-rZ9IfPP9oyBpoZpjcDWGggJR%20%22SP-312-Supra%20Note%20163%20and%20Accompanying%20Text.pdf%22" TargetMode="External"/><Relationship Id="rId315" Type="http://schemas.openxmlformats.org/officeDocument/2006/relationships/hyperlink" Target="https://drive.google.com/drive/search?q=parent:1VmyDEdY-rZ9IfPP9oyBpoZpjcDWGggJR%20%22SP-311-Supra%20Notes%20127.pdf%22" TargetMode="External"/><Relationship Id="rId314" Type="http://schemas.openxmlformats.org/officeDocument/2006/relationships/hyperlink" Target="https://drive.google.com/drive/search?q=parent:1VmyDEdY-rZ9IfPP9oyBpoZpjcDWGggJR%20%22SP-310-Supra%20Notes%20132-194%20and%20Accompanying%20Text.pdf%22" TargetMode="External"/><Relationship Id="rId313" Type="http://schemas.openxmlformats.org/officeDocument/2006/relationships/hyperlink" Target="https://drive.google.com/drive/search?q=parent:1VmyDEdY-rZ9IfPP9oyBpoZpjcDWGggJR%20%22SP-309-Supra%20Notes%2067.pdf%22" TargetMode="External"/><Relationship Id="rId319" Type="http://schemas.openxmlformats.org/officeDocument/2006/relationships/hyperlink" Target="https://drive.google.com/drive/search?q=parent:1VmyDEdY-rZ9IfPP9oyBpoZpjcDWGggJR%20%22SP-315-Supra%20Note%20174%20and%20Accompanying%20Text.pdf%22" TargetMode="External"/><Relationship Id="rId318" Type="http://schemas.openxmlformats.org/officeDocument/2006/relationships/hyperlink" Target="https://drive.google.com/drive/search?q=parent:1VmyDEdY-rZ9IfPP9oyBpoZpjcDWGggJR%20%22SP-314-Supra%20Note%20175%20and%20Accompanying%20Text.pdf%22" TargetMode="External"/><Relationship Id="rId317" Type="http://schemas.openxmlformats.org/officeDocument/2006/relationships/hyperlink" Target="https://drive.google.com/drive/search?q=parent:1VmyDEdY-rZ9IfPP9oyBpoZpjcDWGggJR%20%22SP-313-Supra%20Note%20136%20and%20Accompanying%20Text.pdf%22" TargetMode="External"/><Relationship Id="rId312" Type="http://schemas.openxmlformats.org/officeDocument/2006/relationships/hyperlink" Target="https://drive.google.com/drive/search?q=parent:1VmyDEdY-rZ9IfPP9oyBpoZpjcDWGggJR%20%22SP-308-Rule%2054(b).pdf%22" TargetMode="External"/><Relationship Id="rId311" Type="http://schemas.openxmlformats.org/officeDocument/2006/relationships/hyperlink" Target="https://drive.google.com/drive/search?q=parent:1VmyDEdY-rZ9IfPP9oyBpoZpjcDWGggJR%20%22SP-307-Supra%20Notes%20272-277%20and%20Accompanying%20Text.pdf%22" TargetMode="External"/><Relationship Id="rId310" Type="http://schemas.openxmlformats.org/officeDocument/2006/relationships/hyperlink" Target="https://drive.google.com/drive/search?q=parent:1VmyDEdY-rZ9IfPP9oyBpoZpjcDWGggJR%20%22SP-306-O'Connell%20Cycles.pdf%22"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drive.google.com/drive/search?q=parent:1VmyDEdY-rZ9IfPP9oyBpoZpjcDWGggJR%20%22SP-037-Clopton.pdf%22" TargetMode="External"/><Relationship Id="rId190" Type="http://schemas.openxmlformats.org/officeDocument/2006/relationships/hyperlink" Target="https://drive.google.com/drive/search?q=parent:1VmyDEdY-rZ9IfPP9oyBpoZpjcDWGggJR%20%22SP-186-Hanauer%20v%20Reich.pdf%22" TargetMode="External"/><Relationship Id="rId42" Type="http://schemas.openxmlformats.org/officeDocument/2006/relationships/hyperlink" Target="https://drive.google.com/drive/search?q=parent:1VmyDEdY-rZ9IfPP9oyBpoZpjcDWGggJR%20%22SP-039-John%20Muir%20Health.pdf%22" TargetMode="External"/><Relationship Id="rId41" Type="http://schemas.openxmlformats.org/officeDocument/2006/relationships/hyperlink" Target="https://drive.google.com/drive/search?q=parent:1VmyDEdY-rZ9IfPP9oyBpoZpjcDWGggJR%20%22SP-038-Jackson.pdf%22" TargetMode="External"/><Relationship Id="rId44" Type="http://schemas.openxmlformats.org/officeDocument/2006/relationships/hyperlink" Target="https://drive.google.com/drive/search?q=parent:1VmyDEdY-rZ9IfPP9oyBpoZpjcDWGggJR%20%22SP-041-Holton.pdf%22" TargetMode="External"/><Relationship Id="rId194" Type="http://schemas.openxmlformats.org/officeDocument/2006/relationships/hyperlink" Target="https://drive.google.com/drive/search?q=parent:1VmyDEdY-rZ9IfPP9oyBpoZpjcDWGggJR%20%22SP-190-Adkins%20v%20Silverman.pdf%22" TargetMode="External"/><Relationship Id="rId43" Type="http://schemas.openxmlformats.org/officeDocument/2006/relationships/hyperlink" Target="https://drive.google.com/drive/search?q=parent:1VmyDEdY-rZ9IfPP9oyBpoZpjcDWGggJR%20%22SP-040-Federman.pdf%22" TargetMode="External"/><Relationship Id="rId193" Type="http://schemas.openxmlformats.org/officeDocument/2006/relationships/hyperlink" Target="https://drive.google.com/drive/search?q=parent:1VmyDEdY-rZ9IfPP9oyBpoZpjcDWGggJR%20%22SP-189-Culbertson%20v%20Sec'y%20of%20Health%20and%20Hum%20Servs.pdf%22" TargetMode="External"/><Relationship Id="rId46" Type="http://schemas.openxmlformats.org/officeDocument/2006/relationships/hyperlink" Target="https://drive.google.com/drive/search?q=parent:1VmyDEdY-rZ9IfPP9oyBpoZpjcDWGggJR%20%22SP-043-Am%20Constr%20Co.pdf%22" TargetMode="External"/><Relationship Id="rId192" Type="http://schemas.openxmlformats.org/officeDocument/2006/relationships/hyperlink" Target="https://drive.google.com/drive/search?q=parent:1VmyDEdY-rZ9IfPP9oyBpoZpjcDWGggJR%20%22SP-188-Nielsen%20v%20Hagel.pdf%22" TargetMode="External"/><Relationship Id="rId45" Type="http://schemas.openxmlformats.org/officeDocument/2006/relationships/hyperlink" Target="https://drive.google.com/drive/search?q=parent:1VmyDEdY-rZ9IfPP9oyBpoZpjcDWGggJR%20%22SP-042-Bearns.pdf%22" TargetMode="External"/><Relationship Id="rId191" Type="http://schemas.openxmlformats.org/officeDocument/2006/relationships/hyperlink" Target="https://drive.google.com/drive/search?q=parent:1VmyDEdY-rZ9IfPP9oyBpoZpjcDWGggJR%20%22SP-187-Colvin%20v%20Sullivan.pdf%22" TargetMode="External"/><Relationship Id="rId48" Type="http://schemas.openxmlformats.org/officeDocument/2006/relationships/hyperlink" Target="https://drive.google.com/drive/search?q=parent:1VmyDEdY-rZ9IfPP9oyBpoZpjcDWGggJR%20%22SP-045-1291.pdf%22" TargetMode="External"/><Relationship Id="rId187" Type="http://schemas.openxmlformats.org/officeDocument/2006/relationships/hyperlink" Target="https://drive.google.com/drive/search?q=parent:1VmyDEdY-rZ9IfPP9oyBpoZpjcDWGggJR%20%22SP-183-Horizons.pdf%22" TargetMode="External"/><Relationship Id="rId47" Type="http://schemas.openxmlformats.org/officeDocument/2006/relationships/hyperlink" Target="https://drive.google.com/drive/search?q=parent:1VmyDEdY-rZ9IfPP9oyBpoZpjcDWGggJR%20%22SP-044-Infra%20Notes%2029.pdf%22" TargetMode="External"/><Relationship Id="rId186" Type="http://schemas.openxmlformats.org/officeDocument/2006/relationships/hyperlink" Target="https://drive.google.com/drive/search?q=parent:1VmyDEdY-rZ9IfPP9oyBpoZpjcDWGggJR%20%22SP-182-United%20States%20v%20Spears.pdf%22" TargetMode="External"/><Relationship Id="rId185" Type="http://schemas.openxmlformats.org/officeDocument/2006/relationships/hyperlink" Target="https://drive.google.com/drive/search?q=parent:1VmyDEdY-rZ9IfPP9oyBpoZpjcDWGggJR%20%22SP-181-United%20Steelworkers%20of%20Am%20Local%201913%20v%20Union%20RR%20Co.pdf%22" TargetMode="External"/><Relationship Id="rId49" Type="http://schemas.openxmlformats.org/officeDocument/2006/relationships/hyperlink" Target="https://drive.google.com/drive/search?q=parent:1VmyDEdY-rZ9IfPP9oyBpoZpjcDWGggJR%20%22SP-046-1292.pdf%22" TargetMode="External"/><Relationship Id="rId184" Type="http://schemas.openxmlformats.org/officeDocument/2006/relationships/hyperlink" Target="https://drive.google.com/drive/search?q=parent:1VmyDEdY-rZ9IfPP9oyBpoZpjcDWGggJR%20%22SP-180-BHD%20of%20Maint%20of%20Way%20Emps%20v%20Consol%20Rail%20Corp.pdf%22" TargetMode="External"/><Relationship Id="rId189" Type="http://schemas.openxmlformats.org/officeDocument/2006/relationships/hyperlink" Target="https://drive.google.com/drive/search?q=parent:1VmyDEdY-rZ9IfPP9oyBpoZpjcDWGggJR%20%22SP-185-Highlands%20Conservancy.pdf%22" TargetMode="External"/><Relationship Id="rId188" Type="http://schemas.openxmlformats.org/officeDocument/2006/relationships/hyperlink" Target="https://drive.google.com/drive/search?q=parent:1VmyDEdY-rZ9IfPP9oyBpoZpjcDWGggJR%20%22SP-184-Shipbuilders%20Council%20of%20Am%20v%20US%20Coast%20Guard.pdf%22" TargetMode="External"/><Relationship Id="rId31" Type="http://schemas.openxmlformats.org/officeDocument/2006/relationships/hyperlink" Target="https://drive.google.com/drive/search?q=parent:1VmyDEdY-rZ9IfPP9oyBpoZpjcDWGggJR%20%22SP-028-73a%20CJS.pdf%22" TargetMode="External"/><Relationship Id="rId30" Type="http://schemas.openxmlformats.org/officeDocument/2006/relationships/hyperlink" Target="https://drive.google.com/drive/search?q=parent:1VmyDEdY-rZ9IfPP9oyBpoZpjcDWGggJR%20%22SP-027-Federal%20Practice%203903.pdf%22" TargetMode="External"/><Relationship Id="rId33" Type="http://schemas.openxmlformats.org/officeDocument/2006/relationships/hyperlink" Target="https://drive.google.com/drive/search?q=parent:1VmyDEdY-rZ9IfPP9oyBpoZpjcDWGggJR%20%22SP-030-Infra%20Notes%2039-51%20and%20Accompanying%20Text.pdf%22" TargetMode="External"/><Relationship Id="rId183" Type="http://schemas.openxmlformats.org/officeDocument/2006/relationships/hyperlink" Target="https://drive.google.com/drive/search?q=parent:1VmyDEdY-rZ9IfPP9oyBpoZpjcDWGggJR%20%22SP-179-Bey%20v%20City%20of%20New%20York.pdf%22" TargetMode="External"/><Relationship Id="rId32" Type="http://schemas.openxmlformats.org/officeDocument/2006/relationships/hyperlink" Target="https://drive.google.com/drive/search?q=parent:1VmyDEdY-rZ9IfPP9oyBpoZpjcDWGggJR%20%22SP-029-Fed%20Ct.pdf%22" TargetMode="External"/><Relationship Id="rId182" Type="http://schemas.openxmlformats.org/officeDocument/2006/relationships/hyperlink" Target="https://drive.google.com/drive/search?q=parent:1VmyDEdY-rZ9IfPP9oyBpoZpjcDWGggJR%20%22SP-178-Silver%20v%20Smith.pdf%22" TargetMode="External"/><Relationship Id="rId35" Type="http://schemas.openxmlformats.org/officeDocument/2006/relationships/hyperlink" Target="https://drive.google.com/drive/search?q=parent:1VmyDEdY-rZ9IfPP9oyBpoZpjcDWGggJR%20%22SP-032-Pueblo%20of%20Sandia%20v%20Babbitt.pdf%22" TargetMode="External"/><Relationship Id="rId181" Type="http://schemas.openxmlformats.org/officeDocument/2006/relationships/hyperlink" Target="https://drive.google.com/drive/search?q=parent:1VmyDEdY-rZ9IfPP9oyBpoZpjcDWGggJR%20%22SP-177-Perales%20v%20Sullivan.pdf%22" TargetMode="External"/><Relationship Id="rId34" Type="http://schemas.openxmlformats.org/officeDocument/2006/relationships/hyperlink" Target="https://drive.google.com/drive/search?q=parent:1VmyDEdY-rZ9IfPP9oyBpoZpjcDWGggJR%20%22SP-031-Infra%20Notes%2046-48%20and%20Accompanying%20Text.pdf%22" TargetMode="External"/><Relationship Id="rId180" Type="http://schemas.openxmlformats.org/officeDocument/2006/relationships/hyperlink" Target="https://drive.google.com/drive/search?q=parent:1VmyDEdY-rZ9IfPP9oyBpoZpjcDWGggJR%20%22SP-176-Littlefield%20v%20Mashpee%20Wampanoag%20Indian%20Tribe.pdf%22" TargetMode="External"/><Relationship Id="rId37" Type="http://schemas.openxmlformats.org/officeDocument/2006/relationships/hyperlink" Target="https://drive.google.com/drive/search?q=parent:1VmyDEdY-rZ9IfPP9oyBpoZpjcDWGggJR%20%22SP-034-NY%20Legal%20Assistance%20GRP%20v%20Cardona.pdf%22" TargetMode="External"/><Relationship Id="rId176" Type="http://schemas.openxmlformats.org/officeDocument/2006/relationships/hyperlink" Target="https://drive.google.com/drive/search?q=parent:1VmyDEdY-rZ9IfPP9oyBpoZpjcDWGggJR%20%22SP-172-Limnia.pdf%22" TargetMode="External"/><Relationship Id="rId297" Type="http://schemas.openxmlformats.org/officeDocument/2006/relationships/hyperlink" Target="https://drive.google.com/drive/search?q=parent:1VmyDEdY-rZ9IfPP9oyBpoZpjcDWGggJR%20%22SP-289-Biden%20v%20Nebraska.pdf%22" TargetMode="External"/><Relationship Id="rId36" Type="http://schemas.openxmlformats.org/officeDocument/2006/relationships/hyperlink" Target="https://drive.google.com/drive/search?q=parent:1VmyDEdY-rZ9IfPP9oyBpoZpjcDWGggJR%20%22SP-033-CTR%20for%20Biological%20Diversity%20v%20Bureau%20of%20Land%20MGMT.pdf%22" TargetMode="External"/><Relationship Id="rId175" Type="http://schemas.openxmlformats.org/officeDocument/2006/relationships/hyperlink" Target="https://drive.google.com/drive/search?q=parent:1VmyDEdY-rZ9IfPP9oyBpoZpjcDWGggJR%20%22SP-171-Naacp.pdf%22" TargetMode="External"/><Relationship Id="rId296" Type="http://schemas.openxmlformats.org/officeDocument/2006/relationships/hyperlink" Target="https://drive.google.com/drive/search?q=parent:1VmyDEdY-rZ9IfPP9oyBpoZpjcDWGggJR%20%22SP-288-Securities%20and%20Exchange%20Comm'n%20v%20Jarkesy.pdf%22" TargetMode="External"/><Relationship Id="rId39" Type="http://schemas.openxmlformats.org/officeDocument/2006/relationships/hyperlink" Target="https://drive.google.com/drive/search?q=parent:1VmyDEdY-rZ9IfPP9oyBpoZpjcDWGggJR%20%22SP-036-Infra%20Notes%20193-194.pdf%22" TargetMode="External"/><Relationship Id="rId174" Type="http://schemas.openxmlformats.org/officeDocument/2006/relationships/hyperlink" Target="https://drive.google.com/drive/search?q=parent:1VmyDEdY-rZ9IfPP9oyBpoZpjcDWGggJR%20%22SP-170-Oceana.pdf%22" TargetMode="External"/><Relationship Id="rId295" Type="http://schemas.openxmlformats.org/officeDocument/2006/relationships/hyperlink" Target="https://drive.google.com/drive/search?q=parent:1VmyDEdY-rZ9IfPP9oyBpoZpjcDWGggJR%20%22SP-287-Kisor%20v%20Wilkie.pdf%22" TargetMode="External"/><Relationship Id="rId38" Type="http://schemas.openxmlformats.org/officeDocument/2006/relationships/hyperlink" Target="https://drive.google.com/drive/search?q=parent:1VmyDEdY-rZ9IfPP9oyBpoZpjcDWGggJR%20%22SP-035-Infra%20Notes%20132-192%20and%20Accompanying%20Text.pdf%22" TargetMode="External"/><Relationship Id="rId173" Type="http://schemas.openxmlformats.org/officeDocument/2006/relationships/hyperlink" Target="https://drive.google.com/drive/search?q=parent:1VmyDEdY-rZ9IfPP9oyBpoZpjcDWGggJR%20%22SP-169-Lake%20Pilots%20Ass'n%20v%20US%20Coast%20Guard.pdf%22" TargetMode="External"/><Relationship Id="rId294" Type="http://schemas.openxmlformats.org/officeDocument/2006/relationships/hyperlink" Target="https://drive.google.com/drive/search?q=parent:1VmyDEdY-rZ9IfPP9oyBpoZpjcDWGggJR%20%22SP-286-Seven%20County%20Infrastructure%20Coalition%20v%20Eagle%20County.pdf%22" TargetMode="External"/><Relationship Id="rId179" Type="http://schemas.openxmlformats.org/officeDocument/2006/relationships/hyperlink" Target="https://drive.google.com/drive/search?q=parent:1VmyDEdY-rZ9IfPP9oyBpoZpjcDWGggJR%20%22SP-175-Supra%20Note%20138.pdf%22" TargetMode="External"/><Relationship Id="rId178" Type="http://schemas.openxmlformats.org/officeDocument/2006/relationships/hyperlink" Target="https://drive.google.com/drive/search?q=parent:1VmyDEdY-rZ9IfPP9oyBpoZpjcDWGggJR%20%22SP-174-Koyo%20Seiko%20Co%20v%20United%20States.pdf%22" TargetMode="External"/><Relationship Id="rId299" Type="http://schemas.openxmlformats.org/officeDocument/2006/relationships/hyperlink" Target="https://drive.google.com/drive/search?q=parent:1VmyDEdY-rZ9IfPP9oyBpoZpjcDWGggJR%20%22SP-291-Alabama%20Ass'n%20of%20Realtors%20v%20Dep't%20of%20Health%20and%20Human%20Servs.pdf%22" TargetMode="External"/><Relationship Id="rId177" Type="http://schemas.openxmlformats.org/officeDocument/2006/relationships/hyperlink" Target="https://drive.google.com/drive/search?q=parent:1VmyDEdY-rZ9IfPP9oyBpoZpjcDWGggJR%20%22SP-173-Am%20Haw%20Cruises%20v%20Skinner.pdf%22" TargetMode="External"/><Relationship Id="rId298" Type="http://schemas.openxmlformats.org/officeDocument/2006/relationships/hyperlink" Target="https://drive.google.com/drive/search?q=parent:1VmyDEdY-rZ9IfPP9oyBpoZpjcDWGggJR%20%22SP-290-W%20Va%20v%20Env't%20Prot%20Agency.pdf%22" TargetMode="External"/><Relationship Id="rId20" Type="http://schemas.openxmlformats.org/officeDocument/2006/relationships/hyperlink" Target="https://drive.google.com/drive/search?q=parent:1VmyDEdY-rZ9IfPP9oyBpoZpjcDWGggJR%20%22SP-018-Jordan.pdf%22" TargetMode="External"/><Relationship Id="rId22" Type="http://schemas.openxmlformats.org/officeDocument/2006/relationships/hyperlink" Target="https://drive.google.com/drive/search?q=parent:1VmyDEdY-rZ9IfPP9oyBpoZpjcDWGggJR%20%22SP-020-Infra%20Notes%2089-97%20and%20Accompanying%20Text%20Pp%2017-19.pdf%22" TargetMode="External"/><Relationship Id="rId21" Type="http://schemas.openxmlformats.org/officeDocument/2006/relationships/hyperlink" Target="https://drive.google.com/drive/search?q=parent:1VmyDEdY-rZ9IfPP9oyBpoZpjcDWGggJR%20%22SP-019-Finkelstein.pdf%22" TargetMode="External"/><Relationship Id="rId24" Type="http://schemas.openxmlformats.org/officeDocument/2006/relationships/hyperlink" Target="https://drive.google.com/drive/search?q=parent:1VmyDEdY-rZ9IfPP9oyBpoZpjcDWGggJR%20%22SP-022-Lammon%20Dizzying.pdf%22" TargetMode="External"/><Relationship Id="rId23" Type="http://schemas.openxmlformats.org/officeDocument/2006/relationships/hyperlink" Target="https://drive.google.com/drive/search?q=parent:1VmyDEdY-rZ9IfPP9oyBpoZpjcDWGggJR%20%22SP-021-Lammon%20Appealability.pdf%22" TargetMode="External"/><Relationship Id="rId26" Type="http://schemas.openxmlformats.org/officeDocument/2006/relationships/hyperlink" Target="https://drive.google.com/drive/search?q=parent:1VmyDEdY-rZ9IfPP9oyBpoZpjcDWGggJR%20%22SP-024-Biever.pdf%22" TargetMode="External"/><Relationship Id="rId25" Type="http://schemas.openxmlformats.org/officeDocument/2006/relationships/hyperlink" Target="https://drive.google.com/drive/search?q=parent:1VmyDEdY-rZ9IfPP9oyBpoZpjcDWGggJR%20%22SP-023-Krent.pdf%22" TargetMode="External"/><Relationship Id="rId28" Type="http://schemas.openxmlformats.org/officeDocument/2006/relationships/hyperlink" Target="https://drive.google.com/drive/search?q=parent:1VmyDEdY-rZ9IfPP9oyBpoZpjcDWGggJR%20%22SP-025-Lynch.pdf%22" TargetMode="External"/><Relationship Id="rId27" Type="http://schemas.openxmlformats.org/officeDocument/2006/relationships/hyperlink" Target="https://www.fnrel.org/publications/bookstore/challenging-and-defending-federal-natural-resource-agency-decisions." TargetMode="External"/><Relationship Id="rId29" Type="http://schemas.openxmlformats.org/officeDocument/2006/relationships/hyperlink" Target="https://drive.google.com/drive/search?q=parent:1VmyDEdY-rZ9IfPP9oyBpoZpjcDWGggJR%20%22SP-026-Federal%20Practice%203914%2032.pdf%22" TargetMode="External"/><Relationship Id="rId11" Type="http://schemas.openxmlformats.org/officeDocument/2006/relationships/hyperlink" Target="https://drive.google.com/drive/search?q=parent:1VmyDEdY-rZ9IfPP9oyBpoZpjcDWGggJR%20%22SP-009-Infra%20Part%20IB.pdf%22" TargetMode="External"/><Relationship Id="rId10" Type="http://schemas.openxmlformats.org/officeDocument/2006/relationships/hyperlink" Target="https://drive.google.com/drive/search?q=parent:1VmyDEdY-rZ9IfPP9oyBpoZpjcDWGggJR%20%22SP-008-Alsea%20Valley%20Alliance%20v%20Dep't%20of%20Commerce.pdf%22" TargetMode="External"/><Relationship Id="rId13" Type="http://schemas.openxmlformats.org/officeDocument/2006/relationships/hyperlink" Target="https://drive.google.com/drive/search?q=parent:1VmyDEdY-rZ9IfPP9oyBpoZpjcDWGggJR%20%22SP-011-Denver%20Cnty.pdf%22" TargetMode="External"/><Relationship Id="rId12" Type="http://schemas.openxmlformats.org/officeDocument/2006/relationships/hyperlink" Target="https://drive.google.com/drive/search?q=parent:1VmyDEdY-rZ9IfPP9oyBpoZpjcDWGggJR%20%22SP-010-Infra%20Note%2023.pdf%22" TargetMode="External"/><Relationship Id="rId15" Type="http://schemas.openxmlformats.org/officeDocument/2006/relationships/hyperlink" Target="https://drive.google.com/drive/search?q=parent:1VmyDEdY-rZ9IfPP9oyBpoZpjcDWGggJR%20%22SP-013-Dcor.pdf%22" TargetMode="External"/><Relationship Id="rId198" Type="http://schemas.openxmlformats.org/officeDocument/2006/relationships/hyperlink" Target="https://drive.google.com/drive/search?q=parent:1VmyDEdY-rZ9IfPP9oyBpoZpjcDWGggJR%20%22SP-194-Local%201982.pdf%22" TargetMode="External"/><Relationship Id="rId14" Type="http://schemas.openxmlformats.org/officeDocument/2006/relationships/hyperlink" Target="https://drive.google.com/drive/search?q=parent:1VmyDEdY-rZ9IfPP9oyBpoZpjcDWGggJR%20%22SP-012-Montana%20Env't%20Info%20CTR.pdf%22" TargetMode="External"/><Relationship Id="rId197" Type="http://schemas.openxmlformats.org/officeDocument/2006/relationships/hyperlink" Target="https://drive.google.com/drive/search?q=parent:1VmyDEdY-rZ9IfPP9oyBpoZpjcDWGggJR%20%22SP-193-Ackerman%20v%20US%20Dep't%20of%20Agric.pdf%22" TargetMode="External"/><Relationship Id="rId17" Type="http://schemas.openxmlformats.org/officeDocument/2006/relationships/hyperlink" Target="https://drive.google.com/drive/search?q=parent:1VmyDEdY-rZ9IfPP9oyBpoZpjcDWGggJR%20%22SP-015-Michaels.pdf%22" TargetMode="External"/><Relationship Id="rId196" Type="http://schemas.openxmlformats.org/officeDocument/2006/relationships/hyperlink" Target="https://drive.google.com/drive/search?q=parent:1VmyDEdY-rZ9IfPP9oyBpoZpjcDWGggJR%20%22SP-192-Schuck%20v%20Frank.pdf%22" TargetMode="External"/><Relationship Id="rId16" Type="http://schemas.openxmlformats.org/officeDocument/2006/relationships/hyperlink" Target="https://drive.google.com/drive/search?q=parent:1VmyDEdY-rZ9IfPP9oyBpoZpjcDWGggJR%20%22SP-014-Infra%20Part%20I.pdf%22" TargetMode="External"/><Relationship Id="rId195" Type="http://schemas.openxmlformats.org/officeDocument/2006/relationships/hyperlink" Target="https://drive.google.com/drive/search?q=parent:1VmyDEdY-rZ9IfPP9oyBpoZpjcDWGggJR%20%22SP-191-BNSF%20Ry%20Co%20v%20Am%20Train%20Dispatchers%20Ass'n.pdf%22" TargetMode="External"/><Relationship Id="rId19" Type="http://schemas.openxmlformats.org/officeDocument/2006/relationships/hyperlink" Target="https://drive.google.com/drive/search?q=parent:1VmyDEdY-rZ9IfPP9oyBpoZpjcDWGggJR%20%22SP-017-Ho.pdf%22" TargetMode="External"/><Relationship Id="rId18" Type="http://schemas.openxmlformats.org/officeDocument/2006/relationships/hyperlink" Target="https://drive.google.com/drive/search?q=parent:1VmyDEdY-rZ9IfPP9oyBpoZpjcDWGggJR%20%22SP-016-Developments.pdf%22" TargetMode="External"/><Relationship Id="rId199" Type="http://schemas.openxmlformats.org/officeDocument/2006/relationships/hyperlink" Target="https://drive.google.com/drive/search?q=parent:1VmyDEdY-rZ9IfPP9oyBpoZpjcDWGggJR%20%22SP-195-Matter.pdf%22" TargetMode="External"/><Relationship Id="rId84" Type="http://schemas.openxmlformats.org/officeDocument/2006/relationships/hyperlink" Target="https://drive.google.com/drive/search?q=parent:1VmyDEdY-rZ9IfPP9oyBpoZpjcDWGggJR%20%22SP-080-Microsoft%20Corp%20v%20Baker.pdf%22" TargetMode="External"/><Relationship Id="rId83" Type="http://schemas.openxmlformats.org/officeDocument/2006/relationships/hyperlink" Target="https://drive.google.com/drive/search?q=parent:1VmyDEdY-rZ9IfPP9oyBpoZpjcDWGggJR%20%22SP-079-Federal%20Practice%203907.pdf%22" TargetMode="External"/><Relationship Id="rId86" Type="http://schemas.openxmlformats.org/officeDocument/2006/relationships/hyperlink" Target="https://drive.google.com/drive/search?q=parent:1VmyDEdY-rZ9IfPP9oyBpoZpjcDWGggJR%20%22SP-082-Johnson%20v%20Jones.pdf%22" TargetMode="External"/><Relationship Id="rId85" Type="http://schemas.openxmlformats.org/officeDocument/2006/relationships/hyperlink" Target="https://drive.google.com/drive/search?q=parent:1VmyDEdY-rZ9IfPP9oyBpoZpjcDWGggJR%20%22SP-081-Mohawk.pdf%22" TargetMode="External"/><Relationship Id="rId88" Type="http://schemas.openxmlformats.org/officeDocument/2006/relationships/hyperlink" Target="https://drive.google.com/drive/search?q=parent:1VmyDEdY-rZ9IfPP9oyBpoZpjcDWGggJR%20%22SP-084-Lammon%20Disarming.pdf%22" TargetMode="External"/><Relationship Id="rId150" Type="http://schemas.openxmlformats.org/officeDocument/2006/relationships/hyperlink" Target="https://drive.google.com/drive/search?q=parent:1VmyDEdY-rZ9IfPP9oyBpoZpjcDWGggJR%20%22SP-146-Occidental%20Petroleum%20Corp.pdf%22" TargetMode="External"/><Relationship Id="rId271" Type="http://schemas.openxmlformats.org/officeDocument/2006/relationships/hyperlink" Target="https://drive.google.com/drive/search?q=parent:1VmyDEdY-rZ9IfPP9oyBpoZpjcDWGggJR%20%22SP-263-Desert%20Survivors%20v%20United%20States%20Dep't%20of%20the%20Interior.pdf%22" TargetMode="External"/><Relationship Id="rId87" Type="http://schemas.openxmlformats.org/officeDocument/2006/relationships/hyperlink" Target="https://drive.google.com/drive/search?q=parent:1VmyDEdY-rZ9IfPP9oyBpoZpjcDWGggJR%20%22SP-083-Di%20Bella%20v%20United%20States.pdf%22" TargetMode="External"/><Relationship Id="rId270" Type="http://schemas.openxmlformats.org/officeDocument/2006/relationships/hyperlink" Target="https://drive.google.com/drive/search?q=parent:1VmyDEdY-rZ9IfPP9oyBpoZpjcDWGggJR%20%22SP-262-Supra%20Notes%20184-185%20and%20Accompanying%20Text.pdf%22" TargetMode="External"/><Relationship Id="rId89" Type="http://schemas.openxmlformats.org/officeDocument/2006/relationships/hyperlink" Target="https://drive.google.com/drive/search?q=parent:1VmyDEdY-rZ9IfPP9oyBpoZpjcDWGggJR%20%22SP-085-Frank.pdf%22" TargetMode="External"/><Relationship Id="rId80" Type="http://schemas.openxmlformats.org/officeDocument/2006/relationships/hyperlink" Target="https://drive.google.com/drive/search?q=parent:1VmyDEdY-rZ9IfPP9oyBpoZpjcDWGggJR%20%22SP-076-Katz%20v%20Carte%20Blanche%20Corp.pdf%22" TargetMode="External"/><Relationship Id="rId82" Type="http://schemas.openxmlformats.org/officeDocument/2006/relationships/hyperlink" Target="https://drive.google.com/drive/search?q=parent:1VmyDEdY-rZ9IfPP9oyBpoZpjcDWGggJR%20%22SP-078-Cobbledick.pdf%22" TargetMode="External"/><Relationship Id="rId81" Type="http://schemas.openxmlformats.org/officeDocument/2006/relationships/hyperlink" Target="https://drive.google.com/drive/search?q=parent:1VmyDEdY-rZ9IfPP9oyBpoZpjcDWGggJR%20%22SP-077-P.%20Law%2079.pdf%22" TargetMode="External"/><Relationship Id="rId1" Type="http://schemas.openxmlformats.org/officeDocument/2006/relationships/hyperlink" Target="https://drive.google.com/drive/search?q=parent:1VmyDEdY-rZ9IfPP9oyBpoZpjcDWGggJR%20%22SP-001-Tortorich.pdf%22" TargetMode="External"/><Relationship Id="rId2" Type="http://schemas.openxmlformats.org/officeDocument/2006/relationships/hyperlink" Target="https://drive.google.com/drive/search?q=parent:1VmyDEdY-rZ9IfPP9oyBpoZpjcDWGggJR%20%22SP-002-Munson.pdf%22" TargetMode="External"/><Relationship Id="rId3" Type="http://schemas.openxmlformats.org/officeDocument/2006/relationships/hyperlink" Target="https://www.fs.usda.gov/Internet/FSE_DOCUMENTS/stelprdb5294291.pdf." TargetMode="External"/><Relationship Id="rId149" Type="http://schemas.openxmlformats.org/officeDocument/2006/relationships/hyperlink" Target="https://drive.google.com/drive/search?q=parent:1VmyDEdY-rZ9IfPP9oyBpoZpjcDWGggJR%20%22SP-145-Giordano%20v%20Roudebush.pdf%22" TargetMode="External"/><Relationship Id="rId4" Type="http://schemas.openxmlformats.org/officeDocument/2006/relationships/hyperlink" Target="https://drive.google.com/drive/search?q=parent:1VmyDEdY-rZ9IfPP9oyBpoZpjcDWGggJR%20%22SP-003-Hope%20Valley%20Recreation.pdf%22" TargetMode="External"/><Relationship Id="rId148" Type="http://schemas.openxmlformats.org/officeDocument/2006/relationships/hyperlink" Target="https://drive.google.com/drive/search?q=parent:1VmyDEdY-rZ9IfPP9oyBpoZpjcDWGggJR%20%22SP-144-Eluska%20v%20Andrus.pdf%22" TargetMode="External"/><Relationship Id="rId269" Type="http://schemas.openxmlformats.org/officeDocument/2006/relationships/hyperlink" Target="https://drive.google.com/drive/search?q=parent:1VmyDEdY-rZ9IfPP9oyBpoZpjcDWGggJR%20%22SP-261-USDA.pdf%22" TargetMode="External"/><Relationship Id="rId9" Type="http://schemas.openxmlformats.org/officeDocument/2006/relationships/hyperlink" Target="https://drive.google.com/drive/search?q=parent:1VmyDEdY-rZ9IfPP9oyBpoZpjcDWGggJR%20%22SP-007-Infra%20Notes%20113,%20151-153.pdf%22" TargetMode="External"/><Relationship Id="rId143" Type="http://schemas.openxmlformats.org/officeDocument/2006/relationships/hyperlink" Target="https://drive.google.com/drive/search?q=parent:1VmyDEdY-rZ9IfPP9oyBpoZpjcDWGggJR%20%22SP-139-United%20States%20v%20Alcon%20Labs.pdf%22" TargetMode="External"/><Relationship Id="rId264" Type="http://schemas.openxmlformats.org/officeDocument/2006/relationships/hyperlink" Target="https://drive.google.com/drive/search?q=parent:1VmyDEdY-rZ9IfPP9oyBpoZpjcDWGggJR%20%22SP-257-Brief.pdf%22" TargetMode="External"/><Relationship Id="rId142" Type="http://schemas.openxmlformats.org/officeDocument/2006/relationships/hyperlink" Target="https://drive.google.com/drive/search?q=parent:1VmyDEdY-rZ9IfPP9oyBpoZpjcDWGggJR%20%22SP-138-Stone%20v%20Heckler.pdf%22" TargetMode="External"/><Relationship Id="rId263" Type="http://schemas.openxmlformats.org/officeDocument/2006/relationships/hyperlink" Target="https://drive.google.com/drive/search?q=parent:1VmyDEdY-rZ9IfPP9oyBpoZpjcDWGggJR%20%22SP-256-Infra%20Notes%20244-250%20and%20Accompanying%20Text.pdf%22" TargetMode="External"/><Relationship Id="rId141" Type="http://schemas.openxmlformats.org/officeDocument/2006/relationships/hyperlink" Target="https://drive.google.com/drive/search?q=parent:1VmyDEdY-rZ9IfPP9oyBpoZpjcDWGggJR%20%22SP-137-Bender%20v%20Clark.pdf%22" TargetMode="External"/><Relationship Id="rId262" Type="http://schemas.openxmlformats.org/officeDocument/2006/relationships/hyperlink" Target="https://drive.google.com/drive/search?q=parent:1VmyDEdY-rZ9IfPP9oyBpoZpjcDWGggJR%20%22SP-255-Complaint.pdf%22" TargetMode="External"/><Relationship Id="rId140" Type="http://schemas.openxmlformats.org/officeDocument/2006/relationships/hyperlink" Target="https://drive.google.com/drive/search?q=parent:1VmyDEdY-rZ9IfPP9oyBpoZpjcDWGggJR%20%22SP-136-Good%20Samaritan%20Hosp%20v%20Shalala.pdf%22" TargetMode="External"/><Relationship Id="rId261" Type="http://schemas.openxmlformats.org/officeDocument/2006/relationships/hyperlink" Target="https://drive.google.com/drive/search?q=parent:1VmyDEdY-rZ9IfPP9oyBpoZpjcDWGggJR%20%22SP-254-42%20USC%204321.pdf%22" TargetMode="External"/><Relationship Id="rId5" Type="http://schemas.openxmlformats.org/officeDocument/2006/relationships/hyperlink" Target="https://www.fs.usda.gov/r04/humboldt-toiyabe/recreation/hope-valley-sno-parktrailhead." TargetMode="External"/><Relationship Id="rId147" Type="http://schemas.openxmlformats.org/officeDocument/2006/relationships/hyperlink" Target="https://drive.google.com/drive/search?q=parent:1VmyDEdY-rZ9IfPP9oyBpoZpjcDWGggJR%20%22SP-143-Farr%20v%20Heckler.pdf%22" TargetMode="External"/><Relationship Id="rId268" Type="http://schemas.openxmlformats.org/officeDocument/2006/relationships/hyperlink" Target="https://drive.google.com/drive/search?q=parent:1VmyDEdY-rZ9IfPP9oyBpoZpjcDWGggJR%20%22SP-260-Friends%202007.pdf%22" TargetMode="External"/><Relationship Id="rId6" Type="http://schemas.openxmlformats.org/officeDocument/2006/relationships/hyperlink" Target="https://drive.google.com/drive/search?q=parent:1VmyDEdY-rZ9IfPP9oyBpoZpjcDWGggJR%20%22SP-004-Memorandum.pdf%22" TargetMode="External"/><Relationship Id="rId146" Type="http://schemas.openxmlformats.org/officeDocument/2006/relationships/hyperlink" Target="https://drive.google.com/drive/search?q=parent:1VmyDEdY-rZ9IfPP9oyBpoZpjcDWGggJR%20%22SP-142-Mem'l%20Hosp%20Sys%20v%20Heckler.pdf%22" TargetMode="External"/><Relationship Id="rId267" Type="http://schemas.openxmlformats.org/officeDocument/2006/relationships/hyperlink" Target="https://www.fohvos.info/newsletter/" TargetMode="External"/><Relationship Id="rId7" Type="http://schemas.openxmlformats.org/officeDocument/2006/relationships/hyperlink" Target="https://drive.google.com/drive/search?q=parent:1VmyDEdY-rZ9IfPP9oyBpoZpjcDWGggJR%20%22SP-005-Friends%20of%20Hope%20Valley%20v%20US%20Forest%20Service.pdf%22" TargetMode="External"/><Relationship Id="rId145" Type="http://schemas.openxmlformats.org/officeDocument/2006/relationships/hyperlink" Target="https://drive.google.com/drive/search?q=parent:1VmyDEdY-rZ9IfPP9oyBpoZpjcDWGggJR%20%22SP-141-Jeannette%20Sheet%20Glass%20Corp%20v%20United%20States.pdf%22" TargetMode="External"/><Relationship Id="rId266" Type="http://schemas.openxmlformats.org/officeDocument/2006/relationships/hyperlink" Target="https://drive.google.com/drive/search?q=parent:1VmyDEdY-rZ9IfPP9oyBpoZpjcDWGggJR%20%22SP-259-Friends%202008.pdf%22" TargetMode="External"/><Relationship Id="rId8" Type="http://schemas.openxmlformats.org/officeDocument/2006/relationships/hyperlink" Target="https://drive.google.com/drive/search?q=parent:1VmyDEdY-rZ9IfPP9oyBpoZpjcDWGggJR%20%22SP-006-APA.pdf%22" TargetMode="External"/><Relationship Id="rId144" Type="http://schemas.openxmlformats.org/officeDocument/2006/relationships/hyperlink" Target="https://drive.google.com/drive/search?q=parent:1VmyDEdY-rZ9IfPP9oyBpoZpjcDWGggJR%20%22SP-140-Mall.pdf%22" TargetMode="External"/><Relationship Id="rId265" Type="http://schemas.openxmlformats.org/officeDocument/2006/relationships/hyperlink" Target="https://drive.google.com/drive/search?q=parent:1VmyDEdY-rZ9IfPP9oyBpoZpjcDWGggJR%20%22SP-258-FONSI.pdf%22" TargetMode="External"/><Relationship Id="rId73" Type="http://schemas.openxmlformats.org/officeDocument/2006/relationships/hyperlink" Target="https://drive.google.com/drive/search?q=parent:1VmyDEdY-rZ9IfPP9oyBpoZpjcDWGggJR%20%22SP-069-Vista.pdf%22" TargetMode="External"/><Relationship Id="rId72" Type="http://schemas.openxmlformats.org/officeDocument/2006/relationships/hyperlink" Target="https://drive.google.com/drive/search?q=parent:1VmyDEdY-rZ9IfPP9oyBpoZpjcDWGggJR%20%22SP-068-Pauly%20v%20US%20Dept%20of%20Agri.pdf%22" TargetMode="External"/><Relationship Id="rId75" Type="http://schemas.openxmlformats.org/officeDocument/2006/relationships/hyperlink" Target="https://drive.google.com/drive/search?q=parent:1VmyDEdY-rZ9IfPP9oyBpoZpjcDWGggJR%20%22SP-071-Federal%20Practice%203906.pdf%22" TargetMode="External"/><Relationship Id="rId74" Type="http://schemas.openxmlformats.org/officeDocument/2006/relationships/hyperlink" Target="https://drive.google.com/drive/search?q=parent:1VmyDEdY-rZ9IfPP9oyBpoZpjcDWGggJR%20%22SP-070-Act%20of%20Sept%2024.pdf%22" TargetMode="External"/><Relationship Id="rId77" Type="http://schemas.openxmlformats.org/officeDocument/2006/relationships/hyperlink" Target="https://drive.google.com/drive/search?q=parent:1VmyDEdY-rZ9IfPP9oyBpoZpjcDWGggJR%20%22SP-073-Catlin%20v%20United%20States.pdf%22" TargetMode="External"/><Relationship Id="rId260" Type="http://schemas.openxmlformats.org/officeDocument/2006/relationships/hyperlink" Target="https://drive.google.com/drive/search?q=parent:1VmyDEdY-rZ9IfPP9oyBpoZpjcDWGggJR%20%22SP-253-Associated.pdf%22" TargetMode="External"/><Relationship Id="rId76" Type="http://schemas.openxmlformats.org/officeDocument/2006/relationships/hyperlink" Target="https://drive.google.com/drive/search?q=parent:1VmyDEdY-rZ9IfPP9oyBpoZpjcDWGggJR%20%22SP-072-Metcalfe.pdf%22" TargetMode="External"/><Relationship Id="rId79" Type="http://schemas.openxmlformats.org/officeDocument/2006/relationships/hyperlink" Target="https://drive.google.com/drive/search?q=parent:1VmyDEdY-rZ9IfPP9oyBpoZpjcDWGggJR%20%22SP-075-Bachowski%20v%20Usery.pdf%22" TargetMode="External"/><Relationship Id="rId78" Type="http://schemas.openxmlformats.org/officeDocument/2006/relationships/hyperlink" Target="https://drive.google.com/drive/search?q=parent:1VmyDEdY-rZ9IfPP9oyBpoZpjcDWGggJR%20%22SP-074-62%20Stat.pdf%22" TargetMode="External"/><Relationship Id="rId71" Type="http://schemas.openxmlformats.org/officeDocument/2006/relationships/hyperlink" Target="https://drive.google.com/drive/search?q=parent:1VmyDEdY-rZ9IfPP9oyBpoZpjcDWGggJR%20%22SP-067-Mendoza.pdf%22" TargetMode="External"/><Relationship Id="rId70" Type="http://schemas.openxmlformats.org/officeDocument/2006/relationships/hyperlink" Target="https://drive.google.com/drive/search?q=parent:1VmyDEdY-rZ9IfPP9oyBpoZpjcDWGggJR%20%22SP-066-Friendly.pdf%22" TargetMode="External"/><Relationship Id="rId139" Type="http://schemas.openxmlformats.org/officeDocument/2006/relationships/hyperlink" Target="https://drive.google.com/drive/search?q=parent:1VmyDEdY-rZ9IfPP9oyBpoZpjcDWGggJR%20%22SP-135-Regents%20of%20the%20Univ%20of%20Calif%20v%20Heckler.pdf%22" TargetMode="External"/><Relationship Id="rId138" Type="http://schemas.openxmlformats.org/officeDocument/2006/relationships/hyperlink" Target="https://drive.google.com/drive/search?q=parent:1VmyDEdY-rZ9IfPP9oyBpoZpjcDWGggJR%20%22SP-134-Huie%20v%20Bowen.pdf%22" TargetMode="External"/><Relationship Id="rId259" Type="http://schemas.openxmlformats.org/officeDocument/2006/relationships/hyperlink" Target="https://www.tahoedailytribune.com/news/latest-snowmobile-debate-centers-on-small-california-road/" TargetMode="External"/><Relationship Id="rId137" Type="http://schemas.openxmlformats.org/officeDocument/2006/relationships/hyperlink" Target="https://drive.google.com/drive/search?q=parent:1VmyDEdY-rZ9IfPP9oyBpoZpjcDWGggJR%20%22SP-133-Aja%20Assocs%20v%20Army%20Corps%20of%20Eng'rs.pdf%22" TargetMode="External"/><Relationship Id="rId258" Type="http://schemas.openxmlformats.org/officeDocument/2006/relationships/hyperlink" Target="https://drive.google.com/drive/search?q=parent:1VmyDEdY-rZ9IfPP9oyBpoZpjcDWGggJR%20%22SP-252-Hilary.pdf%22" TargetMode="External"/><Relationship Id="rId132" Type="http://schemas.openxmlformats.org/officeDocument/2006/relationships/hyperlink" Target="https://drive.google.com/drive/search?q=parent:1VmyDEdY-rZ9IfPP9oyBpoZpjcDWGggJR%20%22SP-128-Cabot%20Corp%20v%20United%20States.pdf%22" TargetMode="External"/><Relationship Id="rId253" Type="http://schemas.openxmlformats.org/officeDocument/2006/relationships/hyperlink" Target="https://drive.google.com/drive/search?q=parent:1VmyDEdY-rZ9IfPP9oyBpoZpjcDWGggJR%20%22SP-249-M.pdf%22" TargetMode="External"/><Relationship Id="rId131" Type="http://schemas.openxmlformats.org/officeDocument/2006/relationships/hyperlink" Target="https://drive.google.com/drive/search?q=parent:1VmyDEdY-rZ9IfPP9oyBpoZpjcDWGggJR%20%22SP-127-Harper%20v%20Bowen.pdf%22" TargetMode="External"/><Relationship Id="rId252" Type="http://schemas.openxmlformats.org/officeDocument/2006/relationships/hyperlink" Target="https://drive.google.com/drive/search?q=parent:1VmyDEdY-rZ9IfPP9oyBpoZpjcDWGggJR%20%22SP-248-Barkow.pdf%22" TargetMode="External"/><Relationship Id="rId130" Type="http://schemas.openxmlformats.org/officeDocument/2006/relationships/hyperlink" Target="https://drive.google.com/drive/search?q=parent:1VmyDEdY-rZ9IfPP9oyBpoZpjcDWGggJR%20%22SP-126-Gueory%20v%20Hampton.pdf%22" TargetMode="External"/><Relationship Id="rId251" Type="http://schemas.openxmlformats.org/officeDocument/2006/relationships/hyperlink" Target="https://drive.google.com/drive/search?q=parent:1VmyDEdY-rZ9IfPP9oyBpoZpjcDWGggJR%20%22SP-247-Infra%20Notes%20273-277%20and%20Accompanying%20Text.pdf%22" TargetMode="External"/><Relationship Id="rId250" Type="http://schemas.openxmlformats.org/officeDocument/2006/relationships/hyperlink" Target="https://drive.google.com/drive/search?q=parent:1VmyDEdY-rZ9IfPP9oyBpoZpjcDWGggJR%20%22SP-246-Vertesch.pdf%22" TargetMode="External"/><Relationship Id="rId136" Type="http://schemas.openxmlformats.org/officeDocument/2006/relationships/hyperlink" Target="https://drive.google.com/drive/search?q=parent:1VmyDEdY-rZ9IfPP9oyBpoZpjcDWGggJR%20%22SP-132-Pierre%20v%20Rivkind.pdf%22" TargetMode="External"/><Relationship Id="rId257" Type="http://schemas.openxmlformats.org/officeDocument/2006/relationships/hyperlink" Target="https://winterwildlands.org/wp-content/uploads/2015/06/2015-Winter-Rec-Report.pdf" TargetMode="External"/><Relationship Id="rId135" Type="http://schemas.openxmlformats.org/officeDocument/2006/relationships/hyperlink" Target="https://drive.google.com/drive/search?q=parent:1VmyDEdY-rZ9IfPP9oyBpoZpjcDWGggJR%20%22SP-131-Doughty%20v%20Bowen.pdf%22" TargetMode="External"/><Relationship Id="rId256" Type="http://schemas.openxmlformats.org/officeDocument/2006/relationships/hyperlink" Target="https://drive.google.com/drive/search?q=parent:1VmyDEdY-rZ9IfPP9oyBpoZpjcDWGggJR%20%22SP-251-Prusak.pdf%22" TargetMode="External"/><Relationship Id="rId134" Type="http://schemas.openxmlformats.org/officeDocument/2006/relationships/hyperlink" Target="https://drive.google.com/drive/search?q=parent:1VmyDEdY-rZ9IfPP9oyBpoZpjcDWGggJR%20%22SP-130-McCoy%20v%20Schweiker.pdf%22" TargetMode="External"/><Relationship Id="rId255" Type="http://schemas.openxmlformats.org/officeDocument/2006/relationships/hyperlink" Target="https://snowgoer.com/latest-news/exclusive-2022-snowmobile-sales-data-shows-winners-losers/30784/" TargetMode="External"/><Relationship Id="rId133" Type="http://schemas.openxmlformats.org/officeDocument/2006/relationships/hyperlink" Target="https://drive.google.com/drive/search?q=parent:1VmyDEdY-rZ9IfPP9oyBpoZpjcDWGggJR%20%22SP-129-Pauls%20v%20Sec'y%20of%20the%20Air%20Force.pdf%22" TargetMode="External"/><Relationship Id="rId254" Type="http://schemas.openxmlformats.org/officeDocument/2006/relationships/hyperlink" Target="https://drive.google.com/drive/search?q=parent:1VmyDEdY-rZ9IfPP9oyBpoZpjcDWGggJR%20%22SP-250-Farber.pdf%22" TargetMode="External"/><Relationship Id="rId62" Type="http://schemas.openxmlformats.org/officeDocument/2006/relationships/hyperlink" Target="https://drive.google.com/drive/search?q=parent:1VmyDEdY-rZ9IfPP9oyBpoZpjcDWGggJR%20%22SP-058-Wages%20and%20White%20Lion%20Invs.pdf%22" TargetMode="External"/><Relationship Id="rId61" Type="http://schemas.openxmlformats.org/officeDocument/2006/relationships/hyperlink" Target="https://drive.google.com/drive/search?q=parent:1VmyDEdY-rZ9IfPP9oyBpoZpjcDWGggJR%20%22SP-057-Chenery%20Corp.pdf%22" TargetMode="External"/><Relationship Id="rId64" Type="http://schemas.openxmlformats.org/officeDocument/2006/relationships/hyperlink" Target="https://drive.google.com/drive/search?q=parent:1VmyDEdY-rZ9IfPP9oyBpoZpjcDWGggJR%20%22SP-060-Walker%20Referral.pdf%22" TargetMode="External"/><Relationship Id="rId63" Type="http://schemas.openxmlformats.org/officeDocument/2006/relationships/hyperlink" Target="https://drive.google.com/drive/search?q=parent:1VmyDEdY-rZ9IfPP9oyBpoZpjcDWGggJR%20%22SP-059-Glicksman.pdf%22" TargetMode="External"/><Relationship Id="rId66" Type="http://schemas.openxmlformats.org/officeDocument/2006/relationships/hyperlink" Target="https://drive.google.com/drive/search?q=parent:1VmyDEdY-rZ9IfPP9oyBpoZpjcDWGggJR%20%22SP-062-Infra%20Notes%20257-261%20and%20Accompanying%20Text.pdf%22" TargetMode="External"/><Relationship Id="rId172" Type="http://schemas.openxmlformats.org/officeDocument/2006/relationships/hyperlink" Target="https://drive.google.com/drive/search?q=parent:1VmyDEdY-rZ9IfPP9oyBpoZpjcDWGggJR%20%22SP-168-NC%20Fisheries%20Ass'n%20v%20Gutierrez.pdf%22" TargetMode="External"/><Relationship Id="rId293" Type="http://schemas.openxmlformats.org/officeDocument/2006/relationships/hyperlink" Target="https://drive.google.com/drive/search?q=parent:1VmyDEdY-rZ9IfPP9oyBpoZpjcDWGggJR%20%22SP-285-Chevron.pdf%22" TargetMode="External"/><Relationship Id="rId65" Type="http://schemas.openxmlformats.org/officeDocument/2006/relationships/hyperlink" Target="https://drive.google.com/drive/search?q=parent:1VmyDEdY-rZ9IfPP9oyBpoZpjcDWGggJR%20%22SP-061-Walker%20Ordinary.pdf%22" TargetMode="External"/><Relationship Id="rId171" Type="http://schemas.openxmlformats.org/officeDocument/2006/relationships/hyperlink" Target="https://drive.google.com/drive/search?q=parent:1VmyDEdY-rZ9IfPP9oyBpoZpjcDWGggJR%20%22SP-167-N%20Air%20Cargo%20v%20US%20Postal%20Serv.pdf%22" TargetMode="External"/><Relationship Id="rId292" Type="http://schemas.openxmlformats.org/officeDocument/2006/relationships/hyperlink" Target="https://drive.google.com/drive/search?q=parent:1VmyDEdY-rZ9IfPP9oyBpoZpjcDWGggJR%20%22SP-284-Loper%20Bright%20Enterprises%20v%20Raimondo.pdf%22" TargetMode="External"/><Relationship Id="rId68" Type="http://schemas.openxmlformats.org/officeDocument/2006/relationships/hyperlink" Target="https://drive.google.com/drive/search?q=parent:1VmyDEdY-rZ9IfPP9oyBpoZpjcDWGggJR%20%22SP-064-Fine.pdf%22" TargetMode="External"/><Relationship Id="rId170" Type="http://schemas.openxmlformats.org/officeDocument/2006/relationships/hyperlink" Target="https://drive.google.com/drive/search?q=parent:1VmyDEdY-rZ9IfPP9oyBpoZpjcDWGggJR%20%22SP-166-Sierra%20Club%20v%20US%20Dep't%20of%20Agric.pdf%22" TargetMode="External"/><Relationship Id="rId291" Type="http://schemas.openxmlformats.org/officeDocument/2006/relationships/hyperlink" Target="https://drive.google.com/drive/search?q=parent:1VmyDEdY-rZ9IfPP9oyBpoZpjcDWGggJR%20%22SP-283-Supra%20Part%20ID%204.pdf%22" TargetMode="External"/><Relationship Id="rId67" Type="http://schemas.openxmlformats.org/officeDocument/2006/relationships/hyperlink" Target="https://drive.google.com/drive/search?q=parent:1VmyDEdY-rZ9IfPP9oyBpoZpjcDWGggJR%20%22SP-063-Revesz.pdf%22" TargetMode="External"/><Relationship Id="rId290" Type="http://schemas.openxmlformats.org/officeDocument/2006/relationships/hyperlink" Target="https://drive.google.com/drive/search?q=parent:1VmyDEdY-rZ9IfPP9oyBpoZpjcDWGggJR%20%22SP-282-Mergen.pdf%22" TargetMode="External"/><Relationship Id="rId60" Type="http://schemas.openxmlformats.org/officeDocument/2006/relationships/hyperlink" Target="https://drive.google.com/drive/search?q=parent:1VmyDEdY-rZ9IfPP9oyBpoZpjcDWGggJR%20%22SP-056-706.pdf%22" TargetMode="External"/><Relationship Id="rId165" Type="http://schemas.openxmlformats.org/officeDocument/2006/relationships/hyperlink" Target="https://drive.google.com/drive/search?q=parent:1VmyDEdY-rZ9IfPP9oyBpoZpjcDWGggJR%20%22SP-161-Howell.pdf%22" TargetMode="External"/><Relationship Id="rId286" Type="http://schemas.openxmlformats.org/officeDocument/2006/relationships/hyperlink" Target="https://drive.google.com/drive/search?q=parent:1VmyDEdY-rZ9IfPP9oyBpoZpjcDWGggJR%20%22SP-278-Supra%20Notes%20211-214%20and%20Accompanying%20Text.pdf%22" TargetMode="External"/><Relationship Id="rId69" Type="http://schemas.openxmlformats.org/officeDocument/2006/relationships/hyperlink" Target="https://drive.google.com/drive/search?q=parent:1VmyDEdY-rZ9IfPP9oyBpoZpjcDWGggJR%20%22SP-065-Motor%20Vehicle%20Mfrs.pdf%22" TargetMode="External"/><Relationship Id="rId164" Type="http://schemas.openxmlformats.org/officeDocument/2006/relationships/hyperlink" Target="https://drive.google.com/drive/search?q=parent:1VmyDEdY-rZ9IfPP9oyBpoZpjcDWGggJR%20%22SP-160-Paluso.pdf%22" TargetMode="External"/><Relationship Id="rId285" Type="http://schemas.openxmlformats.org/officeDocument/2006/relationships/hyperlink" Target="https://drive.google.com/drive/search?q=parent:1VmyDEdY-rZ9IfPP9oyBpoZpjcDWGggJR%20%22SP-277-Mont%20Wildlife%20Fed'n%20v%20Haaland.pdf%22" TargetMode="External"/><Relationship Id="rId163" Type="http://schemas.openxmlformats.org/officeDocument/2006/relationships/hyperlink" Target="https://drive.google.com/drive/search?q=parent:1VmyDEdY-rZ9IfPP9oyBpoZpjcDWGggJR%20%22SP-159-Billboard%20(1976).pdf%22" TargetMode="External"/><Relationship Id="rId284" Type="http://schemas.openxmlformats.org/officeDocument/2006/relationships/hyperlink" Target="https://drive.google.com/drive/search?q=parent:1VmyDEdY-rZ9IfPP9oyBpoZpjcDWGggJR%20%22SP-276-In%20Re%20Clean%20Water%20Act.pdf%22" TargetMode="External"/><Relationship Id="rId162" Type="http://schemas.openxmlformats.org/officeDocument/2006/relationships/hyperlink" Target="https://drive.google.com/drive/search?q=parent:1VmyDEdY-rZ9IfPP9oyBpoZpjcDWGggJR%20%22SP-158-Billboard%20(1987).pdf%22" TargetMode="External"/><Relationship Id="rId283" Type="http://schemas.openxmlformats.org/officeDocument/2006/relationships/hyperlink" Target="https://drive.google.com/drive/search?q=parent:1VmyDEdY-rZ9IfPP9oyBpoZpjcDWGggJR%20%22SP-275-53%20F%204th.pdf%22" TargetMode="External"/><Relationship Id="rId169" Type="http://schemas.openxmlformats.org/officeDocument/2006/relationships/hyperlink" Target="https://drive.google.com/drive/search?q=parent:1VmyDEdY-rZ9IfPP9oyBpoZpjcDWGggJR%20%22SP-165-Infra%20Note%20182%20and%20Accompanying%20Text.pdf%22" TargetMode="External"/><Relationship Id="rId168" Type="http://schemas.openxmlformats.org/officeDocument/2006/relationships/hyperlink" Target="https://drive.google.com/drive/search?q=parent:1VmyDEdY-rZ9IfPP9oyBpoZpjcDWGggJR%20%22SP-164-Infra%20Notes%20186-187%20and%20Accompanying%20Text.pdf%22" TargetMode="External"/><Relationship Id="rId289" Type="http://schemas.openxmlformats.org/officeDocument/2006/relationships/hyperlink" Target="https://drive.google.com/drive/search?q=parent:1VmyDEdY-rZ9IfPP9oyBpoZpjcDWGggJR%20%22SP-281-Supra%20Notes%20186-192.pdf%22" TargetMode="External"/><Relationship Id="rId167" Type="http://schemas.openxmlformats.org/officeDocument/2006/relationships/hyperlink" Target="https://drive.google.com/drive/search?q=parent:1VmyDEdY-rZ9IfPP9oyBpoZpjcDWGggJR%20%22SP-163-Infra%20Notes%20183-185%20and%20Accompanying%20Text.pdf%22" TargetMode="External"/><Relationship Id="rId288" Type="http://schemas.openxmlformats.org/officeDocument/2006/relationships/hyperlink" Target="https://drive.google.com/drive/search?q=parent:1VmyDEdY-rZ9IfPP9oyBpoZpjcDWGggJR%20%22SP-280-Thompson.pdf%22" TargetMode="External"/><Relationship Id="rId166" Type="http://schemas.openxmlformats.org/officeDocument/2006/relationships/hyperlink" Target="https://drive.google.com/drive/search?q=parent:1VmyDEdY-rZ9IfPP9oyBpoZpjcDWGggJR%20%22SP-162-Supra%20Note%2051%20and%20Accompanying%20Text.pdf%22" TargetMode="External"/><Relationship Id="rId287" Type="http://schemas.openxmlformats.org/officeDocument/2006/relationships/hyperlink" Target="https://drive.google.com/drive/search?q=parent:1VmyDEdY-rZ9IfPP9oyBpoZpjcDWGggJR%20%22SP-279-69%20F%204th.pdf%22" TargetMode="External"/><Relationship Id="rId51" Type="http://schemas.openxmlformats.org/officeDocument/2006/relationships/hyperlink" Target="http://uscourts.gov/" TargetMode="External"/><Relationship Id="rId50" Type="http://schemas.openxmlformats.org/officeDocument/2006/relationships/hyperlink" Target="https://drive.google.com/drive/search?q=parent:1VmyDEdY-rZ9IfPP9oyBpoZpjcDWGggJR%20%22SP-047-Federal%20Rule.pdf%22" TargetMode="External"/><Relationship Id="rId53" Type="http://schemas.openxmlformats.org/officeDocument/2006/relationships/hyperlink" Target="https://drive.google.com/drive/search?q=parent:1VmyDEdY-rZ9IfPP9oyBpoZpjcDWGggJR%20%22SP-049-Collord%20v%20US%20Dep't%20of%20the%20Interior.pdf%22" TargetMode="External"/><Relationship Id="rId52" Type="http://schemas.openxmlformats.org/officeDocument/2006/relationships/hyperlink" Target="https://drive.google.com/drive/search?q=parent:1VmyDEdY-rZ9IfPP9oyBpoZpjcDWGggJR%20%22SP-048-Infra%20Notes%20280.pdf%22" TargetMode="External"/><Relationship Id="rId55" Type="http://schemas.openxmlformats.org/officeDocument/2006/relationships/hyperlink" Target="https://drive.google.com/drive/search?q=parent:1VmyDEdY-rZ9IfPP9oyBpoZpjcDWGggJR%20%22SP-051-Crowder%20v%20Sullivan.pdf%22" TargetMode="External"/><Relationship Id="rId161" Type="http://schemas.openxmlformats.org/officeDocument/2006/relationships/hyperlink" Target="https://drive.google.com/drive/search?q=parent:1VmyDEdY-rZ9IfPP9oyBpoZpjcDWGggJR%20%22SP-157-Infra%20Notes%20134-194%20and%20Accompanying%20Text.pdf%22" TargetMode="External"/><Relationship Id="rId282" Type="http://schemas.openxmlformats.org/officeDocument/2006/relationships/hyperlink" Target="https://drive.google.com/drive/search?q=parent:1VmyDEdY-rZ9IfPP9oyBpoZpjcDWGggJR%20%22SP-274-Gersen.pdf%22" TargetMode="External"/><Relationship Id="rId54" Type="http://schemas.openxmlformats.org/officeDocument/2006/relationships/hyperlink" Target="https://drive.google.com/drive/search?q=parent:1VmyDEdY-rZ9IfPP9oyBpoZpjcDWGggJR%20%22SP-050-Infra%20Notes%20132-181.pdf%22" TargetMode="External"/><Relationship Id="rId160" Type="http://schemas.openxmlformats.org/officeDocument/2006/relationships/hyperlink" Target="https://drive.google.com/drive/search?q=parent:1VmyDEdY-rZ9IfPP9oyBpoZpjcDWGggJR%20%22SP-156-Infra%20Notes%20177.pdf%22" TargetMode="External"/><Relationship Id="rId281" Type="http://schemas.openxmlformats.org/officeDocument/2006/relationships/hyperlink" Target="https://drive.google.com/drive/search?q=parent:1VmyDEdY-rZ9IfPP9oyBpoZpjcDWGggJR%20%22SP-273-Cottonwood.pdf%22" TargetMode="External"/><Relationship Id="rId57" Type="http://schemas.openxmlformats.org/officeDocument/2006/relationships/hyperlink" Target="https://drive.google.com/drive/search?q=parent:1VmyDEdY-rZ9IfPP9oyBpoZpjcDWGggJR%20%22SP-053-Kreider.pdf%22" TargetMode="External"/><Relationship Id="rId280" Type="http://schemas.openxmlformats.org/officeDocument/2006/relationships/hyperlink" Target="https://drive.google.com/drive/search?q=parent:1VmyDEdY-rZ9IfPP9oyBpoZpjcDWGggJR%20%22SP-272-Camreta.pdf%22" TargetMode="External"/><Relationship Id="rId56" Type="http://schemas.openxmlformats.org/officeDocument/2006/relationships/hyperlink" Target="https://drive.google.com/drive/search?q=parent:1VmyDEdY-rZ9IfPP9oyBpoZpjcDWGggJR%20%22SP-052-Papotto.pdf%22" TargetMode="External"/><Relationship Id="rId159" Type="http://schemas.openxmlformats.org/officeDocument/2006/relationships/hyperlink" Target="https://drive.google.com/drive/search?q=parent:1VmyDEdY-rZ9IfPP9oyBpoZpjcDWGggJR%20%22SP-155-Cotton%20Petroleum%20Corp.pdf%22" TargetMode="External"/><Relationship Id="rId59" Type="http://schemas.openxmlformats.org/officeDocument/2006/relationships/hyperlink" Target="https://drive.google.com/drive/search?q=parent:1VmyDEdY-rZ9IfPP9oyBpoZpjcDWGggJR%20%22SP-055-Bagley.pdf%22" TargetMode="External"/><Relationship Id="rId154" Type="http://schemas.openxmlformats.org/officeDocument/2006/relationships/hyperlink" Target="https://drive.google.com/drive/search?q=parent:1VmyDEdY-rZ9IfPP9oyBpoZpjcDWGggJR%20%22SP-150-Mead%20v%20Reliastar%20Life%20Ins%20Co.pdf%22" TargetMode="External"/><Relationship Id="rId275" Type="http://schemas.openxmlformats.org/officeDocument/2006/relationships/hyperlink" Target="https://drive.google.com/drive/search?q=parent:1VmyDEdY-rZ9IfPP9oyBpoZpjcDWGggJR%20%22SP-267-Supra%20Notes%20219-223%20and%20Accompanying%20Text.pdf%22" TargetMode="External"/><Relationship Id="rId58" Type="http://schemas.openxmlformats.org/officeDocument/2006/relationships/hyperlink" Target="https://drive.google.com/drive/search?q=parent:1VmyDEdY-rZ9IfPP9oyBpoZpjcDWGggJR%20%22SP-054-Digital%20Equip%20Corp.pdf%22" TargetMode="External"/><Relationship Id="rId153" Type="http://schemas.openxmlformats.org/officeDocument/2006/relationships/hyperlink" Target="https://drive.google.com/drive/search?q=parent:1VmyDEdY-rZ9IfPP9oyBpoZpjcDWGggJR%20%22SP-149-Shapiro%20v%20Paradise%20Valley%20Unified%20SCH%20Dist.pdf%22" TargetMode="External"/><Relationship Id="rId274" Type="http://schemas.openxmlformats.org/officeDocument/2006/relationships/hyperlink" Target="https://drive.google.com/drive/search?q=parent:1VmyDEdY-rZ9IfPP9oyBpoZpjcDWGggJR%20%22SP-266-Supra%20Notes%20136-137%20and%20Accompanying%20Text.pdf%22" TargetMode="External"/><Relationship Id="rId152" Type="http://schemas.openxmlformats.org/officeDocument/2006/relationships/hyperlink" Target="https://drive.google.com/drive/search?q=parent:1VmyDEdY-rZ9IfPP9oyBpoZpjcDWGggJR%20%22SP-148-Cobb%20Cnty.pdf%22" TargetMode="External"/><Relationship Id="rId273" Type="http://schemas.openxmlformats.org/officeDocument/2006/relationships/hyperlink" Target="https://drive.google.com/drive/search?q=parent:1VmyDEdY-rZ9IfPP9oyBpoZpjcDWGggJR%20%22SP-265-Cherokee%20Nation.pdf%22" TargetMode="External"/><Relationship Id="rId151" Type="http://schemas.openxmlformats.org/officeDocument/2006/relationships/hyperlink" Target="https://drive.google.com/drive/search?q=parent:1VmyDEdY-rZ9IfPP9oyBpoZpjcDWGggJR%20%22SP-147-Individuals.pdf%22" TargetMode="External"/><Relationship Id="rId272" Type="http://schemas.openxmlformats.org/officeDocument/2006/relationships/hyperlink" Target="https://drive.google.com/drive/search?q=parent:1VmyDEdY-rZ9IfPP9oyBpoZpjcDWGggJR%20%22SP-264-Supra%20Notes%2035-38%20and%20Accompanying%20Text.pdf%22" TargetMode="External"/><Relationship Id="rId158" Type="http://schemas.openxmlformats.org/officeDocument/2006/relationships/hyperlink" Target="https://drive.google.com/drive/search?q=parent:1VmyDEdY-rZ9IfPP9oyBpoZpjcDWGggJR%20%22SP-154-Supra%20Notes%2098-115%20and%20Accompanying%20Text.pdf%22" TargetMode="External"/><Relationship Id="rId279" Type="http://schemas.openxmlformats.org/officeDocument/2006/relationships/hyperlink" Target="https://drive.google.com/drive/search?q=parent:1VmyDEdY-rZ9IfPP9oyBpoZpjcDWGggJR%20%22SP-271-NRDC.pdf%22" TargetMode="External"/><Relationship Id="rId157" Type="http://schemas.openxmlformats.org/officeDocument/2006/relationships/hyperlink" Target="https://drive.google.com/drive/search?q=parent:1VmyDEdY-rZ9IfPP9oyBpoZpjcDWGggJR%20%22SP-153-Nat'l%20Air%20Traffic%20Controllers.pdf%22" TargetMode="External"/><Relationship Id="rId278" Type="http://schemas.openxmlformats.org/officeDocument/2006/relationships/hyperlink" Target="https://drive.google.com/drive/search?q=parent:1VmyDEdY-rZ9IfPP9oyBpoZpjcDWGggJR%20%22SP-270-California%20v%20Rooney.pdf%22" TargetMode="External"/><Relationship Id="rId156" Type="http://schemas.openxmlformats.org/officeDocument/2006/relationships/hyperlink" Target="https://drive.google.com/drive/search?q=parent:1VmyDEdY-rZ9IfPP9oyBpoZpjcDWGggJR%20%22SP-152-Miami%20Tribe.pdf%22" TargetMode="External"/><Relationship Id="rId277" Type="http://schemas.openxmlformats.org/officeDocument/2006/relationships/hyperlink" Target="https://drive.google.com/drive/search?q=parent:1VmyDEdY-rZ9IfPP9oyBpoZpjcDWGggJR%20%22SP-269-Envtl%20Prot%20Info%20CTR%20v%20Pac%20Lumber%20Co.pdf%22" TargetMode="External"/><Relationship Id="rId155" Type="http://schemas.openxmlformats.org/officeDocument/2006/relationships/hyperlink" Target="https://drive.google.com/drive/search?q=parent:1VmyDEdY-rZ9IfPP9oyBpoZpjcDWGggJR%20%22SP-151-World%20Fuel%20Corp%20v%20Geithner.pdf%22" TargetMode="External"/><Relationship Id="rId276" Type="http://schemas.openxmlformats.org/officeDocument/2006/relationships/hyperlink" Target="https://drive.google.com/drive/search?q=parent:1VmyDEdY-rZ9IfPP9oyBpoZpjcDWGggJR%20%22SP-268-Deposit%20Guaranty%20Nat'l%20Bank%20v%20Roper.pdf%22" TargetMode="External"/><Relationship Id="rId107" Type="http://schemas.openxmlformats.org/officeDocument/2006/relationships/hyperlink" Target="https://drive.google.com/drive/search?q=parent:1VmyDEdY-rZ9IfPP9oyBpoZpjcDWGggJR%20%22SP-103-Dickinson%20v%20Petroleum%20Conversion%20Corp.pdf%22" TargetMode="External"/><Relationship Id="rId228" Type="http://schemas.openxmlformats.org/officeDocument/2006/relationships/hyperlink" Target="https://drive.google.com/drive/search?q=parent:1VmyDEdY-rZ9IfPP9oyBpoZpjcDWGggJR%20%22SP-224-Rocky%20MTN%20Unpublished.pdf%22" TargetMode="External"/><Relationship Id="rId106" Type="http://schemas.openxmlformats.org/officeDocument/2006/relationships/hyperlink" Target="https://drive.google.com/drive/search?q=parent:1VmyDEdY-rZ9IfPP9oyBpoZpjcDWGggJR%20%22SP-102-McGourkey%20v%20Toledo%20and%20Ohio%20CR%20Co.pdf%22" TargetMode="External"/><Relationship Id="rId227" Type="http://schemas.openxmlformats.org/officeDocument/2006/relationships/hyperlink" Target="https://drive.google.com/drive/search?q=parent:1VmyDEdY-rZ9IfPP9oyBpoZpjcDWGggJR%20%22SP-223-S%20Utah%20Wilderness%20Alliance%20v%20Kempthorne.pdf%22" TargetMode="External"/><Relationship Id="rId105" Type="http://schemas.openxmlformats.org/officeDocument/2006/relationships/hyperlink" Target="https://drive.google.com/drive/search?q=parent:1VmyDEdY-rZ9IfPP9oyBpoZpjcDWGggJR%20%22SP-101-417%20US.pdf%22" TargetMode="External"/><Relationship Id="rId226" Type="http://schemas.openxmlformats.org/officeDocument/2006/relationships/hyperlink" Target="https://drive.google.com/drive/search?q=parent:1VmyDEdY-rZ9IfPP9oyBpoZpjcDWGggJR%20%22SP-222-Merit.pdf%22" TargetMode="External"/><Relationship Id="rId104" Type="http://schemas.openxmlformats.org/officeDocument/2006/relationships/hyperlink" Target="https://drive.google.com/drive/search?q=parent:1VmyDEdY-rZ9IfPP9oyBpoZpjcDWGggJR%20%22SP-100-United%20States%20v%20General%20Motors%20Corp.pdf%22" TargetMode="External"/><Relationship Id="rId225" Type="http://schemas.openxmlformats.org/officeDocument/2006/relationships/hyperlink" Target="https://drive.google.com/drive/search?q=parent:1VmyDEdY-rZ9IfPP9oyBpoZpjcDWGggJR%20%22SP-221-Trout%20Unlimited%20v%20US%20Dep't%20of%20Agric.pdf%22" TargetMode="External"/><Relationship Id="rId109" Type="http://schemas.openxmlformats.org/officeDocument/2006/relationships/hyperlink" Target="https://drive.google.com/drive/search?q=parent:1VmyDEdY-rZ9IfPP9oyBpoZpjcDWGggJR%20%22SP-105-437%20US.pdf%22" TargetMode="External"/><Relationship Id="rId108" Type="http://schemas.openxmlformats.org/officeDocument/2006/relationships/hyperlink" Target="https://drive.google.com/drive/search?q=parent:1VmyDEdY-rZ9IfPP9oyBpoZpjcDWGggJR%20%22SP-104-In%20Re%20Long-Distance%20Tel%20Serv%20Fed%20Excise%20Tax%20Refund%20Litig.pdf%22" TargetMode="External"/><Relationship Id="rId229" Type="http://schemas.openxmlformats.org/officeDocument/2006/relationships/hyperlink" Target="https://drive.google.com/drive/search?q=parent:1VmyDEdY-rZ9IfPP9oyBpoZpjcDWGggJR%20%22SP-225-Dine%20Citizens%20Against%20Ruining%20Our%20Env't%20v%20Klein.pdf%22" TargetMode="External"/><Relationship Id="rId220" Type="http://schemas.openxmlformats.org/officeDocument/2006/relationships/hyperlink" Target="https://drive.google.com/drive/search?q=parent:1VmyDEdY-rZ9IfPP9oyBpoZpjcDWGggJR%20%22SP-216-W%20Energy%20Alliance.pdf%22" TargetMode="External"/><Relationship Id="rId341" Type="http://schemas.openxmlformats.org/officeDocument/2006/relationships/hyperlink" Target="https://drive.google.com/drive/search?q=parent:1VmyDEdY-rZ9IfPP9oyBpoZpjcDWGggJR%20%22SP-332-Washoe%20History.pdf%22" TargetMode="External"/><Relationship Id="rId340" Type="http://schemas.openxmlformats.org/officeDocument/2006/relationships/hyperlink" Target="https://www.fs.usda.gov/sites/nfs/files/legacy-media/laketahoebasin/Washoe%20History.pdf." TargetMode="External"/><Relationship Id="rId103" Type="http://schemas.openxmlformats.org/officeDocument/2006/relationships/hyperlink" Target="https://drive.google.com/drive/search?q=parent:1VmyDEdY-rZ9IfPP9oyBpoZpjcDWGggJR%20%22SP-099-Gillespie.pdf%22" TargetMode="External"/><Relationship Id="rId224" Type="http://schemas.openxmlformats.org/officeDocument/2006/relationships/hyperlink" Target="https://drive.google.com/drive/search?q=parent:1VmyDEdY-rZ9IfPP9oyBpoZpjcDWGggJR%20%22SP-220-Rocky%20MTN%20Wild%20v%20Dallas.pdf%22" TargetMode="External"/><Relationship Id="rId102" Type="http://schemas.openxmlformats.org/officeDocument/2006/relationships/hyperlink" Target="https://drive.google.com/drive/search?q=parent:1VmyDEdY-rZ9IfPP9oyBpoZpjcDWGggJR%20%22SP-098-Infra%20Notes%2098-194%20and%20Accompanying%20Text.pdf%22" TargetMode="External"/><Relationship Id="rId223" Type="http://schemas.openxmlformats.org/officeDocument/2006/relationships/hyperlink" Target="https://drive.google.com/drive/search?q=parent:1VmyDEdY-rZ9IfPP9oyBpoZpjcDWGggJR%20%22SP-219-New%20Mexico%20Health%20Connections%20v%20US%20Dep't%20of%20Health%20and%20Human%20Servs.pdf%22" TargetMode="External"/><Relationship Id="rId101" Type="http://schemas.openxmlformats.org/officeDocument/2006/relationships/hyperlink" Target="https://drive.google.com/drive/search?q=parent:1VmyDEdY-rZ9IfPP9oyBpoZpjcDWGggJR%20%22SP-097-Van%20Cauwenberghe%20v%20Biard.pdf%22" TargetMode="External"/><Relationship Id="rId222" Type="http://schemas.openxmlformats.org/officeDocument/2006/relationships/hyperlink" Target="https://drive.google.com/drive/search?q=parent:1VmyDEdY-rZ9IfPP9oyBpoZpjcDWGggJR%20%22SP-218-American%20Wild%20Horse%20Preservation%20Campaign%20v%20Jewell.pdf%22" TargetMode="External"/><Relationship Id="rId100" Type="http://schemas.openxmlformats.org/officeDocument/2006/relationships/hyperlink" Target="https://drive.google.com/drive/search?q=parent:1VmyDEdY-rZ9IfPP9oyBpoZpjcDWGggJR%20%22SP-096-Pikor.pdf%22" TargetMode="External"/><Relationship Id="rId221" Type="http://schemas.openxmlformats.org/officeDocument/2006/relationships/hyperlink" Target="https://drive.google.com/drive/search?q=parent:1VmyDEdY-rZ9IfPP9oyBpoZpjcDWGggJR%20%22SP-217-Graham.pdf%22" TargetMode="External"/><Relationship Id="rId342" Type="http://schemas.openxmlformats.org/officeDocument/2006/relationships/drawing" Target="../drawings/drawing5.xml"/><Relationship Id="rId217" Type="http://schemas.openxmlformats.org/officeDocument/2006/relationships/hyperlink" Target="https://drive.google.com/drive/search?q=parent:1VmyDEdY-rZ9IfPP9oyBpoZpjcDWGggJR%20%22SP-213-Zen.pdf%22" TargetMode="External"/><Relationship Id="rId338" Type="http://schemas.openxmlformats.org/officeDocument/2006/relationships/hyperlink" Target="https://drive.google.com/drive/search?q=parent:1VmyDEdY-rZ9IfPP9oyBpoZpjcDWGggJR%20%22SP-330-Carson.pdf%22" TargetMode="External"/><Relationship Id="rId216" Type="http://schemas.openxmlformats.org/officeDocument/2006/relationships/hyperlink" Target="https://drive.google.com/drive/search?q=parent:1VmyDEdY-rZ9IfPP9oyBpoZpjcDWGggJR%20%22SP-212-Neighbors%20Against%20Bison%20Slaughter%20v%20Nat'l%20Park%20Serv.pdf%22" TargetMode="External"/><Relationship Id="rId337" Type="http://schemas.openxmlformats.org/officeDocument/2006/relationships/hyperlink" Target="https://drive.google.com/drive/search?q=parent:1VmyDEdY-rZ9IfPP9oyBpoZpjcDWGggJR%20%22SP-329-Cudahy.pdf%22" TargetMode="External"/><Relationship Id="rId215" Type="http://schemas.openxmlformats.org/officeDocument/2006/relationships/hyperlink" Target="https://drive.google.com/drive/search?q=parent:1VmyDEdY-rZ9IfPP9oyBpoZpjcDWGggJR%20%22SP-211-Skagit%20Cnty.pdf%22" TargetMode="External"/><Relationship Id="rId336" Type="http://schemas.openxmlformats.org/officeDocument/2006/relationships/hyperlink" Target="https://drive.google.com/drive/search?q=parent:1VmyDEdY-rZ9IfPP9oyBpoZpjcDWGggJR%20%22SP-328-Herman.pdf%22" TargetMode="External"/><Relationship Id="rId214" Type="http://schemas.openxmlformats.org/officeDocument/2006/relationships/hyperlink" Target="https://drive.google.com/drive/search?q=parent:1VmyDEdY-rZ9IfPP9oyBpoZpjcDWGggJR%20%22SP-210-Crow%20Indian%20Tribe%20v%20United%20States.pdf%22" TargetMode="External"/><Relationship Id="rId335" Type="http://schemas.openxmlformats.org/officeDocument/2006/relationships/hyperlink" Target="https://drive.google.com/drive/search?q=parent:1VmyDEdY-rZ9IfPP9oyBpoZpjcDWGggJR%20%22SP-327-Supra%20Note%20116.pdf%22" TargetMode="External"/><Relationship Id="rId219" Type="http://schemas.openxmlformats.org/officeDocument/2006/relationships/hyperlink" Target="https://drive.google.com/drive/search?q=parent:1VmyDEdY-rZ9IfPP9oyBpoZpjcDWGggJR%20%22SP-215-Bair%20v%20Cal%20Dep't%20of%20Transp.pdf%22" TargetMode="External"/><Relationship Id="rId218" Type="http://schemas.openxmlformats.org/officeDocument/2006/relationships/hyperlink" Target="https://drive.google.com/drive/search?q=parent:1VmyDEdY-rZ9IfPP9oyBpoZpjcDWGggJR%20%22SP-214-Pit%20River%20Tribe%20v%20US%20Forest%20Serv.pdf%22" TargetMode="External"/><Relationship Id="rId339" Type="http://schemas.openxmlformats.org/officeDocument/2006/relationships/hyperlink" Target="https://drive.google.com/drive/search?q=parent:1VmyDEdY-rZ9IfPP9oyBpoZpjcDWGggJR%20%22SP-331-Washoe%20USDA.pdf%22" TargetMode="External"/><Relationship Id="rId330" Type="http://schemas.openxmlformats.org/officeDocument/2006/relationships/hyperlink" Target="https://drive.google.com/drive/search?q=parent:1VmyDEdY-rZ9IfPP9oyBpoZpjcDWGggJR%20%22SP-322-28%20USC%201295.pdf%22" TargetMode="External"/><Relationship Id="rId213" Type="http://schemas.openxmlformats.org/officeDocument/2006/relationships/hyperlink" Target="https://drive.google.com/drive/search?q=parent:1VmyDEdY-rZ9IfPP9oyBpoZpjcDWGggJR%20%22SP-209-Oregon%20Wild%20v%20Bureau%20of%20Land%20MGMT.pdf%22" TargetMode="External"/><Relationship Id="rId334" Type="http://schemas.openxmlformats.org/officeDocument/2006/relationships/hyperlink" Target="https://drive.google.com/drive/search?q=parent:1VmyDEdY-rZ9IfPP9oyBpoZpjcDWGggJR%20%22SP-326-Supra%20Notes%20299-301%20and%20Accompanying%20Text.pdf%22" TargetMode="External"/><Relationship Id="rId212" Type="http://schemas.openxmlformats.org/officeDocument/2006/relationships/hyperlink" Target="https://drive.google.com/drive/search?q=parent:1VmyDEdY-rZ9IfPP9oyBpoZpjcDWGggJR%20%22SP-208-Nat'l%20Wildlife%20Fed'n%20v%20Nat'l%20Marine%20Fisheries%20Serv.pdf%22" TargetMode="External"/><Relationship Id="rId333" Type="http://schemas.openxmlformats.org/officeDocument/2006/relationships/hyperlink" Target="https://drive.google.com/drive/search?q=parent:1VmyDEdY-rZ9IfPP9oyBpoZpjcDWGggJR%20%22SP-325-Walker%20James.pdf%22" TargetMode="External"/><Relationship Id="rId211" Type="http://schemas.openxmlformats.org/officeDocument/2006/relationships/hyperlink" Target="https://drive.google.com/drive/search?q=parent:1VmyDEdY-rZ9IfPP9oyBpoZpjcDWGggJR%20%22SP-207-Supra%20Notes%2053-97%20and%20Accompanying%20Text.pdf%22" TargetMode="External"/><Relationship Id="rId332" Type="http://schemas.openxmlformats.org/officeDocument/2006/relationships/hyperlink" Target="https://drive.google.com/drive/search?q=parent:1VmyDEdY-rZ9IfPP9oyBpoZpjcDWGggJR%20%22SP-324-28%20USC%202702(c).pdf%22" TargetMode="External"/><Relationship Id="rId210" Type="http://schemas.openxmlformats.org/officeDocument/2006/relationships/hyperlink" Target="https://drive.google.com/drive/search?q=parent:1VmyDEdY-rZ9IfPP9oyBpoZpjcDWGggJR%20%22SP-206-Gallatin%20Wildlife%20Ass'n%20v%20US%20Forest%20Serv.pdf%22" TargetMode="External"/><Relationship Id="rId331" Type="http://schemas.openxmlformats.org/officeDocument/2006/relationships/hyperlink" Target="https://drive.google.com/drive/search?q=parent:1VmyDEdY-rZ9IfPP9oyBpoZpjcDWGggJR%20%22SP-323-38%20USC%207291.pdf%22" TargetMode="External"/><Relationship Id="rId129" Type="http://schemas.openxmlformats.org/officeDocument/2006/relationships/hyperlink" Target="https://drive.google.com/drive/search?q=parent:1VmyDEdY-rZ9IfPP9oyBpoZpjcDWGggJR%20%22SP-125-Gold%20v%20Weinberger.pdf%22" TargetMode="External"/><Relationship Id="rId128" Type="http://schemas.openxmlformats.org/officeDocument/2006/relationships/hyperlink" Target="https://drive.google.com/drive/search?q=parent:1VmyDEdY-rZ9IfPP9oyBpoZpjcDWGggJR%20%22SP-124-Richardson%20v%20Perales.pdf%22" TargetMode="External"/><Relationship Id="rId249" Type="http://schemas.openxmlformats.org/officeDocument/2006/relationships/hyperlink" Target="https://drive.google.com/drive/search?q=parent:1VmyDEdY-rZ9IfPP9oyBpoZpjcDWGggJR%20%22SP-245-Boyden.pdf%22" TargetMode="External"/><Relationship Id="rId127" Type="http://schemas.openxmlformats.org/officeDocument/2006/relationships/hyperlink" Target="https://drive.google.com/drive/search?q=parent:1VmyDEdY-rZ9IfPP9oyBpoZpjcDWGggJR%20%22SP-123-412%20F%202d.pdf%22" TargetMode="External"/><Relationship Id="rId248" Type="http://schemas.openxmlformats.org/officeDocument/2006/relationships/hyperlink" Target="https://drive.google.com/drive/search?q=parent:1VmyDEdY-rZ9IfPP9oyBpoZpjcDWGggJR%20%22SP-244-Freeman.pdf%22" TargetMode="External"/><Relationship Id="rId126" Type="http://schemas.openxmlformats.org/officeDocument/2006/relationships/hyperlink" Target="https://drive.google.com/drive/search?q=parent:1VmyDEdY-rZ9IfPP9oyBpoZpjcDWGggJR%20%22SP-122-Stathatos%20v%20Arnold%20Bernstein%20SS%20Corp.pdf%22" TargetMode="External"/><Relationship Id="rId247" Type="http://schemas.openxmlformats.org/officeDocument/2006/relationships/hyperlink" Target="https://drive.google.com/drive/search?q=parent:1VmyDEdY-rZ9IfPP9oyBpoZpjcDWGggJR%20%22SP-243-Ilan.pdf%22" TargetMode="External"/><Relationship Id="rId121" Type="http://schemas.openxmlformats.org/officeDocument/2006/relationships/hyperlink" Target="https://drive.google.com/drive/search?q=parent:1VmyDEdY-rZ9IfPP9oyBpoZpjcDWGggJR%20%22SP-117-St%20Francis%20Med%20CTR%20v%20Sullivan.pdf%22" TargetMode="External"/><Relationship Id="rId242" Type="http://schemas.openxmlformats.org/officeDocument/2006/relationships/hyperlink" Target="https://drive.google.com/drive/search?q=parent:1VmyDEdY-rZ9IfPP9oyBpoZpjcDWGggJR%20%22SP-238-Johnsen.pdf%22" TargetMode="External"/><Relationship Id="rId120" Type="http://schemas.openxmlformats.org/officeDocument/2006/relationships/hyperlink" Target="https://drive.google.com/drive/search?q=parent:1VmyDEdY-rZ9IfPP9oyBpoZpjcDWGggJR%20%22SP-116-Travelstead%20v%20Derwinski.pdf%22" TargetMode="External"/><Relationship Id="rId241" Type="http://schemas.openxmlformats.org/officeDocument/2006/relationships/hyperlink" Target="https://drive.google.com/drive/search?q=parent:1VmyDEdY-rZ9IfPP9oyBpoZpjcDWGggJR%20%22SP-237-Supra%20Notes%20176-177%20and%20Accompanying%20Text.pdf%22" TargetMode="External"/><Relationship Id="rId240" Type="http://schemas.openxmlformats.org/officeDocument/2006/relationships/hyperlink" Target="https://drive.google.com/drive/search?q=parent:1VmyDEdY-rZ9IfPP9oyBpoZpjcDWGggJR%20%22SP-236-Boughton%20v%20Cotter%20Corp.pdf%22" TargetMode="External"/><Relationship Id="rId125" Type="http://schemas.openxmlformats.org/officeDocument/2006/relationships/hyperlink" Target="https://drive.google.com/drive/search?q=parent:1VmyDEdY-rZ9IfPP9oyBpoZpjcDWGggJR%20%22SP-121-Marshall%20v%20Celebrezze.pdf%22" TargetMode="External"/><Relationship Id="rId246" Type="http://schemas.openxmlformats.org/officeDocument/2006/relationships/hyperlink" Target="https://drive.google.com/drive/search?q=parent:1VmyDEdY-rZ9IfPP9oyBpoZpjcDWGggJR%20%22SP-242-Postell.pdf%22" TargetMode="External"/><Relationship Id="rId124" Type="http://schemas.openxmlformats.org/officeDocument/2006/relationships/hyperlink" Target="https://drive.google.com/drive/search?q=parent:1VmyDEdY-rZ9IfPP9oyBpoZpjcDWGggJR%20%22SP-120-Mayersky%20v%20Celebrezze.pdf%22" TargetMode="External"/><Relationship Id="rId245" Type="http://schemas.openxmlformats.org/officeDocument/2006/relationships/hyperlink" Target="https://drive.google.com/drive/search?q=parent:1VmyDEdY-rZ9IfPP9oyBpoZpjcDWGggJR%20%22SP-241-Stephenson.pdf%22" TargetMode="External"/><Relationship Id="rId123" Type="http://schemas.openxmlformats.org/officeDocument/2006/relationships/hyperlink" Target="https://drive.google.com/drive/search?q=parent:1VmyDEdY-rZ9IfPP9oyBpoZpjcDWGggJR%20%22SP-119-Bohms%20v%20Gardner.pdf%22" TargetMode="External"/><Relationship Id="rId244" Type="http://schemas.openxmlformats.org/officeDocument/2006/relationships/hyperlink" Target="https://drive.google.com/drive/search?q=parent:1VmyDEdY-rZ9IfPP9oyBpoZpjcDWGggJR%20%22SP-240-Spitzer.pdf%22" TargetMode="External"/><Relationship Id="rId122" Type="http://schemas.openxmlformats.org/officeDocument/2006/relationships/hyperlink" Target="https://drive.google.com/drive/search?q=parent:1VmyDEdY-rZ9IfPP9oyBpoZpjcDWGggJR%20%22SP-118-American%20Export%20Lines%20v%20Alvez.pdf%22" TargetMode="External"/><Relationship Id="rId243" Type="http://schemas.openxmlformats.org/officeDocument/2006/relationships/hyperlink" Target="https://drive.google.com/drive/search?q=parent:1VmyDEdY-rZ9IfPP9oyBpoZpjcDWGggJR%20%22SP-239-Rabin.pdf%22" TargetMode="External"/><Relationship Id="rId95" Type="http://schemas.openxmlformats.org/officeDocument/2006/relationships/hyperlink" Target="https://drive.google.com/drive/search?q=parent:1VmyDEdY-rZ9IfPP9oyBpoZpjcDWGggJR%20%22SP-091-Heppner.pdf%22" TargetMode="External"/><Relationship Id="rId94" Type="http://schemas.openxmlformats.org/officeDocument/2006/relationships/hyperlink" Target="https://drive.google.com/drive/search?q=parent:1VmyDEdY-rZ9IfPP9oyBpoZpjcDWGggJR%20%22SP-090-Infra%20Part%20IC.pdf%22" TargetMode="External"/><Relationship Id="rId97" Type="http://schemas.openxmlformats.org/officeDocument/2006/relationships/hyperlink" Target="https://drive.google.com/drive/search?q=parent:1VmyDEdY-rZ9IfPP9oyBpoZpjcDWGggJR%20%22SP-093-28%20USC%20225.pdf%22" TargetMode="External"/><Relationship Id="rId96" Type="http://schemas.openxmlformats.org/officeDocument/2006/relationships/hyperlink" Target="https://drive.google.com/drive/search?q=parent:1VmyDEdY-rZ9IfPP9oyBpoZpjcDWGggJR%20%22SP-092-Federal%20Practice%203909.pdf%22" TargetMode="External"/><Relationship Id="rId99" Type="http://schemas.openxmlformats.org/officeDocument/2006/relationships/hyperlink" Target="https://drive.google.com/drive/search?q=parent:1VmyDEdY-rZ9IfPP9oyBpoZpjcDWGggJR%20%22SP-095-Baker.pdf%22" TargetMode="External"/><Relationship Id="rId98" Type="http://schemas.openxmlformats.org/officeDocument/2006/relationships/hyperlink" Target="https://drive.google.com/drive/search?q=parent:1VmyDEdY-rZ9IfPP9oyBpoZpjcDWGggJR%20%22SP-094-Cohen.pdf%22" TargetMode="External"/><Relationship Id="rId91" Type="http://schemas.openxmlformats.org/officeDocument/2006/relationships/hyperlink" Target="https://drive.google.com/drive/search?q=parent:1VmyDEdY-rZ9IfPP9oyBpoZpjcDWGggJR%20%22SP-087-Firestone%20Tire%20and%20Rubber%20Co%20v%20Risjord.pdf%22" TargetMode="External"/><Relationship Id="rId90" Type="http://schemas.openxmlformats.org/officeDocument/2006/relationships/hyperlink" Target="https://drive.google.com/drive/search?q=parent:1VmyDEdY-rZ9IfPP9oyBpoZpjcDWGggJR%20%22SP-086-Infra%20Notes%2053-97%20and%20Accompanying%20Text.pdf%22" TargetMode="External"/><Relationship Id="rId93" Type="http://schemas.openxmlformats.org/officeDocument/2006/relationships/hyperlink" Target="https://drive.google.com/drive/search?q=parent:1VmyDEdY-rZ9IfPP9oyBpoZpjcDWGggJR%20%22SP-089-Cochran.pdf%22" TargetMode="External"/><Relationship Id="rId92" Type="http://schemas.openxmlformats.org/officeDocument/2006/relationships/hyperlink" Target="https://drive.google.com/drive/search?q=parent:1VmyDEdY-rZ9IfPP9oyBpoZpjcDWGggJR%20%22SP-088-Richardson-Merrell%20Inc%20v%20Koller.pdf%22" TargetMode="External"/><Relationship Id="rId118" Type="http://schemas.openxmlformats.org/officeDocument/2006/relationships/hyperlink" Target="https://drive.google.com/drive/search?q=parent:1VmyDEdY-rZ9IfPP9oyBpoZpjcDWGggJR%20%22SP-114-Supra%20Note%2029.pdf%22" TargetMode="External"/><Relationship Id="rId239" Type="http://schemas.openxmlformats.org/officeDocument/2006/relationships/hyperlink" Target="https://drive.google.com/drive/search?q=parent:1VmyDEdY-rZ9IfPP9oyBpoZpjcDWGggJR%20%22SP-235-Stubblefield%20v%20Windsor%20Cap%20GRP.pdf%22" TargetMode="External"/><Relationship Id="rId117" Type="http://schemas.openxmlformats.org/officeDocument/2006/relationships/hyperlink" Target="https://drive.google.com/drive/search?q=parent:1VmyDEdY-rZ9IfPP9oyBpoZpjcDWGggJR%20%22SP-113-Supra%20Note%2092.pdf%22" TargetMode="External"/><Relationship Id="rId238" Type="http://schemas.openxmlformats.org/officeDocument/2006/relationships/hyperlink" Target="https://drive.google.com/drive/search?q=parent:1VmyDEdY-rZ9IfPP9oyBpoZpjcDWGggJR%20%22SP-234-Infra%20Notes%20227-251.pdf%22" TargetMode="External"/><Relationship Id="rId116" Type="http://schemas.openxmlformats.org/officeDocument/2006/relationships/hyperlink" Target="https://drive.google.com/drive/search?q=parent:1VmyDEdY-rZ9IfPP9oyBpoZpjcDWGggJR%20%22SP-112-Forney%20v%20Apfel.pdf%22" TargetMode="External"/><Relationship Id="rId237" Type="http://schemas.openxmlformats.org/officeDocument/2006/relationships/hyperlink" Target="https://drive.google.com/drive/search?q=parent:1VmyDEdY-rZ9IfPP9oyBpoZpjcDWGggJR%20%22SP-233-Bitterroot.pdf%22" TargetMode="External"/><Relationship Id="rId115" Type="http://schemas.openxmlformats.org/officeDocument/2006/relationships/hyperlink" Target="https://drive.google.com/drive/search?q=parent:1VmyDEdY-rZ9IfPP9oyBpoZpjcDWGggJR%20%22SP-111-FRCP%2023(f).pdf%22" TargetMode="External"/><Relationship Id="rId236" Type="http://schemas.openxmlformats.org/officeDocument/2006/relationships/hyperlink" Target="https://drive.google.com/drive/search?q=parent:1VmyDEdY-rZ9IfPP9oyBpoZpjcDWGggJR%20%22SP-232-Chang%20v%20United%20States.pdf%22" TargetMode="External"/><Relationship Id="rId119" Type="http://schemas.openxmlformats.org/officeDocument/2006/relationships/hyperlink" Target="https://drive.google.com/drive/search?q=parent:1VmyDEdY-rZ9IfPP9oyBpoZpjcDWGggJR%20%22SP-115-Baca-Prieto%20v%20A1%20Guigni.pdf%22" TargetMode="External"/><Relationship Id="rId110" Type="http://schemas.openxmlformats.org/officeDocument/2006/relationships/hyperlink" Target="https://drive.google.com/drive/search?q=parent:1VmyDEdY-rZ9IfPP9oyBpoZpjcDWGggJR%20%22SP-106-Adam.pdf%22" TargetMode="External"/><Relationship Id="rId231" Type="http://schemas.openxmlformats.org/officeDocument/2006/relationships/hyperlink" Target="https://drive.google.com/drive/search?q=parent:1VmyDEdY-rZ9IfPP9oyBpoZpjcDWGggJR%20%22SP-227-Fla.pdf%22" TargetMode="External"/><Relationship Id="rId230" Type="http://schemas.openxmlformats.org/officeDocument/2006/relationships/hyperlink" Target="https://drive.google.com/drive/search?q=parent:1VmyDEdY-rZ9IfPP9oyBpoZpjcDWGggJR%20%22SP-226-Mci%20Telecomms%20Corp%20v%20Bellsouth%20Telecomms%20Corp.pdf%22" TargetMode="External"/><Relationship Id="rId114" Type="http://schemas.openxmlformats.org/officeDocument/2006/relationships/hyperlink" Target="https://drive.google.com/drive/search?q=parent:1VmyDEdY-rZ9IfPP9oyBpoZpjcDWGggJR%20%22SP-110-Rules.pdf%22" TargetMode="External"/><Relationship Id="rId235" Type="http://schemas.openxmlformats.org/officeDocument/2006/relationships/hyperlink" Target="https://drive.google.com/drive/search?q=parent:1VmyDEdY-rZ9IfPP9oyBpoZpjcDWGggJR%20%22SP-231-Administrative%20Office.pdf%22" TargetMode="External"/><Relationship Id="rId113" Type="http://schemas.openxmlformats.org/officeDocument/2006/relationships/hyperlink" Target="https://drive.google.com/drive/search?q=parent:1VmyDEdY-rZ9IfPP9oyBpoZpjcDWGggJR%20%22SP-109-Stringfellow%20v%20Concerned%20Neighbors%20in%20Action.pdf%22" TargetMode="External"/><Relationship Id="rId234" Type="http://schemas.openxmlformats.org/officeDocument/2006/relationships/hyperlink" Target="https://drive.google.com/drive/search?q=parent:1VmyDEdY-rZ9IfPP9oyBpoZpjcDWGggJR%20%22SP-230-Supra%20Note%20165%20and%20Accompanying%20Text.pdf%22" TargetMode="External"/><Relationship Id="rId112" Type="http://schemas.openxmlformats.org/officeDocument/2006/relationships/hyperlink" Target="https://drive.google.com/drive/search?q=parent:1VmyDEdY-rZ9IfPP9oyBpoZpjcDWGggJR%20%22SP-108-Flanagan%20v%20United%20States.pdf%22" TargetMode="External"/><Relationship Id="rId233" Type="http://schemas.openxmlformats.org/officeDocument/2006/relationships/hyperlink" Target="https://drive.google.com/drive/search?q=parent:1VmyDEdY-rZ9IfPP9oyBpoZpjcDWGggJR%20%22SP-229-Cherokee%20Nation%20v%20Bernhardt.pdf%22" TargetMode="External"/><Relationship Id="rId111" Type="http://schemas.openxmlformats.org/officeDocument/2006/relationships/hyperlink" Target="https://drive.google.com/drive/search?q=parent:1VmyDEdY-rZ9IfPP9oyBpoZpjcDWGggJR%20%22SP-107-Anderson.pdf%22" TargetMode="External"/><Relationship Id="rId232" Type="http://schemas.openxmlformats.org/officeDocument/2006/relationships/hyperlink" Target="https://drive.google.com/drive/search?q=parent:1VmyDEdY-rZ9IfPP9oyBpoZpjcDWGggJR%20%22SP-228-Supra%20Notes%20145-146.pdf%22" TargetMode="External"/><Relationship Id="rId305" Type="http://schemas.openxmlformats.org/officeDocument/2006/relationships/hyperlink" Target="https://drive.google.com/drive/search?q=parent:1VmyDEdY-rZ9IfPP9oyBpoZpjcDWGggJR%20%22SP-297-Fed%2054(b.pdf%22" TargetMode="External"/><Relationship Id="rId304" Type="http://schemas.openxmlformats.org/officeDocument/2006/relationships/hyperlink" Target="https://drive.google.com/drive/search?q=parent:1VmyDEdY-rZ9IfPP9oyBpoZpjcDWGggJR%20%22SP-296-15a%20Wright.pdf%22" TargetMode="External"/><Relationship Id="rId303" Type="http://schemas.openxmlformats.org/officeDocument/2006/relationships/hyperlink" Target="https://drive.google.com/drive/search?q=parent:1VmyDEdY-rZ9IfPP9oyBpoZpjcDWGggJR%20%22SP-295-Utah%20State%20Dep't%20of%20Health%20v%20Kennecott%20Corp.pdf%22" TargetMode="External"/><Relationship Id="rId302" Type="http://schemas.openxmlformats.org/officeDocument/2006/relationships/hyperlink" Target="https://drive.google.com/drive/search?q=parent:1VmyDEdY-rZ9IfPP9oyBpoZpjcDWGggJR%20%22SP-294-Sivas.pdf%22" TargetMode="External"/><Relationship Id="rId309" Type="http://schemas.openxmlformats.org/officeDocument/2006/relationships/hyperlink" Target="https://drive.google.com/drive/search?q=parent:1VmyDEdY-rZ9IfPP9oyBpoZpjcDWGggJR%20%22SP-301-Wild%20Rockies.pdf%22" TargetMode="External"/><Relationship Id="rId308" Type="http://schemas.openxmlformats.org/officeDocument/2006/relationships/hyperlink" Target="https://drive.google.com/drive/search?q=parent:1VmyDEdY-rZ9IfPP9oyBpoZpjcDWGggJR%20%22SP-300-Associated%20Mortg.pdf%22" TargetMode="External"/><Relationship Id="rId307" Type="http://schemas.openxmlformats.org/officeDocument/2006/relationships/hyperlink" Target="https://drive.google.com/drive/search?q=parent:1VmyDEdY-rZ9IfPP9oyBpoZpjcDWGggJR%20%22SP-299-Miami%20Tribe%20Distr.%20Ct..pdf%22" TargetMode="External"/><Relationship Id="rId306" Type="http://schemas.openxmlformats.org/officeDocument/2006/relationships/hyperlink" Target="https://drive.google.com/drive/search?q=parent:1VmyDEdY-rZ9IfPP9oyBpoZpjcDWGggJR%20%22SP-298-Aaron%20P%20v%20Dep't%20of%20Educ.pdf%22" TargetMode="External"/><Relationship Id="rId301" Type="http://schemas.openxmlformats.org/officeDocument/2006/relationships/hyperlink" Target="https://drive.google.com/drive/search?q=parent:1VmyDEdY-rZ9IfPP9oyBpoZpjcDWGggJR%20%22SP-293-28%20USC%202401(A.pdf%22" TargetMode="External"/><Relationship Id="rId300" Type="http://schemas.openxmlformats.org/officeDocument/2006/relationships/hyperlink" Target="https://drive.google.com/drive/search?q=parent:1VmyDEdY-rZ9IfPP9oyBpoZpjcDWGggJR%20%22SP-292-Corner.pdf%22" TargetMode="External"/><Relationship Id="rId206" Type="http://schemas.openxmlformats.org/officeDocument/2006/relationships/hyperlink" Target="https://drive.google.com/drive/search?q=parent:1VmyDEdY-rZ9IfPP9oyBpoZpjcDWGggJR%20%22SP-202-Supra%20Note%2068%20and%20Accompanying%20Text.pdf%22" TargetMode="External"/><Relationship Id="rId327" Type="http://schemas.openxmlformats.org/officeDocument/2006/relationships/hyperlink" Target="https://drive.google.com/drive/search?q=parent:1VmyDEdY-rZ9IfPP9oyBpoZpjcDWGggJR%20%22SP-319-Supra%20Notes%20280-281%20and%20Accompanying%20Text.pdf%22" TargetMode="External"/><Relationship Id="rId205" Type="http://schemas.openxmlformats.org/officeDocument/2006/relationships/hyperlink" Target="https://drive.google.com/drive/search?q=parent:1VmyDEdY-rZ9IfPP9oyBpoZpjcDWGggJR%20%22SP-201-Davies%20v%20Johanns.pdf%22" TargetMode="External"/><Relationship Id="rId326" Type="http://schemas.openxmlformats.org/officeDocument/2006/relationships/hyperlink" Target="https://drive.google.com/drive/search?q=parent:1VmyDEdY-rZ9IfPP9oyBpoZpjcDWGggJR%20%22SP-318-Supra%20Notes%20282-287%20and%20Accompanying%20Text.pdf%22" TargetMode="External"/><Relationship Id="rId204" Type="http://schemas.openxmlformats.org/officeDocument/2006/relationships/hyperlink" Target="https://drive.google.com/drive/search?q=parent:1VmyDEdY-rZ9IfPP9oyBpoZpjcDWGggJR%20%22SP-200-City.pdf%22" TargetMode="External"/><Relationship Id="rId325" Type="http://schemas.openxmlformats.org/officeDocument/2006/relationships/hyperlink" Target="https://drive.google.com/drive/search?q=parent:1VmyDEdY-rZ9IfPP9oyBpoZpjcDWGggJR%20%22SP-317-Supra%20Note%20269%20and%20Accompanying%20Text.pdf%22" TargetMode="External"/><Relationship Id="rId203" Type="http://schemas.openxmlformats.org/officeDocument/2006/relationships/hyperlink" Target="https://drive.google.com/drive/search?q=parent:1VmyDEdY-rZ9IfPP9oyBpoZpjcDWGggJR%20%22SP-199-Izaak%20Walton.pdf%22" TargetMode="External"/><Relationship Id="rId324" Type="http://schemas.openxmlformats.org/officeDocument/2006/relationships/hyperlink" Target="https://drive.google.com/drive/search?q=parent:1VmyDEdY-rZ9IfPP9oyBpoZpjcDWGggJR%20%22SP-316-Supra%20Notes%20115.pdf%22" TargetMode="External"/><Relationship Id="rId209" Type="http://schemas.openxmlformats.org/officeDocument/2006/relationships/hyperlink" Target="https://drive.google.com/drive/search?q=parent:1VmyDEdY-rZ9IfPP9oyBpoZpjcDWGggJR%20%22SP-205-United%20States%20v%20US%20Bd%20of%20Water%20Comm'rs.pdf%22" TargetMode="External"/><Relationship Id="rId208" Type="http://schemas.openxmlformats.org/officeDocument/2006/relationships/hyperlink" Target="https://drive.google.com/drive/search?q=parent:1VmyDEdY-rZ9IfPP9oyBpoZpjcDWGggJR%20%22SP-204-Sierra%20Forest%20Legacy%20v%20Sherman.pdf%22" TargetMode="External"/><Relationship Id="rId329" Type="http://schemas.openxmlformats.org/officeDocument/2006/relationships/hyperlink" Target="https://drive.google.com/drive/search?q=parent:1VmyDEdY-rZ9IfPP9oyBpoZpjcDWGggJR%20%22SP-321-28%20USC%202253.pdf%22" TargetMode="External"/><Relationship Id="rId207" Type="http://schemas.openxmlformats.org/officeDocument/2006/relationships/hyperlink" Target="https://drive.google.com/drive/search?q=parent:1VmyDEdY-rZ9IfPP9oyBpoZpjcDWGggJR%20%22SP-203-Borntrager%20v%20Cent%20States.pdf%22" TargetMode="External"/><Relationship Id="rId328" Type="http://schemas.openxmlformats.org/officeDocument/2006/relationships/hyperlink" Target="https://drive.google.com/drive/search?q=parent:1VmyDEdY-rZ9IfPP9oyBpoZpjcDWGggJR%20%22SP-320-28%20USC%20158(d.pdf%22" TargetMode="External"/><Relationship Id="rId202" Type="http://schemas.openxmlformats.org/officeDocument/2006/relationships/hyperlink" Target="https://drive.google.com/drive/search?q=parent:1VmyDEdY-rZ9IfPP9oyBpoZpjcDWGggJR%20%22SP-198-Travis%20v%20Sullivan.pdf%22" TargetMode="External"/><Relationship Id="rId323" Type="http://schemas.openxmlformats.org/officeDocument/2006/relationships/hyperlink" Target="https://drive.google.com/drive/search?q=parent:1VmyDEdY-rZ9IfPP9oyBpoZpjcDWGggJR%20%22SP-315-Supra%20Note%20174%20and%20Accompanying%20Text.pdf%22" TargetMode="External"/><Relationship Id="rId201" Type="http://schemas.openxmlformats.org/officeDocument/2006/relationships/hyperlink" Target="https://drive.google.com/drive/search?q=parent:1VmyDEdY-rZ9IfPP9oyBpoZpjcDWGggJR%20%22SP-197-Perlman%20v%20Swiss%20Bank%20Corp%20Comprehensive%20Disability%20Prot%20Plan.pdf%22" TargetMode="External"/><Relationship Id="rId322" Type="http://schemas.openxmlformats.org/officeDocument/2006/relationships/hyperlink" Target="https://drive.google.com/drive/search?q=parent:1VmyDEdY-rZ9IfPP9oyBpoZpjcDWGggJR%20%22SP-314-Supra%20Note%20175%20and%20Accompanying%20Text.pdf%22" TargetMode="External"/><Relationship Id="rId200" Type="http://schemas.openxmlformats.org/officeDocument/2006/relationships/hyperlink" Target="https://drive.google.com/drive/search?q=parent:1VmyDEdY-rZ9IfPP9oyBpoZpjcDWGggJR%20%22SP-196-Am%20Train%20Dispatchers%20Dep't%20of%20Int'l%20BHD%20of%20Locomotive%20Eng'rs%20v%20Norfolk%20S%20Ry%20Co.pdf%22" TargetMode="External"/><Relationship Id="rId321" Type="http://schemas.openxmlformats.org/officeDocument/2006/relationships/hyperlink" Target="https://drive.google.com/drive/search?q=parent:1VmyDEdY-rZ9IfPP9oyBpoZpjcDWGggJR%20%22SP-313-Supra%20Note%20136%20and%20Accompanying%20Text.pdf%22" TargetMode="External"/><Relationship Id="rId320" Type="http://schemas.openxmlformats.org/officeDocument/2006/relationships/hyperlink" Target="https://drive.google.com/drive/search?q=parent:1VmyDEdY-rZ9IfPP9oyBpoZpjcDWGggJR%20%22SP-312-Supra%20Note%20163%20and%20Accompanying%20Text.pdf%22" TargetMode="External"/><Relationship Id="rId316" Type="http://schemas.openxmlformats.org/officeDocument/2006/relationships/hyperlink" Target="https://drive.google.com/drive/search?q=parent:1VmyDEdY-rZ9IfPP9oyBpoZpjcDWGggJR%20%22SP-308-Rule%2054(b).pdf%22" TargetMode="External"/><Relationship Id="rId315" Type="http://schemas.openxmlformats.org/officeDocument/2006/relationships/hyperlink" Target="https://drive.google.com/drive/search?q=parent:1VmyDEdY-rZ9IfPP9oyBpoZpjcDWGggJR%20%22SP-307-Supra%20Notes%20272-277%20and%20Accompanying%20Text.pdf%22" TargetMode="External"/><Relationship Id="rId314" Type="http://schemas.openxmlformats.org/officeDocument/2006/relationships/hyperlink" Target="https://drive.google.com/drive/search?q=parent:1VmyDEdY-rZ9IfPP9oyBpoZpjcDWGggJR%20%22SP-306-O'Connell%20Cycles.pdf%22" TargetMode="External"/><Relationship Id="rId313" Type="http://schemas.openxmlformats.org/officeDocument/2006/relationships/hyperlink" Target="https://drive.google.com/drive/search?q=parent:1VmyDEdY-rZ9IfPP9oyBpoZpjcDWGggJR%20%22SP-305-O'Connell%20Agency.pdf%22" TargetMode="External"/><Relationship Id="rId319" Type="http://schemas.openxmlformats.org/officeDocument/2006/relationships/hyperlink" Target="https://drive.google.com/drive/search?q=parent:1VmyDEdY-rZ9IfPP9oyBpoZpjcDWGggJR%20%22SP-311-Supra%20Notes%20127.pdf%22" TargetMode="External"/><Relationship Id="rId318" Type="http://schemas.openxmlformats.org/officeDocument/2006/relationships/hyperlink" Target="https://drive.google.com/drive/search?q=parent:1VmyDEdY-rZ9IfPP9oyBpoZpjcDWGggJR%20%22SP-310-Supra%20Notes%20132-194%20and%20Accompanying%20Text.pdf%22" TargetMode="External"/><Relationship Id="rId317" Type="http://schemas.openxmlformats.org/officeDocument/2006/relationships/hyperlink" Target="https://drive.google.com/drive/search?q=parent:1VmyDEdY-rZ9IfPP9oyBpoZpjcDWGggJR%20%22SP-309-Supra%20Notes%2067.pdf%22" TargetMode="External"/><Relationship Id="rId312" Type="http://schemas.openxmlformats.org/officeDocument/2006/relationships/hyperlink" Target="https://drive.google.com/drive/search?q=parent:1VmyDEdY-rZ9IfPP9oyBpoZpjcDWGggJR%20%22SP-304-Viraj.pdf%22" TargetMode="External"/><Relationship Id="rId311" Type="http://schemas.openxmlformats.org/officeDocument/2006/relationships/hyperlink" Target="https://drive.google.com/drive/search?q=parent:1VmyDEdY-rZ9IfPP9oyBpoZpjcDWGggJR%20%22SP-303-Federal%20Practice%203949%204.pdf%22" TargetMode="External"/><Relationship Id="rId310" Type="http://schemas.openxmlformats.org/officeDocument/2006/relationships/hyperlink" Target="https://drive.google.com/drive/search?q=parent:1VmyDEdY-rZ9IfPP9oyBpoZpjcDWGggJR%20%22SP-302-McBride%20v%20Citgo%20Petroleum%20Corp.pdf%22"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010-01-011-Denver%20Cnty.pdf%22" TargetMode="External"/><Relationship Id="rId42" Type="http://schemas.openxmlformats.org/officeDocument/2006/relationships/hyperlink" Target="https://drive.google.com/drive/search?q=parent:1OkcpifbUiC1Y6G2u5ApzxEwKzOL1_kpP%20%22R1-010-02-012-Montana%20Env't%20Info%20CTR.pdf%22" TargetMode="External"/><Relationship Id="rId41" Type="http://schemas.openxmlformats.org/officeDocument/2006/relationships/hyperlink" Target="https://drive.google.com/drive/search?q=parent:1VmyDEdY-rZ9IfPP9oyBpoZpjcDWGggJR%20%22SP-012-Montana%20Env't%20Info%20CTR.pdf%22" TargetMode="External"/><Relationship Id="rId44" Type="http://schemas.openxmlformats.org/officeDocument/2006/relationships/hyperlink" Target="https://drive.google.com/drive/search?q=parent:1OkcpifbUiC1Y6G2u5ApzxEwKzOL1_kpP%20%22R1-010-03-013-Dcor.pdf%22" TargetMode="External"/><Relationship Id="rId43" Type="http://schemas.openxmlformats.org/officeDocument/2006/relationships/hyperlink" Target="https://drive.google.com/drive/search?q=parent:1VmyDEdY-rZ9IfPP9oyBpoZpjcDWGggJR%20%22SP-013-Dcor.pdf%22" TargetMode="External"/><Relationship Id="rId46" Type="http://schemas.openxmlformats.org/officeDocument/2006/relationships/hyperlink" Target="https://drive.google.com/drive/search?q=parent:1OkcpifbUiC1Y6G2u5ApzxEwKzOL1_kpP%20%22R1-011-01-014-Infra%20Part%20I.pdf%22" TargetMode="External"/><Relationship Id="rId45" Type="http://schemas.openxmlformats.org/officeDocument/2006/relationships/hyperlink" Target="https://drive.google.com/drive/search?q=parent:1VmyDEdY-rZ9IfPP9oyBpoZpjcDWGggJR%20%22SP-014-Infra%20Part%20I.pdf%22" TargetMode="External"/><Relationship Id="rId48" Type="http://schemas.openxmlformats.org/officeDocument/2006/relationships/hyperlink" Target="https://drive.google.com/drive/search?q=parent:1OkcpifbUiC1Y6G2u5ApzxEwKzOL1_kpP%20%22R1-001-00-015-Michaels.pdf%22" TargetMode="External"/><Relationship Id="rId47" Type="http://schemas.openxmlformats.org/officeDocument/2006/relationships/hyperlink" Target="https://drive.google.com/drive/search?q=parent:1VmyDEdY-rZ9IfPP9oyBpoZpjcDWGggJR%20%22SP-015-Michaels.pdf%22" TargetMode="External"/><Relationship Id="rId49" Type="http://schemas.openxmlformats.org/officeDocument/2006/relationships/hyperlink" Target="https://drive.google.com/drive/search?q=parent:1VmyDEdY-rZ9IfPP9oyBpoZpjcDWGggJR%20%22SP-016-Developments.pdf%22" TargetMode="External"/><Relationship Id="rId31" Type="http://schemas.openxmlformats.org/officeDocument/2006/relationships/hyperlink" Target="https://drive.google.com/drive/search?q=parent:1VmyDEdY-rZ9IfPP9oyBpoZpjcDWGggJR%20%22SP-008-Alsea%20Valley%20Alliance%20v%20Dep't%20of%20Commerce.pdf%22" TargetMode="External"/><Relationship Id="rId30" Type="http://schemas.openxmlformats.org/officeDocument/2006/relationships/hyperlink" Target="https://drive.google.com/drive/search?q=parent:1OkcpifbUiC1Y6G2u5ApzxEwKzOL1_kpP%20%22R1-008-01-005-Friends%20of%20Hope%20Valley%20v%20US%20Forest%20Service.pdf%22" TargetMode="External"/><Relationship Id="rId33" Type="http://schemas.openxmlformats.org/officeDocument/2006/relationships/hyperlink" Target="https://drive.google.com/drive/search?q=parent:1VmyDEdY-rZ9IfPP9oyBpoZpjcDWGggJR%20%22SP-008-Alsea%20Valley%20Alliance%20v%20Dep't%20of%20Commerce.pdf%22" TargetMode="External"/><Relationship Id="rId32" Type="http://schemas.openxmlformats.org/officeDocument/2006/relationships/hyperlink" Target="https://drive.google.com/drive/search?q=parent:1OkcpifbUiC1Y6G2u5ApzxEwKzOL1_kpP%20%22R1-008-02-008-Alsea%20Valley%20Alliance%20v%20Dep't%20of%20Commerce.pdf%22" TargetMode="External"/><Relationship Id="rId35" Type="http://schemas.openxmlformats.org/officeDocument/2006/relationships/hyperlink" Target="https://drive.google.com/drive/search?q=parent:1VmyDEdY-rZ9IfPP9oyBpoZpjcDWGggJR%20%22SP-009-Infra%20Part%20IB.pdf%22" TargetMode="External"/><Relationship Id="rId34" Type="http://schemas.openxmlformats.org/officeDocument/2006/relationships/hyperlink" Target="https://drive.google.com/drive/search?q=parent:1OkcpifbUiC1Y6G2u5ApzxEwKzOL1_kpP%20%22R1-009-01-008-Alsea%20Valley%20Alliance%20v%20Dep't%20of%20Commerce.pdf%22" TargetMode="External"/><Relationship Id="rId37" Type="http://schemas.openxmlformats.org/officeDocument/2006/relationships/hyperlink" Target="https://drive.google.com/drive/search?q=parent:1VmyDEdY-rZ9IfPP9oyBpoZpjcDWGggJR%20%22SP-010-Infra%20Note%2023.pdf%22" TargetMode="External"/><Relationship Id="rId36" Type="http://schemas.openxmlformats.org/officeDocument/2006/relationships/hyperlink" Target="https://drive.google.com/drive/search?q=parent:1OkcpifbUiC1Y6G2u5ApzxEwKzOL1_kpP%20%22R1-009-02-009-Infra%20Part%20IB.pdf%22" TargetMode="External"/><Relationship Id="rId39" Type="http://schemas.openxmlformats.org/officeDocument/2006/relationships/hyperlink" Target="https://drive.google.com/drive/search?q=parent:1VmyDEdY-rZ9IfPP9oyBpoZpjcDWGggJR%20%22SP-011-Denver%20Cnty.pdf%22" TargetMode="External"/><Relationship Id="rId38" Type="http://schemas.openxmlformats.org/officeDocument/2006/relationships/hyperlink" Target="https://drive.google.com/drive/search?q=parent:1OkcpifbUiC1Y6G2u5ApzxEwKzOL1_kpP%20%22R1-009-03-010-Infra%20Note%2023.pdf%22" TargetMode="External"/><Relationship Id="rId20" Type="http://schemas.openxmlformats.org/officeDocument/2006/relationships/hyperlink" Target="https://drive.google.com/drive/search?q=parent:1OkcpifbUiC1Y6G2u5ApzxEwKzOL1_kpP%20%22R1-005-01-004-Memorandum.pdf%22" TargetMode="External"/><Relationship Id="rId22" Type="http://schemas.openxmlformats.org/officeDocument/2006/relationships/hyperlink" Target="https://drive.google.com/drive/search?q=parent:1OkcpifbUiC1Y6G2u5ApzxEwKzOL1_kpP%20%22R1-006-01-005-Friends%20of%20Hope%20Valley%20v%20US%20Forest%20Service.pdf%22" TargetMode="External"/><Relationship Id="rId21" Type="http://schemas.openxmlformats.org/officeDocument/2006/relationships/hyperlink" Target="https://drive.google.com/drive/search?q=parent:1VmyDEdY-rZ9IfPP9oyBpoZpjcDWGggJR%20%22SP-005-Friends%20of%20Hope%20Valley%20v%20US%20Forest%20Service.pdf%22" TargetMode="External"/><Relationship Id="rId24" Type="http://schemas.openxmlformats.org/officeDocument/2006/relationships/hyperlink" Target="https://drive.google.com/drive/search?q=parent:1OkcpifbUiC1Y6G2u5ApzxEwKzOL1_kpP%20%22R1-007-01-005-Friends%20of%20Hope%20Valley%20v%20US%20Forest%20Service.pdf%22" TargetMode="External"/><Relationship Id="rId23" Type="http://schemas.openxmlformats.org/officeDocument/2006/relationships/hyperlink" Target="https://drive.google.com/drive/search?q=parent:1VmyDEdY-rZ9IfPP9oyBpoZpjcDWGggJR%20%22SP-005-Friends%20of%20Hope%20Valley%20v%20US%20Forest%20Service.pdf%22" TargetMode="External"/><Relationship Id="rId26" Type="http://schemas.openxmlformats.org/officeDocument/2006/relationships/hyperlink" Target="https://drive.google.com/drive/search?q=parent:1OkcpifbUiC1Y6G2u5ApzxEwKzOL1_kpP%20%22R1-007-02-006-APA.pdf%22" TargetMode="External"/><Relationship Id="rId25" Type="http://schemas.openxmlformats.org/officeDocument/2006/relationships/hyperlink" Target="https://drive.google.com/drive/search?q=parent:1VmyDEdY-rZ9IfPP9oyBpoZpjcDWGggJR%20%22SP-006-APA.pdf%22" TargetMode="External"/><Relationship Id="rId28" Type="http://schemas.openxmlformats.org/officeDocument/2006/relationships/hyperlink" Target="https://drive.google.com/drive/search?q=parent:1OkcpifbUiC1Y6G2u5ApzxEwKzOL1_kpP%20%22R1-007-03-007-Infra%20Notes%20113,%20151-153.pdf%22" TargetMode="External"/><Relationship Id="rId27" Type="http://schemas.openxmlformats.org/officeDocument/2006/relationships/hyperlink" Target="https://drive.google.com/drive/search?q=parent:1VmyDEdY-rZ9IfPP9oyBpoZpjcDWGggJR%20%22SP-007-Infra%20Notes%20113,%20151-153.pdf%22" TargetMode="External"/><Relationship Id="rId29" Type="http://schemas.openxmlformats.org/officeDocument/2006/relationships/hyperlink" Target="https://drive.google.com/drive/search?q=parent:1VmyDEdY-rZ9IfPP9oyBpoZpjcDWGggJR%20%22SP-005-Friends%20of%20Hope%20Valley%20v%20US%20Forest%20Service.pdf%22" TargetMode="External"/><Relationship Id="rId11" Type="http://schemas.openxmlformats.org/officeDocument/2006/relationships/hyperlink" Target="https://drive.google.com/drive/search?q=parent:1VmyDEdY-rZ9IfPP9oyBpoZpjcDWGggJR%20%22SP-001-Tortorich.pdf%22" TargetMode="External"/><Relationship Id="rId10" Type="http://schemas.openxmlformats.org/officeDocument/2006/relationships/hyperlink" Target="https://drive.google.com/drive/search?q=parent:1OkcpifbUiC1Y6G2u5ApzxEwKzOL1_kpP%20%22R1-001-05-332-Washoe%20History.pdf%22" TargetMode="External"/><Relationship Id="rId13" Type="http://schemas.openxmlformats.org/officeDocument/2006/relationships/hyperlink" Target="https://drive.google.com/drive/search?q=parent:1VmyDEdY-rZ9IfPP9oyBpoZpjcDWGggJR%20%22SP-002-Munson.pdf%22" TargetMode="External"/><Relationship Id="rId12" Type="http://schemas.openxmlformats.org/officeDocument/2006/relationships/hyperlink" Target="https://drive.google.com/drive/search?q=parent:1OkcpifbUiC1Y6G2u5ApzxEwKzOL1_kpP%20%22R1-002-01-001-Tortorich.pdf%22" TargetMode="External"/><Relationship Id="rId15" Type="http://schemas.openxmlformats.org/officeDocument/2006/relationships/hyperlink" Target="https://drive.google.com/drive/search?q=parent:1VmyDEdY-rZ9IfPP9oyBpoZpjcDWGggJR%20%22SP-003-Hope%20Valley%20Recreation.pdf%22" TargetMode="External"/><Relationship Id="rId14" Type="http://schemas.openxmlformats.org/officeDocument/2006/relationships/hyperlink" Target="https://drive.google.com/drive/search?q=parent:1OkcpifbUiC1Y6G2u5ApzxEwKzOL1_kpP%20%22R1-002-02-002-Munson.pdf%22" TargetMode="External"/><Relationship Id="rId17" Type="http://schemas.openxmlformats.org/officeDocument/2006/relationships/hyperlink" Target="https://drive.google.com/drive/search?q=parent:1VmyDEdY-rZ9IfPP9oyBpoZpjcDWGggJR%20%22SP-004-Memorandum.pdf%22" TargetMode="External"/><Relationship Id="rId16" Type="http://schemas.openxmlformats.org/officeDocument/2006/relationships/hyperlink" Target="https://drive.google.com/drive/search?q=parent:1OkcpifbUiC1Y6G2u5ApzxEwKzOL1_kpP%20%22R1-003-01-003-Hope%20Valley%20Recreation.pdf%22" TargetMode="External"/><Relationship Id="rId19" Type="http://schemas.openxmlformats.org/officeDocument/2006/relationships/hyperlink" Target="https://drive.google.com/drive/search?q=parent:1VmyDEdY-rZ9IfPP9oyBpoZpjcDWGggJR%20%22SP-004-Memorandum.pdf%22" TargetMode="External"/><Relationship Id="rId18" Type="http://schemas.openxmlformats.org/officeDocument/2006/relationships/hyperlink" Target="https://drive.google.com/drive/search?q=parent:1OkcpifbUiC1Y6G2u5ApzxEwKzOL1_kpP%20%22R1-004-01-004-Memorandum.pdf%22" TargetMode="External"/><Relationship Id="rId84" Type="http://schemas.openxmlformats.org/officeDocument/2006/relationships/hyperlink" Target="https://drive.google.com/drive/search?q=parent:1OkcpifbUiC1Y6G2u5ApzxEwKzOL1_kpP%20%22R1-017-01-033-CTR%20for%20Biological%20Diversity%20v%20Bureau%20of%20Land%20MGMT.pdf%22" TargetMode="External"/><Relationship Id="rId83" Type="http://schemas.openxmlformats.org/officeDocument/2006/relationships/hyperlink" Target="https://drive.google.com/drive/search?q=parent:1VmyDEdY-rZ9IfPP9oyBpoZpjcDWGggJR%20%22SP-033-CTR%20for%20Biological%20Diversity%20v%20Bureau%20of%20Land%20MGMT.pdf%22" TargetMode="External"/><Relationship Id="rId86" Type="http://schemas.openxmlformats.org/officeDocument/2006/relationships/hyperlink" Target="https://drive.google.com/drive/search?q=parent:1OkcpifbUiC1Y6G2u5ApzxEwKzOL1_kpP%20%22R1-017-02-034-NY%20Legal%20Assistance%20GRP%20v%20Cardona.pdf%22" TargetMode="External"/><Relationship Id="rId85" Type="http://schemas.openxmlformats.org/officeDocument/2006/relationships/hyperlink" Target="https://drive.google.com/drive/search?q=parent:1VmyDEdY-rZ9IfPP9oyBpoZpjcDWGggJR%20%22SP-034-NY%20Legal%20Assistance%20GRP%20v%20Cardona.pdf%22" TargetMode="External"/><Relationship Id="rId88" Type="http://schemas.openxmlformats.org/officeDocument/2006/relationships/hyperlink" Target="https://drive.google.com/drive/search?q=parent:1OkcpifbUiC1Y6G2u5ApzxEwKzOL1_kpP%20%22R1-018-01-035-Infra%20Notes%20132-192%20and%20Accompanying%20Text.pdf%22" TargetMode="External"/><Relationship Id="rId150" Type="http://schemas.openxmlformats.org/officeDocument/2006/relationships/hyperlink" Target="https://drive.google.com/drive/search?q=parent:1OkcpifbUiC1Y6G2u5ApzxEwKzOL1_kpP%20%22R1-033-01-063-Revesz.pdf%22" TargetMode="External"/><Relationship Id="rId87" Type="http://schemas.openxmlformats.org/officeDocument/2006/relationships/hyperlink" Target="https://drive.google.com/drive/search?q=parent:1VmyDEdY-rZ9IfPP9oyBpoZpjcDWGggJR%20%22SP-035-Infra%20Notes%20132-192%20and%20Accompanying%20Text.pdf%22" TargetMode="External"/><Relationship Id="rId89" Type="http://schemas.openxmlformats.org/officeDocument/2006/relationships/hyperlink" Target="https://drive.google.com/drive/search?q=parent:1VmyDEdY-rZ9IfPP9oyBpoZpjcDWGggJR%20%22SP-036-Infra%20Notes%20193-194.pdf%22" TargetMode="External"/><Relationship Id="rId80" Type="http://schemas.openxmlformats.org/officeDocument/2006/relationships/hyperlink" Target="https://drive.google.com/drive/search?q=parent:1OkcpifbUiC1Y6G2u5ApzxEwKzOL1_kpP%20%22R1-015-01-031-Infra%20Notes%2046-48%20and%20Accompanying%20Text.pdf%22" TargetMode="External"/><Relationship Id="rId82" Type="http://schemas.openxmlformats.org/officeDocument/2006/relationships/hyperlink" Target="https://drive.google.com/drive/search?q=parent:1OkcpifbUiC1Y6G2u5ApzxEwKzOL1_kpP%20%22R1-016-01-032-Pueblo%20of%20Sandia%20v%20Babbitt.pdf%22" TargetMode="External"/><Relationship Id="rId81" Type="http://schemas.openxmlformats.org/officeDocument/2006/relationships/hyperlink" Target="https://drive.google.com/drive/search?q=parent:1VmyDEdY-rZ9IfPP9oyBpoZpjcDWGggJR%20%22SP-032-Pueblo%20of%20Sandia%20v%20Babbitt.pdf%22" TargetMode="External"/><Relationship Id="rId1" Type="http://schemas.openxmlformats.org/officeDocument/2006/relationships/hyperlink" Target="https://drive.google.com/drive/search?q=parent:1VmyDEdY-rZ9IfPP9oyBpoZpjcDWGggJR%20%22SP-328-Herman.pdf%22" TargetMode="External"/><Relationship Id="rId2" Type="http://schemas.openxmlformats.org/officeDocument/2006/relationships/hyperlink" Target="https://drive.google.com/drive/search?q=parent:1OkcpifbUiC1Y6G2u5ApzxEwKzOL1_kpP%20%22R1-001-01-328-Herman.pdf%22" TargetMode="External"/><Relationship Id="rId3" Type="http://schemas.openxmlformats.org/officeDocument/2006/relationships/hyperlink" Target="https://drive.google.com/drive/search?q=parent:1VmyDEdY-rZ9IfPP9oyBpoZpjcDWGggJR%20%22SP-329-Cudahy.pdf%22" TargetMode="External"/><Relationship Id="rId149" Type="http://schemas.openxmlformats.org/officeDocument/2006/relationships/hyperlink" Target="https://drive.google.com/drive/search?q=parent:1VmyDEdY-rZ9IfPP9oyBpoZpjcDWGggJR%20%22SP-063-Revesz.pdf%22" TargetMode="External"/><Relationship Id="rId4" Type="http://schemas.openxmlformats.org/officeDocument/2006/relationships/hyperlink" Target="https://drive.google.com/drive/search?q=parent:1OkcpifbUiC1Y6G2u5ApzxEwKzOL1_kpP%20%22R1-001-02-329-Cudahy.pdf%22" TargetMode="External"/><Relationship Id="rId148" Type="http://schemas.openxmlformats.org/officeDocument/2006/relationships/hyperlink" Target="https://drive.google.com/drive/search?q=parent:1OkcpifbUiC1Y6G2u5ApzxEwKzOL1_kpP%20%22R1-032-01-062-Infra%20Notes%20257-261%20and%20Accompanying%20Text.pdf%22" TargetMode="External"/><Relationship Id="rId9" Type="http://schemas.openxmlformats.org/officeDocument/2006/relationships/hyperlink" Target="https://drive.google.com/drive/search?q=parent:1VmyDEdY-rZ9IfPP9oyBpoZpjcDWGggJR%20%22SP-332-Washoe%20History.pdf%22" TargetMode="External"/><Relationship Id="rId143" Type="http://schemas.openxmlformats.org/officeDocument/2006/relationships/hyperlink" Target="https://drive.google.com/drive/search?q=parent:1VmyDEdY-rZ9IfPP9oyBpoZpjcDWGggJR%20%22SP-060-Walker%20Referral.pdf%22" TargetMode="External"/><Relationship Id="rId142" Type="http://schemas.openxmlformats.org/officeDocument/2006/relationships/hyperlink" Target="https://drive.google.com/drive/search?q=parent:1OkcpifbUiC1Y6G2u5ApzxEwKzOL1_kpP%20%22R1-031-03-059-Glicksman.pdf%22" TargetMode="External"/><Relationship Id="rId141" Type="http://schemas.openxmlformats.org/officeDocument/2006/relationships/hyperlink" Target="https://drive.google.com/drive/search?q=parent:1VmyDEdY-rZ9IfPP9oyBpoZpjcDWGggJR%20%22SP-059-Glicksman.pdf%22" TargetMode="External"/><Relationship Id="rId140" Type="http://schemas.openxmlformats.org/officeDocument/2006/relationships/hyperlink" Target="https://drive.google.com/drive/search?q=parent:1OkcpifbUiC1Y6G2u5ApzxEwKzOL1_kpP%20%22R1-031-02-058-Wages%20and%20White%20Lion%20Invs.pdf%22" TargetMode="External"/><Relationship Id="rId5" Type="http://schemas.openxmlformats.org/officeDocument/2006/relationships/hyperlink" Target="https://drive.google.com/drive/search?q=parent:1VmyDEdY-rZ9IfPP9oyBpoZpjcDWGggJR%20%22SP-330-Carson.pdf%22" TargetMode="External"/><Relationship Id="rId147" Type="http://schemas.openxmlformats.org/officeDocument/2006/relationships/hyperlink" Target="https://drive.google.com/drive/search?q=parent:1VmyDEdY-rZ9IfPP9oyBpoZpjcDWGggJR%20%22SP-062-Infra%20Notes%20257-261%20and%20Accompanying%20Text.pdf%22" TargetMode="External"/><Relationship Id="rId6" Type="http://schemas.openxmlformats.org/officeDocument/2006/relationships/hyperlink" Target="https://drive.google.com/drive/search?q=parent:1OkcpifbUiC1Y6G2u5ApzxEwKzOL1_kpP%20%22R1-001-03-330-Carson.pdf%22" TargetMode="External"/><Relationship Id="rId146" Type="http://schemas.openxmlformats.org/officeDocument/2006/relationships/hyperlink" Target="https://drive.google.com/drive/search?q=parent:1OkcpifbUiC1Y6G2u5ApzxEwKzOL1_kpP%20%22R1-031-05-061-Walker%20Ordinary.pdf%22" TargetMode="External"/><Relationship Id="rId7" Type="http://schemas.openxmlformats.org/officeDocument/2006/relationships/hyperlink" Target="https://drive.google.com/drive/search?q=parent:1VmyDEdY-rZ9IfPP9oyBpoZpjcDWGggJR%20%22SP-331-Washoe%20USDA.pdf%22" TargetMode="External"/><Relationship Id="rId145" Type="http://schemas.openxmlformats.org/officeDocument/2006/relationships/hyperlink" Target="https://drive.google.com/drive/search?q=parent:1VmyDEdY-rZ9IfPP9oyBpoZpjcDWGggJR%20%22SP-061-Walker%20Ordinary.pdf%22" TargetMode="External"/><Relationship Id="rId8" Type="http://schemas.openxmlformats.org/officeDocument/2006/relationships/hyperlink" Target="https://drive.google.com/drive/search?q=parent:1OkcpifbUiC1Y6G2u5ApzxEwKzOL1_kpP%20%22R1-001-04-331-Washoe%20USDA.pdf%22" TargetMode="External"/><Relationship Id="rId144" Type="http://schemas.openxmlformats.org/officeDocument/2006/relationships/hyperlink" Target="https://drive.google.com/drive/search?q=parent:1OkcpifbUiC1Y6G2u5ApzxEwKzOL1_kpP%20%22R1-031-04-060-Walker%20Referral.pdf%22" TargetMode="External"/><Relationship Id="rId73" Type="http://schemas.openxmlformats.org/officeDocument/2006/relationships/hyperlink" Target="https://drive.google.com/drive/search?q=parent:1VmyDEdY-rZ9IfPP9oyBpoZpjcDWGggJR%20%22SP-028-73a%20CJS.pdf%22" TargetMode="External"/><Relationship Id="rId72" Type="http://schemas.openxmlformats.org/officeDocument/2006/relationships/hyperlink" Target="https://drive.google.com/drive/search?q=parent:1OkcpifbUiC1Y6G2u5ApzxEwKzOL1_kpP%20%22R1-013-07-027-Federal%20Practice%203903.pdf%22" TargetMode="External"/><Relationship Id="rId75" Type="http://schemas.openxmlformats.org/officeDocument/2006/relationships/hyperlink" Target="https://drive.google.com/drive/search?q=parent:1VmyDEdY-rZ9IfPP9oyBpoZpjcDWGggJR%20%22SP-029-Fed%20Ct.pdf%22" TargetMode="External"/><Relationship Id="rId74" Type="http://schemas.openxmlformats.org/officeDocument/2006/relationships/hyperlink" Target="https://drive.google.com/drive/search?q=parent:1OkcpifbUiC1Y6G2u5ApzxEwKzOL1_kpP%20%22R1-013-08-028-73a%20CJS.pdf%22" TargetMode="External"/><Relationship Id="rId77" Type="http://schemas.openxmlformats.org/officeDocument/2006/relationships/hyperlink" Target="https://drive.google.com/drive/search?q=parent:1VmyDEdY-rZ9IfPP9oyBpoZpjcDWGggJR%20%22SP-030-Infra%20Notes%2039-51%20and%20Accompanying%20Text.pdf%22" TargetMode="External"/><Relationship Id="rId76" Type="http://schemas.openxmlformats.org/officeDocument/2006/relationships/hyperlink" Target="https://drive.google.com/drive/search?q=parent:1OkcpifbUiC1Y6G2u5ApzxEwKzOL1_kpP%20%22R1-013-09-029-Fed%20Ct.pdf%22" TargetMode="External"/><Relationship Id="rId79" Type="http://schemas.openxmlformats.org/officeDocument/2006/relationships/hyperlink" Target="https://drive.google.com/drive/search?q=parent:1VmyDEdY-rZ9IfPP9oyBpoZpjcDWGggJR%20%22SP-031-Infra%20Notes%2046-48%20and%20Accompanying%20Text.pdf%22" TargetMode="External"/><Relationship Id="rId78" Type="http://schemas.openxmlformats.org/officeDocument/2006/relationships/hyperlink" Target="https://drive.google.com/drive/search?q=parent:1OkcpifbUiC1Y6G2u5ApzxEwKzOL1_kpP%20%22R1-014-01-030-Infra%20Notes%2039-51%20and%20Accompanying%20Text.pdf%22" TargetMode="External"/><Relationship Id="rId71" Type="http://schemas.openxmlformats.org/officeDocument/2006/relationships/hyperlink" Target="https://drive.google.com/drive/search?q=parent:1VmyDEdY-rZ9IfPP9oyBpoZpjcDWGggJR%20%22SP-027-Federal%20Practice%203903.pdf%22" TargetMode="External"/><Relationship Id="rId70" Type="http://schemas.openxmlformats.org/officeDocument/2006/relationships/hyperlink" Target="https://drive.google.com/drive/search?q=parent:1OkcpifbUiC1Y6G2u5ApzxEwKzOL1_kpP%20%22R1-013-06-026-Federal%20Practice%203914%2032.pdf%22" TargetMode="External"/><Relationship Id="rId139" Type="http://schemas.openxmlformats.org/officeDocument/2006/relationships/hyperlink" Target="https://drive.google.com/drive/search?q=parent:1VmyDEdY-rZ9IfPP9oyBpoZpjcDWGggJR%20%22SP-058-Wages%20and%20White%20Lion%20Invs.pdf%22" TargetMode="External"/><Relationship Id="rId138" Type="http://schemas.openxmlformats.org/officeDocument/2006/relationships/hyperlink" Target="https://drive.google.com/drive/search?q=parent:1OkcpifbUiC1Y6G2u5ApzxEwKzOL1_kpP%20%22R1-031-01-057-Chenery%20Corp.pdf%22" TargetMode="External"/><Relationship Id="rId137" Type="http://schemas.openxmlformats.org/officeDocument/2006/relationships/hyperlink" Target="https://drive.google.com/drive/search?q=parent:1VmyDEdY-rZ9IfPP9oyBpoZpjcDWGggJR%20%22SP-057-Chenery%20Corp.pdf%22" TargetMode="External"/><Relationship Id="rId132" Type="http://schemas.openxmlformats.org/officeDocument/2006/relationships/hyperlink" Target="https://drive.google.com/drive/search?q=parent:1OkcpifbUiC1Y6G2u5ApzxEwKzOL1_kpP%20%22R1-029-03-054-Digital%20Equip%20Corp.pdf%22" TargetMode="External"/><Relationship Id="rId131" Type="http://schemas.openxmlformats.org/officeDocument/2006/relationships/hyperlink" Target="https://drive.google.com/drive/search?q=parent:1VmyDEdY-rZ9IfPP9oyBpoZpjcDWGggJR%20%22SP-054-Digital%20Equip%20Corp.pdf%22" TargetMode="External"/><Relationship Id="rId130" Type="http://schemas.openxmlformats.org/officeDocument/2006/relationships/hyperlink" Target="https://drive.google.com/drive/search?q=parent:1OkcpifbUiC1Y6G2u5ApzxEwKzOL1_kpP%20%22R1-029-02-053-Kreider.pdf%22" TargetMode="External"/><Relationship Id="rId136" Type="http://schemas.openxmlformats.org/officeDocument/2006/relationships/hyperlink" Target="https://drive.google.com/drive/search?q=parent:1OkcpifbUiC1Y6G2u5ApzxEwKzOL1_kpP%20%22R1-030-02-056-706.pdf%22" TargetMode="External"/><Relationship Id="rId135" Type="http://schemas.openxmlformats.org/officeDocument/2006/relationships/hyperlink" Target="https://drive.google.com/drive/search?q=parent:1VmyDEdY-rZ9IfPP9oyBpoZpjcDWGggJR%20%22SP-056-706.pdf%22" TargetMode="External"/><Relationship Id="rId134" Type="http://schemas.openxmlformats.org/officeDocument/2006/relationships/hyperlink" Target="https://drive.google.com/drive/search?q=parent:1OkcpifbUiC1Y6G2u5ApzxEwKzOL1_kpP%20%22R1-030-01-055-Bagley.pdf%22" TargetMode="External"/><Relationship Id="rId133" Type="http://schemas.openxmlformats.org/officeDocument/2006/relationships/hyperlink" Target="https://drive.google.com/drive/search?q=parent:1VmyDEdY-rZ9IfPP9oyBpoZpjcDWGggJR%20%22SP-055-Bagley.pdf%22" TargetMode="External"/><Relationship Id="rId62" Type="http://schemas.openxmlformats.org/officeDocument/2006/relationships/hyperlink" Target="https://drive.google.com/drive/search?q=parent:1OkcpifbUiC1Y6G2u5ApzxEwKzOL1_kpP%20%22R1-013-02-022-Lammon%20Dizzying.pdf%22" TargetMode="External"/><Relationship Id="rId61" Type="http://schemas.openxmlformats.org/officeDocument/2006/relationships/hyperlink" Target="https://drive.google.com/drive/search?q=parent:1VmyDEdY-rZ9IfPP9oyBpoZpjcDWGggJR%20%22SP-022-Lammon%20Dizzying.pdf%22" TargetMode="External"/><Relationship Id="rId64" Type="http://schemas.openxmlformats.org/officeDocument/2006/relationships/hyperlink" Target="https://drive.google.com/drive/search?q=parent:1OkcpifbUiC1Y6G2u5ApzxEwKzOL1_kpP%20%22R1-013-03-023-Krent.pdf%22" TargetMode="External"/><Relationship Id="rId63" Type="http://schemas.openxmlformats.org/officeDocument/2006/relationships/hyperlink" Target="https://drive.google.com/drive/search?q=parent:1VmyDEdY-rZ9IfPP9oyBpoZpjcDWGggJR%20%22SP-023-Krent.pdf%22" TargetMode="External"/><Relationship Id="rId66" Type="http://schemas.openxmlformats.org/officeDocument/2006/relationships/hyperlink" Target="https://drive.google.com/drive/search?q=parent:1OkcpifbUiC1Y6G2u5ApzxEwKzOL1_kpP%20%22R1-013-04-024-Biever.pdf%22" TargetMode="External"/><Relationship Id="rId65" Type="http://schemas.openxmlformats.org/officeDocument/2006/relationships/hyperlink" Target="https://drive.google.com/drive/search?q=parent:1VmyDEdY-rZ9IfPP9oyBpoZpjcDWGggJR%20%22SP-024-Biever.pdf%22" TargetMode="External"/><Relationship Id="rId171" Type="http://schemas.openxmlformats.org/officeDocument/2006/relationships/drawing" Target="../drawings/drawing6.xml"/><Relationship Id="rId68" Type="http://schemas.openxmlformats.org/officeDocument/2006/relationships/hyperlink" Target="https://drive.google.com/drive/search?q=parent:1OkcpifbUiC1Y6G2u5ApzxEwKzOL1_kpP%20%22R1-013-05-025-Lynch.pdf%22" TargetMode="External"/><Relationship Id="rId170" Type="http://schemas.openxmlformats.org/officeDocument/2006/relationships/hyperlink" Target="https://drive.google.com/drive/search?q=parent:1OkcpifbUiC1Y6G2u5ApzxEwKzOL1_kpP%20%22R1-001-00-259-Friends%202008.pdf%22" TargetMode="External"/><Relationship Id="rId67" Type="http://schemas.openxmlformats.org/officeDocument/2006/relationships/hyperlink" Target="https://drive.google.com/drive/search?q=parent:1VmyDEdY-rZ9IfPP9oyBpoZpjcDWGggJR%20%22SP-025-Lynch.pdf%22" TargetMode="External"/><Relationship Id="rId60" Type="http://schemas.openxmlformats.org/officeDocument/2006/relationships/hyperlink" Target="https://drive.google.com/drive/search?q=parent:1OkcpifbUiC1Y6G2u5ApzxEwKzOL1_kpP%20%22R1-013-01-021-Lammon%20Appealability.pdf%22" TargetMode="External"/><Relationship Id="rId165" Type="http://schemas.openxmlformats.org/officeDocument/2006/relationships/hyperlink" Target="https://drive.google.com/drive/search?q=parent:1VmyDEdY-rZ9IfPP9oyBpoZpjcDWGggJR%20%22SP-046-1292.pdf%22" TargetMode="External"/><Relationship Id="rId69" Type="http://schemas.openxmlformats.org/officeDocument/2006/relationships/hyperlink" Target="https://drive.google.com/drive/search?q=parent:1VmyDEdY-rZ9IfPP9oyBpoZpjcDWGggJR%20%22SP-026-Federal%20Practice%203914%2032.pdf%22" TargetMode="External"/><Relationship Id="rId164" Type="http://schemas.openxmlformats.org/officeDocument/2006/relationships/hyperlink" Target="https://drive.google.com/drive/search?q=parent:1OkcpifbUiC1Y6G2u5ApzxEwKzOL1_kpP%20%22R1-001-00-046-1292.pdf%22" TargetMode="External"/><Relationship Id="rId163" Type="http://schemas.openxmlformats.org/officeDocument/2006/relationships/hyperlink" Target="https://drive.google.com/drive/search?q=parent:1VmyDEdY-rZ9IfPP9oyBpoZpjcDWGggJR%20%22SP-046-1292.pdf%22" TargetMode="External"/><Relationship Id="rId162" Type="http://schemas.openxmlformats.org/officeDocument/2006/relationships/hyperlink" Target="https://drive.google.com/drive/search?q=parent:1OkcpifbUiC1Y6G2u5ApzxEwKzOL1_kpP%20%22R1-037-01-068-Pauly%20v%20US%20Dept%20of%20Agri.pdf%22" TargetMode="External"/><Relationship Id="rId169" Type="http://schemas.openxmlformats.org/officeDocument/2006/relationships/hyperlink" Target="https://drive.google.com/drive/search?q=parent:1VmyDEdY-rZ9IfPP9oyBpoZpjcDWGggJR%20%22SP-259-Friends%202008.pdf%22" TargetMode="External"/><Relationship Id="rId168" Type="http://schemas.openxmlformats.org/officeDocument/2006/relationships/hyperlink" Target="https://drive.google.com/drive/search?q=parent:1OkcpifbUiC1Y6G2u5ApzxEwKzOL1_kpP%20%22R1-001-00-159-Billboard%20(1976).pdf%22" TargetMode="External"/><Relationship Id="rId167" Type="http://schemas.openxmlformats.org/officeDocument/2006/relationships/hyperlink" Target="https://drive.google.com/drive/search?q=parent:1VmyDEdY-rZ9IfPP9oyBpoZpjcDWGggJR%20%22SP-159-Billboard%20(1976).pdf%22" TargetMode="External"/><Relationship Id="rId166" Type="http://schemas.openxmlformats.org/officeDocument/2006/relationships/hyperlink" Target="https://drive.google.com/drive/search?q=parent:1OkcpifbUiC1Y6G2u5ApzxEwKzOL1_kpP%20%22R1-001-00-046-1292.pdf%22" TargetMode="External"/><Relationship Id="rId51" Type="http://schemas.openxmlformats.org/officeDocument/2006/relationships/hyperlink" Target="https://drive.google.com/drive/search?q=parent:1VmyDEdY-rZ9IfPP9oyBpoZpjcDWGggJR%20%22SP-017-Ho.pdf%22" TargetMode="External"/><Relationship Id="rId50" Type="http://schemas.openxmlformats.org/officeDocument/2006/relationships/hyperlink" Target="https://drive.google.com/drive/search?q=parent:1OkcpifbUiC1Y6G2u5ApzxEwKzOL1_kpP%20%22R1-011-02-016-Developments.pdf%22" TargetMode="External"/><Relationship Id="rId53" Type="http://schemas.openxmlformats.org/officeDocument/2006/relationships/hyperlink" Target="https://drive.google.com/drive/search?q=parent:1VmyDEdY-rZ9IfPP9oyBpoZpjcDWGggJR%20%22SP-018-Jordan.pdf%22" TargetMode="External"/><Relationship Id="rId52" Type="http://schemas.openxmlformats.org/officeDocument/2006/relationships/hyperlink" Target="https://drive.google.com/drive/search?q=parent:1OkcpifbUiC1Y6G2u5ApzxEwKzOL1_kpP%20%22R1-011-03-017-Ho.pdf%22" TargetMode="External"/><Relationship Id="rId55" Type="http://schemas.openxmlformats.org/officeDocument/2006/relationships/hyperlink" Target="https://drive.google.com/drive/search?q=parent:1VmyDEdY-rZ9IfPP9oyBpoZpjcDWGggJR%20%22SP-019-Finkelstein.pdf%22" TargetMode="External"/><Relationship Id="rId161" Type="http://schemas.openxmlformats.org/officeDocument/2006/relationships/hyperlink" Target="https://drive.google.com/drive/search?q=parent:1VmyDEdY-rZ9IfPP9oyBpoZpjcDWGggJR%20%22SP-068-Pauly%20v%20US%20Dept%20of%20Agri.pdf%22" TargetMode="External"/><Relationship Id="rId54" Type="http://schemas.openxmlformats.org/officeDocument/2006/relationships/hyperlink" Target="https://drive.google.com/drive/search?q=parent:1OkcpifbUiC1Y6G2u5ApzxEwKzOL1_kpP%20%22R1-011-04-018-Jordan.pdf%22" TargetMode="External"/><Relationship Id="rId160" Type="http://schemas.openxmlformats.org/officeDocument/2006/relationships/hyperlink" Target="https://drive.google.com/drive/search?q=parent:1OkcpifbUiC1Y6G2u5ApzxEwKzOL1_kpP%20%22R1-036-01-067-Mendoza.pdf%22" TargetMode="External"/><Relationship Id="rId57" Type="http://schemas.openxmlformats.org/officeDocument/2006/relationships/hyperlink" Target="https://drive.google.com/drive/search?q=parent:1VmyDEdY-rZ9IfPP9oyBpoZpjcDWGggJR%20%22SP-020-Infra%20Notes%2089-97%20and%20Accompanying%20Text%20Pp%2017-19.pdf%22" TargetMode="External"/><Relationship Id="rId56" Type="http://schemas.openxmlformats.org/officeDocument/2006/relationships/hyperlink" Target="https://drive.google.com/drive/search?q=parent:1OkcpifbUiC1Y6G2u5ApzxEwKzOL1_kpP%20%22R1-012-01-019-Finkelstein.pdf%22" TargetMode="External"/><Relationship Id="rId159" Type="http://schemas.openxmlformats.org/officeDocument/2006/relationships/hyperlink" Target="https://drive.google.com/drive/search?q=parent:1VmyDEdY-rZ9IfPP9oyBpoZpjcDWGggJR%20%22SP-067-Mendoza.pdf%22" TargetMode="External"/><Relationship Id="rId59" Type="http://schemas.openxmlformats.org/officeDocument/2006/relationships/hyperlink" Target="https://drive.google.com/drive/search?q=parent:1VmyDEdY-rZ9IfPP9oyBpoZpjcDWGggJR%20%22SP-021-Lammon%20Appealability.pdf%22" TargetMode="External"/><Relationship Id="rId154" Type="http://schemas.openxmlformats.org/officeDocument/2006/relationships/hyperlink" Target="https://drive.google.com/drive/search?q=parent:1OkcpifbUiC1Y6G2u5ApzxEwKzOL1_kpP%20%22R1-034-01-065-Motor%20Vehicle%20Mfrs.pdf%22" TargetMode="External"/><Relationship Id="rId58" Type="http://schemas.openxmlformats.org/officeDocument/2006/relationships/hyperlink" Target="https://drive.google.com/drive/search?q=parent:1OkcpifbUiC1Y6G2u5ApzxEwKzOL1_kpP%20%22R1-012-02-020-Infra%20Notes%2089-97%20and%20Accompanying%20Text%20Pp%2017-19.pdf%22" TargetMode="External"/><Relationship Id="rId153" Type="http://schemas.openxmlformats.org/officeDocument/2006/relationships/hyperlink" Target="https://drive.google.com/drive/search?q=parent:1VmyDEdY-rZ9IfPP9oyBpoZpjcDWGggJR%20%22SP-065-Motor%20Vehicle%20Mfrs.pdf%22" TargetMode="External"/><Relationship Id="rId152" Type="http://schemas.openxmlformats.org/officeDocument/2006/relationships/hyperlink" Target="https://drive.google.com/drive/search?q=parent:1OkcpifbUiC1Y6G2u5ApzxEwKzOL1_kpP%20%22R1-033-02-064-Fine.pdf%22" TargetMode="External"/><Relationship Id="rId151" Type="http://schemas.openxmlformats.org/officeDocument/2006/relationships/hyperlink" Target="https://drive.google.com/drive/search?q=parent:1VmyDEdY-rZ9IfPP9oyBpoZpjcDWGggJR%20%22SP-064-Fine.pdf%22" TargetMode="External"/><Relationship Id="rId158" Type="http://schemas.openxmlformats.org/officeDocument/2006/relationships/hyperlink" Target="https://drive.google.com/drive/search?q=parent:1OkcpifbUiC1Y6G2u5ApzxEwKzOL1_kpP%20%22R1-035-02-025-Lynch.pdf%22" TargetMode="External"/><Relationship Id="rId157" Type="http://schemas.openxmlformats.org/officeDocument/2006/relationships/hyperlink" Target="https://drive.google.com/drive/search?q=parent:1VmyDEdY-rZ9IfPP9oyBpoZpjcDWGggJR%20%22SP-025-Lynch.pdf%22" TargetMode="External"/><Relationship Id="rId156" Type="http://schemas.openxmlformats.org/officeDocument/2006/relationships/hyperlink" Target="https://drive.google.com/drive/search?q=parent:1OkcpifbUiC1Y6G2u5ApzxEwKzOL1_kpP%20%22R1-035-01-066-Friendly.pdf%22" TargetMode="External"/><Relationship Id="rId155" Type="http://schemas.openxmlformats.org/officeDocument/2006/relationships/hyperlink" Target="https://drive.google.com/drive/search?q=parent:1VmyDEdY-rZ9IfPP9oyBpoZpjcDWGggJR%20%22SP-066-Friendly.pdf%22" TargetMode="External"/><Relationship Id="rId107" Type="http://schemas.openxmlformats.org/officeDocument/2006/relationships/hyperlink" Target="https://drive.google.com/drive/search?q=parent:1VmyDEdY-rZ9IfPP9oyBpoZpjcDWGggJR%20%22SP-045-1291.pdf%22" TargetMode="External"/><Relationship Id="rId106" Type="http://schemas.openxmlformats.org/officeDocument/2006/relationships/hyperlink" Target="https://drive.google.com/drive/search?q=parent:1OkcpifbUiC1Y6G2u5ApzxEwKzOL1_kpP%20%22R1-023-01-044-Infra%20Notes%2029.pdf%22" TargetMode="External"/><Relationship Id="rId105" Type="http://schemas.openxmlformats.org/officeDocument/2006/relationships/hyperlink" Target="https://drive.google.com/drive/search?q=parent:1VmyDEdY-rZ9IfPP9oyBpoZpjcDWGggJR%20%22SP-044-Infra%20Notes%2029.pdf%22" TargetMode="External"/><Relationship Id="rId104" Type="http://schemas.openxmlformats.org/officeDocument/2006/relationships/hyperlink" Target="https://drive.google.com/drive/search?q=parent:1OkcpifbUiC1Y6G2u5ApzxEwKzOL1_kpP%20%22R1-022-01-043-Am%20Constr%20Co.pdf%22" TargetMode="External"/><Relationship Id="rId109" Type="http://schemas.openxmlformats.org/officeDocument/2006/relationships/hyperlink" Target="https://drive.google.com/drive/search?q=parent:1VmyDEdY-rZ9IfPP9oyBpoZpjcDWGggJR%20%22SP-046-1292.pdf%22" TargetMode="External"/><Relationship Id="rId108" Type="http://schemas.openxmlformats.org/officeDocument/2006/relationships/hyperlink" Target="https://drive.google.com/drive/search?q=parent:1OkcpifbUiC1Y6G2u5ApzxEwKzOL1_kpP%20%22R1-024-01-045-1291.pdf%22" TargetMode="External"/><Relationship Id="rId103" Type="http://schemas.openxmlformats.org/officeDocument/2006/relationships/hyperlink" Target="https://drive.google.com/drive/search?q=parent:1VmyDEdY-rZ9IfPP9oyBpoZpjcDWGggJR%20%22SP-043-Am%20Constr%20Co.pdf%22" TargetMode="External"/><Relationship Id="rId102" Type="http://schemas.openxmlformats.org/officeDocument/2006/relationships/hyperlink" Target="https://drive.google.com/drive/search?q=parent:1OkcpifbUiC1Y6G2u5ApzxEwKzOL1_kpP%20%22R1-021-05-042-Bearns.pdf%22" TargetMode="External"/><Relationship Id="rId101" Type="http://schemas.openxmlformats.org/officeDocument/2006/relationships/hyperlink" Target="https://drive.google.com/drive/search?q=parent:1VmyDEdY-rZ9IfPP9oyBpoZpjcDWGggJR%20%22SP-042-Bearns.pdf%22" TargetMode="External"/><Relationship Id="rId100" Type="http://schemas.openxmlformats.org/officeDocument/2006/relationships/hyperlink" Target="https://drive.google.com/drive/search?q=parent:1OkcpifbUiC1Y6G2u5ApzxEwKzOL1_kpP%20%22R1-021-04-041-Holton.pdf%22" TargetMode="External"/><Relationship Id="rId129" Type="http://schemas.openxmlformats.org/officeDocument/2006/relationships/hyperlink" Target="https://drive.google.com/drive/search?q=parent:1VmyDEdY-rZ9IfPP9oyBpoZpjcDWGggJR%20%22SP-053-Kreider.pdf%22" TargetMode="External"/><Relationship Id="rId128" Type="http://schemas.openxmlformats.org/officeDocument/2006/relationships/hyperlink" Target="https://drive.google.com/drive/search?q=parent:1OkcpifbUiC1Y6G2u5ApzxEwKzOL1_kpP%20%22R1-029-01-052-Papotto.pdf%22" TargetMode="External"/><Relationship Id="rId127" Type="http://schemas.openxmlformats.org/officeDocument/2006/relationships/hyperlink" Target="https://drive.google.com/drive/search?q=parent:1VmyDEdY-rZ9IfPP9oyBpoZpjcDWGggJR%20%22SP-052-Papotto.pdf%22" TargetMode="External"/><Relationship Id="rId126" Type="http://schemas.openxmlformats.org/officeDocument/2006/relationships/hyperlink" Target="https://drive.google.com/drive/search?q=parent:1OkcpifbUiC1Y6G2u5ApzxEwKzOL1_kpP%20%22R1-028-03-026-Federal%20Practice%203914%2032.pdf%22" TargetMode="External"/><Relationship Id="rId121" Type="http://schemas.openxmlformats.org/officeDocument/2006/relationships/hyperlink" Target="https://drive.google.com/drive/search?q=parent:1VmyDEdY-rZ9IfPP9oyBpoZpjcDWGggJR%20%22SP-008-Alsea%20Valley%20Alliance%20v%20Dep't%20of%20Commerce.pdf%22" TargetMode="External"/><Relationship Id="rId120" Type="http://schemas.openxmlformats.org/officeDocument/2006/relationships/hyperlink" Target="https://drive.google.com/drive/search?q=parent:1OkcpifbUiC1Y6G2u5ApzxEwKzOL1_kpP%20%22R1-027-02-050-Infra%20Notes%20132-181.pdf%22" TargetMode="External"/><Relationship Id="rId125" Type="http://schemas.openxmlformats.org/officeDocument/2006/relationships/hyperlink" Target="https://drive.google.com/drive/search?q=parent:1VmyDEdY-rZ9IfPP9oyBpoZpjcDWGggJR%20%22SP-026-Federal%20Practice%203914%2032.pdf%22" TargetMode="External"/><Relationship Id="rId124" Type="http://schemas.openxmlformats.org/officeDocument/2006/relationships/hyperlink" Target="https://drive.google.com/drive/search?q=parent:1OkcpifbUiC1Y6G2u5ApzxEwKzOL1_kpP%20%22R1-028-02-051-Crowder%20v%20Sullivan.pdf%22" TargetMode="External"/><Relationship Id="rId123" Type="http://schemas.openxmlformats.org/officeDocument/2006/relationships/hyperlink" Target="https://drive.google.com/drive/search?q=parent:1VmyDEdY-rZ9IfPP9oyBpoZpjcDWGggJR%20%22SP-051-Crowder%20v%20Sullivan.pdf%22" TargetMode="External"/><Relationship Id="rId122" Type="http://schemas.openxmlformats.org/officeDocument/2006/relationships/hyperlink" Target="https://drive.google.com/drive/search?q=parent:1OkcpifbUiC1Y6G2u5ApzxEwKzOL1_kpP%20%22R1-028-01-008-Alsea%20Valley%20Alliance%20v%20Dep't%20of%20Commerce.pdf%22" TargetMode="External"/><Relationship Id="rId95" Type="http://schemas.openxmlformats.org/officeDocument/2006/relationships/hyperlink" Target="https://drive.google.com/drive/search?q=parent:1VmyDEdY-rZ9IfPP9oyBpoZpjcDWGggJR%20%22SP-039-John%20Muir%20Health.pdf%22" TargetMode="External"/><Relationship Id="rId94" Type="http://schemas.openxmlformats.org/officeDocument/2006/relationships/hyperlink" Target="https://drive.google.com/drive/search?q=parent:1OkcpifbUiC1Y6G2u5ApzxEwKzOL1_kpP%20%22R1-021-01-038-Jackson.pdf%22" TargetMode="External"/><Relationship Id="rId97" Type="http://schemas.openxmlformats.org/officeDocument/2006/relationships/hyperlink" Target="https://drive.google.com/drive/search?q=parent:1VmyDEdY-rZ9IfPP9oyBpoZpjcDWGggJR%20%22SP-040-Federman.pdf%22" TargetMode="External"/><Relationship Id="rId96" Type="http://schemas.openxmlformats.org/officeDocument/2006/relationships/hyperlink" Target="https://drive.google.com/drive/search?q=parent:1OkcpifbUiC1Y6G2u5ApzxEwKzOL1_kpP%20%22R1-021-02-039-John%20Muir%20Health.pdf%22" TargetMode="External"/><Relationship Id="rId99" Type="http://schemas.openxmlformats.org/officeDocument/2006/relationships/hyperlink" Target="https://drive.google.com/drive/search?q=parent:1VmyDEdY-rZ9IfPP9oyBpoZpjcDWGggJR%20%22SP-041-Holton.pdf%22" TargetMode="External"/><Relationship Id="rId98" Type="http://schemas.openxmlformats.org/officeDocument/2006/relationships/hyperlink" Target="https://drive.google.com/drive/search?q=parent:1OkcpifbUiC1Y6G2u5ApzxEwKzOL1_kpP%20%22R1-021-03-040-Federman.pdf%22" TargetMode="External"/><Relationship Id="rId91" Type="http://schemas.openxmlformats.org/officeDocument/2006/relationships/hyperlink" Target="https://drive.google.com/drive/search?q=parent:1VmyDEdY-rZ9IfPP9oyBpoZpjcDWGggJR%20%22SP-037-Clopton.pdf%22" TargetMode="External"/><Relationship Id="rId90" Type="http://schemas.openxmlformats.org/officeDocument/2006/relationships/hyperlink" Target="https://drive.google.com/drive/search?q=parent:1OkcpifbUiC1Y6G2u5ApzxEwKzOL1_kpP%20%22R1-019-01-036-Infra%20Notes%20193-194.pdf%22" TargetMode="External"/><Relationship Id="rId93" Type="http://schemas.openxmlformats.org/officeDocument/2006/relationships/hyperlink" Target="https://drive.google.com/drive/search?q=parent:1VmyDEdY-rZ9IfPP9oyBpoZpjcDWGggJR%20%22SP-038-Jackson.pdf%22" TargetMode="External"/><Relationship Id="rId92" Type="http://schemas.openxmlformats.org/officeDocument/2006/relationships/hyperlink" Target="https://drive.google.com/drive/search?q=parent:1OkcpifbUiC1Y6G2u5ApzxEwKzOL1_kpP%20%22R1-020-01-037-Clopton.pdf%22" TargetMode="External"/><Relationship Id="rId118" Type="http://schemas.openxmlformats.org/officeDocument/2006/relationships/hyperlink" Target="https://drive.google.com/drive/search?q=parent:1OkcpifbUiC1Y6G2u5ApzxEwKzOL1_kpP%20%22R1-027-01-049-Collord%20v%20US%20Dep't%20of%20the%20Interior.pdf%22" TargetMode="External"/><Relationship Id="rId117" Type="http://schemas.openxmlformats.org/officeDocument/2006/relationships/hyperlink" Target="https://drive.google.com/drive/search?q=parent:1VmyDEdY-rZ9IfPP9oyBpoZpjcDWGggJR%20%22SP-049-Collord%20v%20US%20Dep't%20of%20the%20Interior.pdf%22" TargetMode="External"/><Relationship Id="rId116" Type="http://schemas.openxmlformats.org/officeDocument/2006/relationships/hyperlink" Target="https://drive.google.com/drive/search?q=parent:1OkcpifbUiC1Y6G2u5ApzxEwKzOL1_kpP%20%22R1-026-03-048-Infra%20Notes%20280.pdf%22" TargetMode="External"/><Relationship Id="rId115" Type="http://schemas.openxmlformats.org/officeDocument/2006/relationships/hyperlink" Target="https://drive.google.com/drive/search?q=parent:1VmyDEdY-rZ9IfPP9oyBpoZpjcDWGggJR%20%22SP-048-Infra%20Notes%20280.pdf%22" TargetMode="External"/><Relationship Id="rId119" Type="http://schemas.openxmlformats.org/officeDocument/2006/relationships/hyperlink" Target="https://drive.google.com/drive/search?q=parent:1VmyDEdY-rZ9IfPP9oyBpoZpjcDWGggJR%20%22SP-050-Infra%20Notes%20132-181.pdf%22" TargetMode="External"/><Relationship Id="rId110" Type="http://schemas.openxmlformats.org/officeDocument/2006/relationships/hyperlink" Target="https://drive.google.com/drive/search?q=parent:1OkcpifbUiC1Y6G2u5ApzxEwKzOL1_kpP%20%22R1-025-01-046-1292.pdf%22" TargetMode="External"/><Relationship Id="rId114" Type="http://schemas.openxmlformats.org/officeDocument/2006/relationships/hyperlink" Target="https://drive.google.com/drive/search?q=parent:1OkcpifbUiC1Y6G2u5ApzxEwKzOL1_kpP%20%22R1-026-02-046-1292.pdf%22" TargetMode="External"/><Relationship Id="rId113" Type="http://schemas.openxmlformats.org/officeDocument/2006/relationships/hyperlink" Target="https://drive.google.com/drive/search?q=parent:1VmyDEdY-rZ9IfPP9oyBpoZpjcDWGggJR%20%22SP-046-1292.pdf%22" TargetMode="External"/><Relationship Id="rId112" Type="http://schemas.openxmlformats.org/officeDocument/2006/relationships/hyperlink" Target="https://drive.google.com/drive/search?q=parent:1OkcpifbUiC1Y6G2u5ApzxEwKzOL1_kpP%20%22R1-026-01-047-Federal%20Rule.pdf%22" TargetMode="External"/><Relationship Id="rId111" Type="http://schemas.openxmlformats.org/officeDocument/2006/relationships/hyperlink" Target="https://drive.google.com/drive/search?q=parent:1VmyDEdY-rZ9IfPP9oyBpoZpjcDWGggJR%20%22SP-047-Federal%20Rule.pdf%22"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047-05-083-Di%20Bella%20v%20United%20States.pdf%22" TargetMode="External"/><Relationship Id="rId42" Type="http://schemas.openxmlformats.org/officeDocument/2006/relationships/hyperlink" Target="https://drive.google.com/drive/search?q=parent:1OkcpifbUiC1Y6G2u5ApzxEwKzOL1_kpP%20%22R1-047-06-078-Cobbledick.pdf%22" TargetMode="External"/><Relationship Id="rId41" Type="http://schemas.openxmlformats.org/officeDocument/2006/relationships/hyperlink" Target="https://drive.google.com/drive/search?q=parent:1VmyDEdY-rZ9IfPP9oyBpoZpjcDWGggJR%20%22SP-078-Cobbledick.pdf%22" TargetMode="External"/><Relationship Id="rId44" Type="http://schemas.openxmlformats.org/officeDocument/2006/relationships/hyperlink" Target="https://drive.google.com/drive/search?q=parent:1OkcpifbUiC1Y6G2u5ApzxEwKzOL1_kpP%20%22R1-047-07-079-Federal%20Practice%203907.pdf%22" TargetMode="External"/><Relationship Id="rId43" Type="http://schemas.openxmlformats.org/officeDocument/2006/relationships/hyperlink" Target="https://drive.google.com/drive/search?q=parent:1VmyDEdY-rZ9IfPP9oyBpoZpjcDWGggJR%20%22SP-079-Federal%20Practice%203907.pdf%22" TargetMode="External"/><Relationship Id="rId46" Type="http://schemas.openxmlformats.org/officeDocument/2006/relationships/hyperlink" Target="https://drive.google.com/drive/search?q=parent:1OkcpifbUiC1Y6G2u5ApzxEwKzOL1_kpP%20%22R1-047-08-084-Lammon%20Disarming.pdf%22" TargetMode="External"/><Relationship Id="rId45" Type="http://schemas.openxmlformats.org/officeDocument/2006/relationships/hyperlink" Target="https://drive.google.com/drive/search?q=parent:1VmyDEdY-rZ9IfPP9oyBpoZpjcDWGggJR%20%22SP-084-Lammon%20Disarming.pdf%22" TargetMode="External"/><Relationship Id="rId48" Type="http://schemas.openxmlformats.org/officeDocument/2006/relationships/hyperlink" Target="https://drive.google.com/drive/search?q=parent:1OkcpifbUiC1Y6G2u5ApzxEwKzOL1_kpP%20%22R1-047-09-085-Frank.pdf%22" TargetMode="External"/><Relationship Id="rId47" Type="http://schemas.openxmlformats.org/officeDocument/2006/relationships/hyperlink" Target="https://drive.google.com/drive/search?q=parent:1VmyDEdY-rZ9IfPP9oyBpoZpjcDWGggJR%20%22SP-085-Frank.pdf%22" TargetMode="External"/><Relationship Id="rId49" Type="http://schemas.openxmlformats.org/officeDocument/2006/relationships/hyperlink" Target="https://drive.google.com/drive/search?q=parent:1VmyDEdY-rZ9IfPP9oyBpoZpjcDWGggJR%20%22SP-086-Infra%20Notes%2053-97%20and%20Accompanying%20Text.pdf%22" TargetMode="External"/><Relationship Id="rId31" Type="http://schemas.openxmlformats.org/officeDocument/2006/relationships/hyperlink" Target="https://drive.google.com/drive/search?q=parent:1VmyDEdY-rZ9IfPP9oyBpoZpjcDWGggJR%20%22SP-080-Microsoft%20Corp%20v%20Baker.pdf%22" TargetMode="External"/><Relationship Id="rId30" Type="http://schemas.openxmlformats.org/officeDocument/2006/relationships/hyperlink" Target="https://drive.google.com/drive/search?q=parent:1OkcpifbUiC1Y6G2u5ApzxEwKzOL1_kpP%20%22R1-046-02-079-Federal%20Practice%203907.pdf%22" TargetMode="External"/><Relationship Id="rId33" Type="http://schemas.openxmlformats.org/officeDocument/2006/relationships/hyperlink" Target="https://drive.google.com/drive/search?q=parent:1VmyDEdY-rZ9IfPP9oyBpoZpjcDWGggJR%20%22SP-081-Mohawk.pdf%22" TargetMode="External"/><Relationship Id="rId32" Type="http://schemas.openxmlformats.org/officeDocument/2006/relationships/hyperlink" Target="https://drive.google.com/drive/search?q=parent:1OkcpifbUiC1Y6G2u5ApzxEwKzOL1_kpP%20%22R1-047-01-080-Microsoft%20Corp%20v%20Baker.pdf%22" TargetMode="External"/><Relationship Id="rId35" Type="http://schemas.openxmlformats.org/officeDocument/2006/relationships/hyperlink" Target="https://drive.google.com/drive/search?q=parent:1VmyDEdY-rZ9IfPP9oyBpoZpjcDWGggJR%20%22SP-082-Johnson%20v%20Jones.pdf%22" TargetMode="External"/><Relationship Id="rId34" Type="http://schemas.openxmlformats.org/officeDocument/2006/relationships/hyperlink" Target="https://drive.google.com/drive/search?q=parent:1OkcpifbUiC1Y6G2u5ApzxEwKzOL1_kpP%20%22R1-047-02-081-Mohawk.pdf%22" TargetMode="External"/><Relationship Id="rId37" Type="http://schemas.openxmlformats.org/officeDocument/2006/relationships/hyperlink" Target="https://drive.google.com/drive/search?q=parent:1VmyDEdY-rZ9IfPP9oyBpoZpjcDWGggJR%20%22SP-054-Digital%20Equip%20Corp.pdf%22" TargetMode="External"/><Relationship Id="rId36" Type="http://schemas.openxmlformats.org/officeDocument/2006/relationships/hyperlink" Target="https://drive.google.com/drive/search?q=parent:1OkcpifbUiC1Y6G2u5ApzxEwKzOL1_kpP%20%22R1-047-03-082-Johnson%20v%20Jones.pdf%22" TargetMode="External"/><Relationship Id="rId39" Type="http://schemas.openxmlformats.org/officeDocument/2006/relationships/hyperlink" Target="https://drive.google.com/drive/search?q=parent:1VmyDEdY-rZ9IfPP9oyBpoZpjcDWGggJR%20%22SP-083-Di%20Bella%20v%20United%20States.pdf%22" TargetMode="External"/><Relationship Id="rId38" Type="http://schemas.openxmlformats.org/officeDocument/2006/relationships/hyperlink" Target="https://drive.google.com/drive/search?q=parent:1OkcpifbUiC1Y6G2u5ApzxEwKzOL1_kpP%20%22R1-047-04-054-Digital%20Equip%20Corp.pdf%22" TargetMode="External"/><Relationship Id="rId20" Type="http://schemas.openxmlformats.org/officeDocument/2006/relationships/hyperlink" Target="https://drive.google.com/drive/search?q=parent:1OkcpifbUiC1Y6G2u5ApzxEwKzOL1_kpP%20%22R1-043-03-046-1292.pdf%22" TargetMode="External"/><Relationship Id="rId22" Type="http://schemas.openxmlformats.org/officeDocument/2006/relationships/hyperlink" Target="https://drive.google.com/drive/search?q=parent:1OkcpifbUiC1Y6G2u5ApzxEwKzOL1_kpP%20%22R1-044-01-075-Bachowski%20v%20Usery.pdf%22" TargetMode="External"/><Relationship Id="rId21" Type="http://schemas.openxmlformats.org/officeDocument/2006/relationships/hyperlink" Target="https://drive.google.com/drive/search?q=parent:1VmyDEdY-rZ9IfPP9oyBpoZpjcDWGggJR%20%22SP-075-Bachowski%20v%20Usery.pdf%22" TargetMode="External"/><Relationship Id="rId24" Type="http://schemas.openxmlformats.org/officeDocument/2006/relationships/hyperlink" Target="https://drive.google.com/drive/search?q=parent:1OkcpifbUiC1Y6G2u5ApzxEwKzOL1_kpP%20%22R1-045-01-045-1291.pdf%22" TargetMode="External"/><Relationship Id="rId23" Type="http://schemas.openxmlformats.org/officeDocument/2006/relationships/hyperlink" Target="https://drive.google.com/drive/search?q=parent:1VmyDEdY-rZ9IfPP9oyBpoZpjcDWGggJR%20%22SP-045-1291.pdf%22" TargetMode="External"/><Relationship Id="rId26" Type="http://schemas.openxmlformats.org/officeDocument/2006/relationships/hyperlink" Target="https://drive.google.com/drive/search?q=parent:1OkcpifbUiC1Y6G2u5ApzxEwKzOL1_kpP%20%22R1-045-02-077-P.%20Law%2079.pdf%22" TargetMode="External"/><Relationship Id="rId25" Type="http://schemas.openxmlformats.org/officeDocument/2006/relationships/hyperlink" Target="https://drive.google.com/drive/search?q=parent:1VmyDEdY-rZ9IfPP9oyBpoZpjcDWGggJR%20%22SP-077-P.%20Law%2079.pdf%22" TargetMode="External"/><Relationship Id="rId28" Type="http://schemas.openxmlformats.org/officeDocument/2006/relationships/hyperlink" Target="https://drive.google.com/drive/search?q=parent:1OkcpifbUiC1Y6G2u5ApzxEwKzOL1_kpP%20%22R1-046-01-078-Cobbledick.pdf%22" TargetMode="External"/><Relationship Id="rId27" Type="http://schemas.openxmlformats.org/officeDocument/2006/relationships/hyperlink" Target="https://drive.google.com/drive/search?q=parent:1VmyDEdY-rZ9IfPP9oyBpoZpjcDWGggJR%20%22SP-078-Cobbledick.pdf%22" TargetMode="External"/><Relationship Id="rId29" Type="http://schemas.openxmlformats.org/officeDocument/2006/relationships/hyperlink" Target="https://drive.google.com/drive/search?q=parent:1VmyDEdY-rZ9IfPP9oyBpoZpjcDWGggJR%20%22SP-079-Federal%20Practice%203907.pdf%22" TargetMode="External"/><Relationship Id="rId11" Type="http://schemas.openxmlformats.org/officeDocument/2006/relationships/hyperlink" Target="https://drive.google.com/drive/search?q=parent:1VmyDEdY-rZ9IfPP9oyBpoZpjcDWGggJR%20%22SP-045-1291.pdf%22" TargetMode="External"/><Relationship Id="rId10" Type="http://schemas.openxmlformats.org/officeDocument/2006/relationships/hyperlink" Target="https://drive.google.com/drive/search?q=parent:1OkcpifbUiC1Y6G2u5ApzxEwKzOL1_kpP%20%22R1-041-01-073-Catlin%20v%20United%20States.pdf%22" TargetMode="External"/><Relationship Id="rId13" Type="http://schemas.openxmlformats.org/officeDocument/2006/relationships/hyperlink" Target="https://drive.google.com/drive/search?q=parent:1VmyDEdY-rZ9IfPP9oyBpoZpjcDWGggJR%20%22SP-074-62%20Stat.pdf%22" TargetMode="External"/><Relationship Id="rId12" Type="http://schemas.openxmlformats.org/officeDocument/2006/relationships/hyperlink" Target="https://drive.google.com/drive/search?q=parent:1OkcpifbUiC1Y6G2u5ApzxEwKzOL1_kpP%20%22R1-042-01-045-1291.pdf%22" TargetMode="External"/><Relationship Id="rId15" Type="http://schemas.openxmlformats.org/officeDocument/2006/relationships/hyperlink" Target="https://drive.google.com/drive/search?q=parent:1VmyDEdY-rZ9IfPP9oyBpoZpjcDWGggJR%20%22SP-075-Bachowski%20v%20Usery.pdf%22" TargetMode="External"/><Relationship Id="rId14" Type="http://schemas.openxmlformats.org/officeDocument/2006/relationships/hyperlink" Target="https://drive.google.com/drive/search?q=parent:1OkcpifbUiC1Y6G2u5ApzxEwKzOL1_kpP%20%22R1-042-02-074-62%20Stat.pdf%22" TargetMode="External"/><Relationship Id="rId17" Type="http://schemas.openxmlformats.org/officeDocument/2006/relationships/hyperlink" Target="https://drive.google.com/drive/search?q=parent:1VmyDEdY-rZ9IfPP9oyBpoZpjcDWGggJR%20%22SP-076-Katz%20v%20Carte%20Blanche%20Corp.pdf%22" TargetMode="External"/><Relationship Id="rId16" Type="http://schemas.openxmlformats.org/officeDocument/2006/relationships/hyperlink" Target="https://drive.google.com/drive/search?q=parent:1OkcpifbUiC1Y6G2u5ApzxEwKzOL1_kpP%20%22R1-043-01-075-Bachowski%20v%20Usery.pdf%22" TargetMode="External"/><Relationship Id="rId19" Type="http://schemas.openxmlformats.org/officeDocument/2006/relationships/hyperlink" Target="https://drive.google.com/drive/search?q=parent:1VmyDEdY-rZ9IfPP9oyBpoZpjcDWGggJR%20%22SP-046-1292.pdf%22" TargetMode="External"/><Relationship Id="rId18" Type="http://schemas.openxmlformats.org/officeDocument/2006/relationships/hyperlink" Target="https://drive.google.com/drive/search?q=parent:1OkcpifbUiC1Y6G2u5ApzxEwKzOL1_kpP%20%22R1-043-02-076-Katz%20v%20Carte%20Blanche%20Corp.pdf%22" TargetMode="External"/><Relationship Id="rId84" Type="http://schemas.openxmlformats.org/officeDocument/2006/relationships/hyperlink" Target="https://drive.google.com/drive/search?q=parent:1OkcpifbUiC1Y6G2u5ApzxEwKzOL1_kpP%20%22R1-056-03-083-Di%20Bella%20v%20United%20States.pdf%22" TargetMode="External"/><Relationship Id="rId83" Type="http://schemas.openxmlformats.org/officeDocument/2006/relationships/hyperlink" Target="https://drive.google.com/drive/search?q=parent:1VmyDEdY-rZ9IfPP9oyBpoZpjcDWGggJR%20%22SP-083-Di%20Bella%20v%20United%20States.pdf%22" TargetMode="External"/><Relationship Id="rId86" Type="http://schemas.openxmlformats.org/officeDocument/2006/relationships/hyperlink" Target="https://drive.google.com/drive/search?q=parent:1OkcpifbUiC1Y6G2u5ApzxEwKzOL1_kpP%20%22R1-057-01-078-Cobbledick.pdf%22" TargetMode="External"/><Relationship Id="rId85" Type="http://schemas.openxmlformats.org/officeDocument/2006/relationships/hyperlink" Target="https://drive.google.com/drive/search?q=parent:1VmyDEdY-rZ9IfPP9oyBpoZpjcDWGggJR%20%22SP-078-Cobbledick.pdf%22" TargetMode="External"/><Relationship Id="rId88" Type="http://schemas.openxmlformats.org/officeDocument/2006/relationships/hyperlink" Target="https://drive.google.com/drive/search?q=parent:1OkcpifbUiC1Y6G2u5ApzxEwKzOL1_kpP%20%22R1-058-01-073-Catlin%20v%20United%20States.pdf%22" TargetMode="External"/><Relationship Id="rId150" Type="http://schemas.openxmlformats.org/officeDocument/2006/relationships/hyperlink" Target="https://drive.google.com/drive/search?q=parent:1OkcpifbUiC1Y6G2u5ApzxEwKzOL1_kpP%20%22R1-080-02-104-In%20Re%20Long-Distance%20Tel%20Serv%20Fed%20Excise%20Tax%20Refund%20Litig.pdf%22" TargetMode="External"/><Relationship Id="rId87" Type="http://schemas.openxmlformats.org/officeDocument/2006/relationships/hyperlink" Target="https://drive.google.com/drive/search?q=parent:1VmyDEdY-rZ9IfPP9oyBpoZpjcDWGggJR%20%22SP-073-Catlin%20v%20United%20States.pdf%22" TargetMode="External"/><Relationship Id="rId89" Type="http://schemas.openxmlformats.org/officeDocument/2006/relationships/hyperlink" Target="https://drive.google.com/drive/search?q=parent:1VmyDEdY-rZ9IfPP9oyBpoZpjcDWGggJR%20%22SP-073-Catlin%20v%20United%20States.pdf%22" TargetMode="External"/><Relationship Id="rId80" Type="http://schemas.openxmlformats.org/officeDocument/2006/relationships/hyperlink" Target="https://drive.google.com/drive/search?q=parent:1OkcpifbUiC1Y6G2u5ApzxEwKzOL1_kpP%20%22R1-056-01-078-Cobbledick.pdf%22" TargetMode="External"/><Relationship Id="rId82" Type="http://schemas.openxmlformats.org/officeDocument/2006/relationships/hyperlink" Target="https://drive.google.com/drive/search?q=parent:1OkcpifbUiC1Y6G2u5ApzxEwKzOL1_kpP%20%22R1-056-02-070-Act%20of%20Sept%2024.pdf%22" TargetMode="External"/><Relationship Id="rId81" Type="http://schemas.openxmlformats.org/officeDocument/2006/relationships/hyperlink" Target="https://drive.google.com/drive/search?q=parent:1VmyDEdY-rZ9IfPP9oyBpoZpjcDWGggJR%20%22SP-070-Act%20of%20Sept%2024.pdf%22" TargetMode="External"/><Relationship Id="rId1" Type="http://schemas.openxmlformats.org/officeDocument/2006/relationships/hyperlink" Target="https://drive.google.com/drive/search?q=parent:1VmyDEdY-rZ9IfPP9oyBpoZpjcDWGggJR%20%22SP-069-Vista.pdf%22" TargetMode="External"/><Relationship Id="rId2" Type="http://schemas.openxmlformats.org/officeDocument/2006/relationships/hyperlink" Target="https://drive.google.com/drive/search?q=parent:1OkcpifbUiC1Y6G2u5ApzxEwKzOL1_kpP%20%22R1-038-01-069-Vista.pdf%22" TargetMode="External"/><Relationship Id="rId3" Type="http://schemas.openxmlformats.org/officeDocument/2006/relationships/hyperlink" Target="https://drive.google.com/drive/search?q=parent:1VmyDEdY-rZ9IfPP9oyBpoZpjcDWGggJR%20%22SP-070-Act%20of%20Sept%2024.pdf%22" TargetMode="External"/><Relationship Id="rId149" Type="http://schemas.openxmlformats.org/officeDocument/2006/relationships/hyperlink" Target="https://drive.google.com/drive/search?q=parent:1VmyDEdY-rZ9IfPP9oyBpoZpjcDWGggJR%20%22SP-104-In%20Re%20Long-Distance%20Tel%20Serv%20Fed%20Excise%20Tax%20Refund%20Litig.pdf%22" TargetMode="External"/><Relationship Id="rId4" Type="http://schemas.openxmlformats.org/officeDocument/2006/relationships/hyperlink" Target="https://drive.google.com/drive/search?q=parent:1OkcpifbUiC1Y6G2u5ApzxEwKzOL1_kpP%20%22R1-039-01-070-Act%20of%20Sept%2024.pdf%22" TargetMode="External"/><Relationship Id="rId148" Type="http://schemas.openxmlformats.org/officeDocument/2006/relationships/hyperlink" Target="https://drive.google.com/drive/search?q=parent:1OkcpifbUiC1Y6G2u5ApzxEwKzOL1_kpP%20%22R1-080-01-027-Federal%20Practice%203903.pdf%22" TargetMode="External"/><Relationship Id="rId9" Type="http://schemas.openxmlformats.org/officeDocument/2006/relationships/hyperlink" Target="https://drive.google.com/drive/search?q=parent:1VmyDEdY-rZ9IfPP9oyBpoZpjcDWGggJR%20%22SP-073-Catlin%20v%20United%20States.pdf%22" TargetMode="External"/><Relationship Id="rId143" Type="http://schemas.openxmlformats.org/officeDocument/2006/relationships/hyperlink" Target="https://drive.google.com/drive/search?q=parent:1VmyDEdY-rZ9IfPP9oyBpoZpjcDWGggJR%20%22SP-101-417%20US.pdf%22" TargetMode="External"/><Relationship Id="rId142" Type="http://schemas.openxmlformats.org/officeDocument/2006/relationships/hyperlink" Target="https://drive.google.com/drive/search?q=parent:1OkcpifbUiC1Y6G2u5ApzxEwKzOL1_kpP%20%22R1-079-02-102-McGourkey%20v%20Toledo%20and%20Ohio%20CR%20Co.pdf%22" TargetMode="External"/><Relationship Id="rId141" Type="http://schemas.openxmlformats.org/officeDocument/2006/relationships/hyperlink" Target="https://drive.google.com/drive/search?q=parent:1VmyDEdY-rZ9IfPP9oyBpoZpjcDWGggJR%20%22SP-102-McGourkey%20v%20Toledo%20and%20Ohio%20CR%20Co.pdf%22" TargetMode="External"/><Relationship Id="rId140" Type="http://schemas.openxmlformats.org/officeDocument/2006/relationships/hyperlink" Target="https://drive.google.com/drive/search?q=parent:1OkcpifbUiC1Y6G2u5ApzxEwKzOL1_kpP%20%22R1-079-01-101-417%20US.pdf%22" TargetMode="External"/><Relationship Id="rId5" Type="http://schemas.openxmlformats.org/officeDocument/2006/relationships/hyperlink" Target="https://drive.google.com/drive/search?q=parent:1VmyDEdY-rZ9IfPP9oyBpoZpjcDWGggJR%20%22SP-071-Federal%20Practice%203906.pdf%22" TargetMode="External"/><Relationship Id="rId147" Type="http://schemas.openxmlformats.org/officeDocument/2006/relationships/hyperlink" Target="https://drive.google.com/drive/search?q=parent:1VmyDEdY-rZ9IfPP9oyBpoZpjcDWGggJR%20%22SP-027-Federal%20Practice%203903.pdf%22" TargetMode="External"/><Relationship Id="rId6" Type="http://schemas.openxmlformats.org/officeDocument/2006/relationships/hyperlink" Target="https://drive.google.com/drive/search?q=parent:1OkcpifbUiC1Y6G2u5ApzxEwKzOL1_kpP%20%22R1-040-01-071-Federal%20Practice%203906.pdf%22" TargetMode="External"/><Relationship Id="rId146" Type="http://schemas.openxmlformats.org/officeDocument/2006/relationships/hyperlink" Target="https://drive.google.com/drive/search?q=parent:1OkcpifbUiC1Y6G2u5ApzxEwKzOL1_kpP%20%22R1-079-04-103-Dickinson%20v%20Petroleum%20Conversion%20Corp.pdf%22" TargetMode="External"/><Relationship Id="rId7" Type="http://schemas.openxmlformats.org/officeDocument/2006/relationships/hyperlink" Target="https://drive.google.com/drive/search?q=parent:1VmyDEdY-rZ9IfPP9oyBpoZpjcDWGggJR%20%22SP-072-Metcalfe.pdf%22" TargetMode="External"/><Relationship Id="rId145" Type="http://schemas.openxmlformats.org/officeDocument/2006/relationships/hyperlink" Target="https://drive.google.com/drive/search?q=parent:1VmyDEdY-rZ9IfPP9oyBpoZpjcDWGggJR%20%22SP-103-Dickinson%20v%20Petroleum%20Conversion%20Corp.pdf%22" TargetMode="External"/><Relationship Id="rId8" Type="http://schemas.openxmlformats.org/officeDocument/2006/relationships/hyperlink" Target="https://drive.google.com/drive/search?q=parent:1OkcpifbUiC1Y6G2u5ApzxEwKzOL1_kpP%20%22R1-040-02-072-Metcalfe.pdf%22" TargetMode="External"/><Relationship Id="rId144" Type="http://schemas.openxmlformats.org/officeDocument/2006/relationships/hyperlink" Target="https://drive.google.com/drive/search?q=parent:1OkcpifbUiC1Y6G2u5ApzxEwKzOL1_kpP%20%22R1-079-03-101-417%20US.pdf%22" TargetMode="External"/><Relationship Id="rId73" Type="http://schemas.openxmlformats.org/officeDocument/2006/relationships/hyperlink" Target="https://drive.google.com/drive/search?q=parent:1VmyDEdY-rZ9IfPP9oyBpoZpjcDWGggJR%20%22SP-078-Cobbledick.pdf%22" TargetMode="External"/><Relationship Id="rId72" Type="http://schemas.openxmlformats.org/officeDocument/2006/relationships/hyperlink" Target="https://drive.google.com/drive/search?q=parent:1OkcpifbUiC1Y6G2u5ApzxEwKzOL1_kpP%20%22R1-054-01-078-Cobbledick.pdf%22" TargetMode="External"/><Relationship Id="rId75" Type="http://schemas.openxmlformats.org/officeDocument/2006/relationships/hyperlink" Target="https://drive.google.com/drive/search?q=parent:1VmyDEdY-rZ9IfPP9oyBpoZpjcDWGggJR%20%22SP-093-28%20USC%20225.pdf%22" TargetMode="External"/><Relationship Id="rId74" Type="http://schemas.openxmlformats.org/officeDocument/2006/relationships/hyperlink" Target="https://drive.google.com/drive/search?q=parent:1OkcpifbUiC1Y6G2u5ApzxEwKzOL1_kpP%20%22R1-055-01-078-Cobbledick.pdf%22" TargetMode="External"/><Relationship Id="rId77" Type="http://schemas.openxmlformats.org/officeDocument/2006/relationships/hyperlink" Target="https://drive.google.com/drive/search?q=parent:1VmyDEdY-rZ9IfPP9oyBpoZpjcDWGggJR%20%22SP-078-Cobbledick.pdf%22" TargetMode="External"/><Relationship Id="rId76" Type="http://schemas.openxmlformats.org/officeDocument/2006/relationships/hyperlink" Target="https://drive.google.com/drive/search?q=parent:1OkcpifbUiC1Y6G2u5ApzxEwKzOL1_kpP%20%22R1-055-02-093-28%20USC%20225.pdf%22" TargetMode="External"/><Relationship Id="rId79" Type="http://schemas.openxmlformats.org/officeDocument/2006/relationships/hyperlink" Target="https://drive.google.com/drive/search?q=parent:1VmyDEdY-rZ9IfPP9oyBpoZpjcDWGggJR%20%22SP-078-Cobbledick.pdf%22" TargetMode="External"/><Relationship Id="rId78" Type="http://schemas.openxmlformats.org/officeDocument/2006/relationships/hyperlink" Target="https://drive.google.com/drive/search?q=parent:1OkcpifbUiC1Y6G2u5ApzxEwKzOL1_kpP%20%22R1-055-03-078-Cobbledick.pdf%22" TargetMode="External"/><Relationship Id="rId71" Type="http://schemas.openxmlformats.org/officeDocument/2006/relationships/hyperlink" Target="https://drive.google.com/drive/search?q=parent:1VmyDEdY-rZ9IfPP9oyBpoZpjcDWGggJR%20%22SP-078-Cobbledick.pdf%22" TargetMode="External"/><Relationship Id="rId70" Type="http://schemas.openxmlformats.org/officeDocument/2006/relationships/hyperlink" Target="https://drive.google.com/drive/search?q=parent:1OkcpifbUiC1Y6G2u5ApzxEwKzOL1_kpP%20%22R1-053-01-092-Federal%20Practice%203909.pdf%22" TargetMode="External"/><Relationship Id="rId139" Type="http://schemas.openxmlformats.org/officeDocument/2006/relationships/hyperlink" Target="https://drive.google.com/drive/search?q=parent:1VmyDEdY-rZ9IfPP9oyBpoZpjcDWGggJR%20%22SP-101-417%20US.pdf%22" TargetMode="External"/><Relationship Id="rId138" Type="http://schemas.openxmlformats.org/officeDocument/2006/relationships/hyperlink" Target="https://drive.google.com/drive/search?q=parent:1OkcpifbUiC1Y6G2u5ApzxEwKzOL1_kpP%20%22R1-078-01-101-417%20US.pdf%22" TargetMode="External"/><Relationship Id="rId137" Type="http://schemas.openxmlformats.org/officeDocument/2006/relationships/hyperlink" Target="https://drive.google.com/drive/search?q=parent:1VmyDEdY-rZ9IfPP9oyBpoZpjcDWGggJR%20%22SP-101-417%20US.pdf%22" TargetMode="External"/><Relationship Id="rId132" Type="http://schemas.openxmlformats.org/officeDocument/2006/relationships/hyperlink" Target="https://drive.google.com/drive/search?q=parent:1OkcpifbUiC1Y6G2u5ApzxEwKzOL1_kpP%20%22R1-076-01-099-Gillespie.pdf%22" TargetMode="External"/><Relationship Id="rId131" Type="http://schemas.openxmlformats.org/officeDocument/2006/relationships/hyperlink" Target="https://drive.google.com/drive/search?q=parent:1VmyDEdY-rZ9IfPP9oyBpoZpjcDWGggJR%20%22SP-099-Gillespie.pdf%22" TargetMode="External"/><Relationship Id="rId130" Type="http://schemas.openxmlformats.org/officeDocument/2006/relationships/hyperlink" Target="https://drive.google.com/drive/search?q=parent:1OkcpifbUiC1Y6G2u5ApzxEwKzOL1_kpP%20%22R1-075-01-099-Gillespie.pdf%22" TargetMode="External"/><Relationship Id="rId136" Type="http://schemas.openxmlformats.org/officeDocument/2006/relationships/hyperlink" Target="https://drive.google.com/drive/search?q=parent:1OkcpifbUiC1Y6G2u5ApzxEwKzOL1_kpP%20%22R1-077-02-100-United%20States%20v%20General%20Motors%20Corp.pdf%22" TargetMode="External"/><Relationship Id="rId135" Type="http://schemas.openxmlformats.org/officeDocument/2006/relationships/hyperlink" Target="https://drive.google.com/drive/search?q=parent:1VmyDEdY-rZ9IfPP9oyBpoZpjcDWGggJR%20%22SP-100-United%20States%20v%20General%20Motors%20Corp.pdf%22" TargetMode="External"/><Relationship Id="rId134" Type="http://schemas.openxmlformats.org/officeDocument/2006/relationships/hyperlink" Target="https://drive.google.com/drive/search?q=parent:1OkcpifbUiC1Y6G2u5ApzxEwKzOL1_kpP%20%22R1-077-01-099-Gillespie.pdf%22" TargetMode="External"/><Relationship Id="rId133" Type="http://schemas.openxmlformats.org/officeDocument/2006/relationships/hyperlink" Target="https://drive.google.com/drive/search?q=parent:1VmyDEdY-rZ9IfPP9oyBpoZpjcDWGggJR%20%22SP-099-Gillespie.pdf%22" TargetMode="External"/><Relationship Id="rId62" Type="http://schemas.openxmlformats.org/officeDocument/2006/relationships/hyperlink" Target="https://drive.google.com/drive/search?q=parent:1OkcpifbUiC1Y6G2u5ApzxEwKzOL1_kpP%20%22R1-050-02-090-Infra%20Part%20IC.pdf%22" TargetMode="External"/><Relationship Id="rId61" Type="http://schemas.openxmlformats.org/officeDocument/2006/relationships/hyperlink" Target="https://drive.google.com/drive/search?q=parent:1VmyDEdY-rZ9IfPP9oyBpoZpjcDWGggJR%20%22SP-090-Infra%20Part%20IC.pdf%22" TargetMode="External"/><Relationship Id="rId64" Type="http://schemas.openxmlformats.org/officeDocument/2006/relationships/hyperlink" Target="https://drive.google.com/drive/search?q=parent:1OkcpifbUiC1Y6G2u5ApzxEwKzOL1_kpP%20%22R1-051-01-021-Lammon%20Appealability.pdf%22" TargetMode="External"/><Relationship Id="rId63" Type="http://schemas.openxmlformats.org/officeDocument/2006/relationships/hyperlink" Target="https://drive.google.com/drive/search?q=parent:1VmyDEdY-rZ9IfPP9oyBpoZpjcDWGggJR%20%22SP-021-Lammon%20Appealability.pdf%22" TargetMode="External"/><Relationship Id="rId66" Type="http://schemas.openxmlformats.org/officeDocument/2006/relationships/hyperlink" Target="https://drive.google.com/drive/search?q=parent:1OkcpifbUiC1Y6G2u5ApzxEwKzOL1_kpP%20%22R1-051-02-091-Heppner.pdf%22" TargetMode="External"/><Relationship Id="rId65" Type="http://schemas.openxmlformats.org/officeDocument/2006/relationships/hyperlink" Target="https://drive.google.com/drive/search?q=parent:1VmyDEdY-rZ9IfPP9oyBpoZpjcDWGggJR%20%22SP-091-Heppner.pdf%22" TargetMode="External"/><Relationship Id="rId68" Type="http://schemas.openxmlformats.org/officeDocument/2006/relationships/hyperlink" Target="https://drive.google.com/drive/search?q=parent:1OkcpifbUiC1Y6G2u5ApzxEwKzOL1_kpP%20%22R1-052-01-090-Infra%20Part%20IC.pdf%22" TargetMode="External"/><Relationship Id="rId67" Type="http://schemas.openxmlformats.org/officeDocument/2006/relationships/hyperlink" Target="https://drive.google.com/drive/search?q=parent:1VmyDEdY-rZ9IfPP9oyBpoZpjcDWGggJR%20%22SP-090-Infra%20Part%20IC.pdf%22" TargetMode="External"/><Relationship Id="rId60" Type="http://schemas.openxmlformats.org/officeDocument/2006/relationships/hyperlink" Target="https://drive.google.com/drive/search?q=parent:1OkcpifbUiC1Y6G2u5ApzxEwKzOL1_kpP%20%22R1-050-01-089-Cochran.pdf%22" TargetMode="External"/><Relationship Id="rId69" Type="http://schemas.openxmlformats.org/officeDocument/2006/relationships/hyperlink" Target="https://drive.google.com/drive/search?q=parent:1VmyDEdY-rZ9IfPP9oyBpoZpjcDWGggJR%20%22SP-092-Federal%20Practice%203909.pdf%22" TargetMode="External"/><Relationship Id="rId51" Type="http://schemas.openxmlformats.org/officeDocument/2006/relationships/hyperlink" Target="https://drive.google.com/drive/search?q=parent:1VmyDEdY-rZ9IfPP9oyBpoZpjcDWGggJR%20%22SP-079-Federal%20Practice%203907.pdf%22" TargetMode="External"/><Relationship Id="rId50" Type="http://schemas.openxmlformats.org/officeDocument/2006/relationships/hyperlink" Target="https://drive.google.com/drive/search?q=parent:1OkcpifbUiC1Y6G2u5ApzxEwKzOL1_kpP%20%22R1-047-10-086-Infra%20Notes%2053-97%20and%20Accompanying%20Text.pdf%22" TargetMode="External"/><Relationship Id="rId53" Type="http://schemas.openxmlformats.org/officeDocument/2006/relationships/hyperlink" Target="https://drive.google.com/drive/search?q=parent:1VmyDEdY-rZ9IfPP9oyBpoZpjcDWGggJR%20%22SP-081-Mohawk.pdf%22" TargetMode="External"/><Relationship Id="rId52" Type="http://schemas.openxmlformats.org/officeDocument/2006/relationships/hyperlink" Target="https://drive.google.com/drive/search?q=parent:1OkcpifbUiC1Y6G2u5ApzxEwKzOL1_kpP%20%22R1-048-01-079-Federal%20Practice%203907.pdf%22" TargetMode="External"/><Relationship Id="rId55" Type="http://schemas.openxmlformats.org/officeDocument/2006/relationships/hyperlink" Target="https://drive.google.com/drive/search?q=parent:1VmyDEdY-rZ9IfPP9oyBpoZpjcDWGggJR%20%22SP-087-Firestone%20Tire%20and%20Rubber%20Co%20v%20Risjord.pdf%22" TargetMode="External"/><Relationship Id="rId54" Type="http://schemas.openxmlformats.org/officeDocument/2006/relationships/hyperlink" Target="https://drive.google.com/drive/search?q=parent:1OkcpifbUiC1Y6G2u5ApzxEwKzOL1_kpP%20%22R1-049-01-081-Mohawk.pdf%22" TargetMode="External"/><Relationship Id="rId57" Type="http://schemas.openxmlformats.org/officeDocument/2006/relationships/hyperlink" Target="https://drive.google.com/drive/search?q=parent:1VmyDEdY-rZ9IfPP9oyBpoZpjcDWGggJR%20%22SP-088-Richardson-Merrell%20Inc%20v%20Koller.pdf%22" TargetMode="External"/><Relationship Id="rId56" Type="http://schemas.openxmlformats.org/officeDocument/2006/relationships/hyperlink" Target="https://drive.google.com/drive/search?q=parent:1OkcpifbUiC1Y6G2u5ApzxEwKzOL1_kpP%20%22R1-049-02-087-Firestone%20Tire%20and%20Rubber%20Co%20v%20Risjord.pdf%22" TargetMode="External"/><Relationship Id="rId159" Type="http://schemas.openxmlformats.org/officeDocument/2006/relationships/drawing" Target="../drawings/drawing8.xml"/><Relationship Id="rId59" Type="http://schemas.openxmlformats.org/officeDocument/2006/relationships/hyperlink" Target="https://drive.google.com/drive/search?q=parent:1VmyDEdY-rZ9IfPP9oyBpoZpjcDWGggJR%20%22SP-089-Cochran.pdf%22" TargetMode="External"/><Relationship Id="rId154" Type="http://schemas.openxmlformats.org/officeDocument/2006/relationships/hyperlink" Target="https://drive.google.com/drive/search?q=parent:1OkcpifbUiC1Y6G2u5ApzxEwKzOL1_kpP%20%22R1-081-01-105-437%20US.pdf%22" TargetMode="External"/><Relationship Id="rId58" Type="http://schemas.openxmlformats.org/officeDocument/2006/relationships/hyperlink" Target="https://drive.google.com/drive/search?q=parent:1OkcpifbUiC1Y6G2u5ApzxEwKzOL1_kpP%20%22R1-049-03-088-Richardson-Merrell%20Inc%20v%20Koller.pdf%22" TargetMode="External"/><Relationship Id="rId153" Type="http://schemas.openxmlformats.org/officeDocument/2006/relationships/hyperlink" Target="https://drive.google.com/drive/search?q=parent:1VmyDEdY-rZ9IfPP9oyBpoZpjcDWGggJR%20%22SP-105-437%20US.pdf%22" TargetMode="External"/><Relationship Id="rId152" Type="http://schemas.openxmlformats.org/officeDocument/2006/relationships/hyperlink" Target="https://drive.google.com/drive/search?q=parent:1OkcpifbUiC1Y6G2u5ApzxEwKzOL1_kpP%20%22R1-080-03-099-Gillespie.pdf%22" TargetMode="External"/><Relationship Id="rId151" Type="http://schemas.openxmlformats.org/officeDocument/2006/relationships/hyperlink" Target="https://drive.google.com/drive/search?q=parent:1VmyDEdY-rZ9IfPP9oyBpoZpjcDWGggJR%20%22SP-099-Gillespie.pdf%22" TargetMode="External"/><Relationship Id="rId158" Type="http://schemas.openxmlformats.org/officeDocument/2006/relationships/hyperlink" Target="https://drive.google.com/drive/search?q=parent:1OkcpifbUiC1Y6G2u5ApzxEwKzOL1_kpP%20%22R1-081-03-107-Anderson.pdf%22" TargetMode="External"/><Relationship Id="rId157" Type="http://schemas.openxmlformats.org/officeDocument/2006/relationships/hyperlink" Target="https://drive.google.com/drive/search?q=parent:1VmyDEdY-rZ9IfPP9oyBpoZpjcDWGggJR%20%22SP-107-Anderson.pdf%22" TargetMode="External"/><Relationship Id="rId156" Type="http://schemas.openxmlformats.org/officeDocument/2006/relationships/hyperlink" Target="https://drive.google.com/drive/search?q=parent:1OkcpifbUiC1Y6G2u5ApzxEwKzOL1_kpP%20%22R1-081-02-106-Adam.pdf%22" TargetMode="External"/><Relationship Id="rId155" Type="http://schemas.openxmlformats.org/officeDocument/2006/relationships/hyperlink" Target="https://drive.google.com/drive/search?q=parent:1VmyDEdY-rZ9IfPP9oyBpoZpjcDWGggJR%20%22SP-106-Adam.pdf%22" TargetMode="External"/><Relationship Id="rId107" Type="http://schemas.openxmlformats.org/officeDocument/2006/relationships/hyperlink" Target="https://drive.google.com/drive/search?q=parent:1VmyDEdY-rZ9IfPP9oyBpoZpjcDWGggJR%20%22SP-094-Cohen.pdf%22" TargetMode="External"/><Relationship Id="rId106" Type="http://schemas.openxmlformats.org/officeDocument/2006/relationships/hyperlink" Target="https://drive.google.com/drive/search?q=parent:1OkcpifbUiC1Y6G2u5ApzxEwKzOL1_kpP%20%22R1-066-01-021-Lammon%20Appealability.pdf%22" TargetMode="External"/><Relationship Id="rId105" Type="http://schemas.openxmlformats.org/officeDocument/2006/relationships/hyperlink" Target="https://drive.google.com/drive/search?q=parent:1VmyDEdY-rZ9IfPP9oyBpoZpjcDWGggJR%20%22SP-021-Lammon%20Appealability.pdf%22" TargetMode="External"/><Relationship Id="rId104" Type="http://schemas.openxmlformats.org/officeDocument/2006/relationships/hyperlink" Target="https://drive.google.com/drive/search?q=parent:1OkcpifbUiC1Y6G2u5ApzxEwKzOL1_kpP%20%22R1-065-01-094-Cohen.pdf%22" TargetMode="External"/><Relationship Id="rId109" Type="http://schemas.openxmlformats.org/officeDocument/2006/relationships/hyperlink" Target="https://drive.google.com/drive/search?q=parent:1VmyDEdY-rZ9IfPP9oyBpoZpjcDWGggJR%20%22SP-094-Cohen.pdf%22" TargetMode="External"/><Relationship Id="rId108" Type="http://schemas.openxmlformats.org/officeDocument/2006/relationships/hyperlink" Target="https://drive.google.com/drive/search?q=parent:1OkcpifbUiC1Y6G2u5ApzxEwKzOL1_kpP%20%22R1-067-01-094-Cohen.pdf%22" TargetMode="External"/><Relationship Id="rId103" Type="http://schemas.openxmlformats.org/officeDocument/2006/relationships/hyperlink" Target="https://drive.google.com/drive/search?q=parent:1VmyDEdY-rZ9IfPP9oyBpoZpjcDWGggJR%20%22SP-094-Cohen.pdf%22" TargetMode="External"/><Relationship Id="rId102" Type="http://schemas.openxmlformats.org/officeDocument/2006/relationships/hyperlink" Target="https://drive.google.com/drive/search?q=parent:1OkcpifbUiC1Y6G2u5ApzxEwKzOL1_kpP%20%22R1-064-02-092-Federal%20Practice%203909.pdf%22" TargetMode="External"/><Relationship Id="rId101" Type="http://schemas.openxmlformats.org/officeDocument/2006/relationships/hyperlink" Target="https://drive.google.com/drive/search?q=parent:1VmyDEdY-rZ9IfPP9oyBpoZpjcDWGggJR%20%22SP-092-Federal%20Practice%203909.pdf%22" TargetMode="External"/><Relationship Id="rId100" Type="http://schemas.openxmlformats.org/officeDocument/2006/relationships/hyperlink" Target="https://drive.google.com/drive/search?q=parent:1OkcpifbUiC1Y6G2u5ApzxEwKzOL1_kpP%20%22R1-064-01-095-Baker.pdf%22" TargetMode="External"/><Relationship Id="rId129" Type="http://schemas.openxmlformats.org/officeDocument/2006/relationships/hyperlink" Target="https://drive.google.com/drive/search?q=parent:1VmyDEdY-rZ9IfPP9oyBpoZpjcDWGggJR%20%22SP-099-Gillespie.pdf%22" TargetMode="External"/><Relationship Id="rId128" Type="http://schemas.openxmlformats.org/officeDocument/2006/relationships/hyperlink" Target="https://drive.google.com/drive/search?q=parent:1OkcpifbUiC1Y6G2u5ApzxEwKzOL1_kpP%20%22R1-074-01-099-Gillespie.pdf%22" TargetMode="External"/><Relationship Id="rId127" Type="http://schemas.openxmlformats.org/officeDocument/2006/relationships/hyperlink" Target="https://drive.google.com/drive/search?q=parent:1VmyDEdY-rZ9IfPP9oyBpoZpjcDWGggJR%20%22SP-099-Gillespie.pdf%22" TargetMode="External"/><Relationship Id="rId126" Type="http://schemas.openxmlformats.org/officeDocument/2006/relationships/hyperlink" Target="https://drive.google.com/drive/search?q=parent:1OkcpifbUiC1Y6G2u5ApzxEwKzOL1_kpP%20%22R1-073-01-099-Gillespie.pdf%22" TargetMode="External"/><Relationship Id="rId121" Type="http://schemas.openxmlformats.org/officeDocument/2006/relationships/hyperlink" Target="https://drive.google.com/drive/search?q=parent:1VmyDEdY-rZ9IfPP9oyBpoZpjcDWGggJR%20%22SP-083-Di%20Bella%20v%20United%20States.pdf%22" TargetMode="External"/><Relationship Id="rId120" Type="http://schemas.openxmlformats.org/officeDocument/2006/relationships/hyperlink" Target="https://drive.google.com/drive/search?q=parent:1OkcpifbUiC1Y6G2u5ApzxEwKzOL1_kpP%20%22R1-070-01-083-Di%20Bella%20v%20United%20States.pdf%22" TargetMode="External"/><Relationship Id="rId125" Type="http://schemas.openxmlformats.org/officeDocument/2006/relationships/hyperlink" Target="https://drive.google.com/drive/search?q=parent:1VmyDEdY-rZ9IfPP9oyBpoZpjcDWGggJR%20%22SP-099-Gillespie.pdf%22" TargetMode="External"/><Relationship Id="rId124" Type="http://schemas.openxmlformats.org/officeDocument/2006/relationships/hyperlink" Target="https://drive.google.com/drive/search?q=parent:1OkcpifbUiC1Y6G2u5ApzxEwKzOL1_kpP%20%22R1-072-01-083-Di%20Bella%20v%20United%20States.pdf%22" TargetMode="External"/><Relationship Id="rId123" Type="http://schemas.openxmlformats.org/officeDocument/2006/relationships/hyperlink" Target="https://drive.google.com/drive/search?q=parent:1VmyDEdY-rZ9IfPP9oyBpoZpjcDWGggJR%20%22SP-083-Di%20Bella%20v%20United%20States.pdf%22" TargetMode="External"/><Relationship Id="rId122" Type="http://schemas.openxmlformats.org/officeDocument/2006/relationships/hyperlink" Target="https://drive.google.com/drive/search?q=parent:1OkcpifbUiC1Y6G2u5ApzxEwKzOL1_kpP%20%22R1-071-01-083-Di%20Bella%20v%20United%20States.pdf%22" TargetMode="External"/><Relationship Id="rId95" Type="http://schemas.openxmlformats.org/officeDocument/2006/relationships/hyperlink" Target="https://drive.google.com/drive/search?q=parent:1VmyDEdY-rZ9IfPP9oyBpoZpjcDWGggJR%20%22SP-073-Catlin%20v%20United%20States.pdf%22" TargetMode="External"/><Relationship Id="rId94" Type="http://schemas.openxmlformats.org/officeDocument/2006/relationships/hyperlink" Target="https://drive.google.com/drive/search?q=parent:1OkcpifbUiC1Y6G2u5ApzxEwKzOL1_kpP%20%22R1-061-01-073-Catlin%20v%20United%20States.pdf%22" TargetMode="External"/><Relationship Id="rId97" Type="http://schemas.openxmlformats.org/officeDocument/2006/relationships/hyperlink" Target="https://drive.google.com/drive/search?q=parent:1VmyDEdY-rZ9IfPP9oyBpoZpjcDWGggJR%20%22SP-094-Cohen.pdf%22" TargetMode="External"/><Relationship Id="rId96" Type="http://schemas.openxmlformats.org/officeDocument/2006/relationships/hyperlink" Target="https://drive.google.com/drive/search?q=parent:1OkcpifbUiC1Y6G2u5ApzxEwKzOL1_kpP%20%22R1-062-01-073-Catlin%20v%20United%20States.pdf%22" TargetMode="External"/><Relationship Id="rId99" Type="http://schemas.openxmlformats.org/officeDocument/2006/relationships/hyperlink" Target="https://drive.google.com/drive/search?q=parent:1VmyDEdY-rZ9IfPP9oyBpoZpjcDWGggJR%20%22SP-095-Baker.pdf%22" TargetMode="External"/><Relationship Id="rId98" Type="http://schemas.openxmlformats.org/officeDocument/2006/relationships/hyperlink" Target="https://drive.google.com/drive/search?q=parent:1OkcpifbUiC1Y6G2u5ApzxEwKzOL1_kpP%20%22R1-063-01-094-Cohen.pdf%22" TargetMode="External"/><Relationship Id="rId91" Type="http://schemas.openxmlformats.org/officeDocument/2006/relationships/hyperlink" Target="https://drive.google.com/drive/search?q=parent:1VmyDEdY-rZ9IfPP9oyBpoZpjcDWGggJR%20%22SP-073-Catlin%20v%20United%20States.pdf%22" TargetMode="External"/><Relationship Id="rId90" Type="http://schemas.openxmlformats.org/officeDocument/2006/relationships/hyperlink" Target="https://drive.google.com/drive/search?q=parent:1OkcpifbUiC1Y6G2u5ApzxEwKzOL1_kpP%20%22R1-059-01-073-Catlin%20v%20United%20States.pdf%22" TargetMode="External"/><Relationship Id="rId93" Type="http://schemas.openxmlformats.org/officeDocument/2006/relationships/hyperlink" Target="https://drive.google.com/drive/search?q=parent:1VmyDEdY-rZ9IfPP9oyBpoZpjcDWGggJR%20%22SP-073-Catlin%20v%20United%20States.pdf%22" TargetMode="External"/><Relationship Id="rId92" Type="http://schemas.openxmlformats.org/officeDocument/2006/relationships/hyperlink" Target="https://drive.google.com/drive/search?q=parent:1OkcpifbUiC1Y6G2u5ApzxEwKzOL1_kpP%20%22R1-060-01-073-Catlin%20v%20United%20States.pdf%22" TargetMode="External"/><Relationship Id="rId118" Type="http://schemas.openxmlformats.org/officeDocument/2006/relationships/hyperlink" Target="https://drive.google.com/drive/search?q=parent:1OkcpifbUiC1Y6G2u5ApzxEwKzOL1_kpP%20%22R1-069-01-098-Infra%20Notes%2098-194%20and%20Accompanying%20Text.pdf%22" TargetMode="External"/><Relationship Id="rId117" Type="http://schemas.openxmlformats.org/officeDocument/2006/relationships/hyperlink" Target="https://drive.google.com/drive/search?q=parent:1VmyDEdY-rZ9IfPP9oyBpoZpjcDWGggJR%20%22SP-098-Infra%20Notes%2098-194%20and%20Accompanying%20Text.pdf%22" TargetMode="External"/><Relationship Id="rId116" Type="http://schemas.openxmlformats.org/officeDocument/2006/relationships/hyperlink" Target="https://drive.google.com/drive/search?q=parent:1OkcpifbUiC1Y6G2u5ApzxEwKzOL1_kpP%20%22R1-068-02-081-Mohawk.pdf%22" TargetMode="External"/><Relationship Id="rId115" Type="http://schemas.openxmlformats.org/officeDocument/2006/relationships/hyperlink" Target="https://drive.google.com/drive/search?q=parent:1VmyDEdY-rZ9IfPP9oyBpoZpjcDWGggJR%20%22SP-081-Mohawk.pdf%22" TargetMode="External"/><Relationship Id="rId119" Type="http://schemas.openxmlformats.org/officeDocument/2006/relationships/hyperlink" Target="https://drive.google.com/drive/search?q=parent:1VmyDEdY-rZ9IfPP9oyBpoZpjcDWGggJR%20%22SP-083-Di%20Bella%20v%20United%20States.pdf%22" TargetMode="External"/><Relationship Id="rId110" Type="http://schemas.openxmlformats.org/officeDocument/2006/relationships/hyperlink" Target="https://drive.google.com/drive/search?q=parent:1OkcpifbUiC1Y6G2u5ApzxEwKzOL1_kpP%20%22R1-067-02-094-Cohen.pdf%22" TargetMode="External"/><Relationship Id="rId114" Type="http://schemas.openxmlformats.org/officeDocument/2006/relationships/hyperlink" Target="https://drive.google.com/drive/search?q=parent:1OkcpifbUiC1Y6G2u5ApzxEwKzOL1_kpP%20%22R1-068-01-097-Van%20Cauwenberghe%20v%20Biard.pdf%22" TargetMode="External"/><Relationship Id="rId113" Type="http://schemas.openxmlformats.org/officeDocument/2006/relationships/hyperlink" Target="https://drive.google.com/drive/search?q=parent:1VmyDEdY-rZ9IfPP9oyBpoZpjcDWGggJR%20%22SP-097-Van%20Cauwenberghe%20v%20Biard.pdf%22" TargetMode="External"/><Relationship Id="rId112" Type="http://schemas.openxmlformats.org/officeDocument/2006/relationships/hyperlink" Target="https://drive.google.com/drive/search?q=parent:1OkcpifbUiC1Y6G2u5ApzxEwKzOL1_kpP%20%22R1-067-03-096-Pikor.pdf%22" TargetMode="External"/><Relationship Id="rId111" Type="http://schemas.openxmlformats.org/officeDocument/2006/relationships/hyperlink" Target="https://drive.google.com/drive/search?q=parent:1VmyDEdY-rZ9IfPP9oyBpoZpjcDWGggJR%20%22SP-096-Pikor.pdf%22" TargetMode="External"/></Relationships>
</file>

<file path=xl/worksheets/_rels/sheet9.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093-02-113-Supra%20Note%2092.pdf%22" TargetMode="External"/><Relationship Id="rId42" Type="http://schemas.openxmlformats.org/officeDocument/2006/relationships/hyperlink" Target="https://drive.google.com/drive/search?q=parent:1OkcpifbUiC1Y6G2u5ApzxEwKzOL1_kpP%20%22R1-093-03-019-FInkelstein.pdf%22" TargetMode="External"/><Relationship Id="rId41" Type="http://schemas.openxmlformats.org/officeDocument/2006/relationships/hyperlink" Target="https://drive.google.com/drive/search?q=parent:1VmyDEdY-rZ9IfPP9oyBpoZpjcDWGggJR%20%22SP-019-FInkelstein.pdf%22" TargetMode="External"/><Relationship Id="rId44" Type="http://schemas.openxmlformats.org/officeDocument/2006/relationships/hyperlink" Target="https://drive.google.com/drive/search?q=parent:1OkcpifbUiC1Y6G2u5ApzxEwKzOL1_kpP%20%22R1-094-01-053-Kreider.pdf%22" TargetMode="External"/><Relationship Id="rId43" Type="http://schemas.openxmlformats.org/officeDocument/2006/relationships/hyperlink" Target="https://drive.google.com/drive/search?q=parent:1VmyDEdY-rZ9IfPP9oyBpoZpjcDWGggJR%20%22SP-053-Kreider.pdf%22" TargetMode="External"/><Relationship Id="rId46" Type="http://schemas.openxmlformats.org/officeDocument/2006/relationships/hyperlink" Target="https://drive.google.com/drive/search?q=parent:1OkcpifbUiC1Y6G2u5ApzxEwKzOL1_kpP%20%22R1-094-02-114-Supra%20Note%2029.pdf%22" TargetMode="External"/><Relationship Id="rId45" Type="http://schemas.openxmlformats.org/officeDocument/2006/relationships/hyperlink" Target="https://drive.google.com/drive/search?q=parent:1VmyDEdY-rZ9IfPP9oyBpoZpjcDWGggJR%20%22SP-114-Supra%20Note%2029.pdf%22" TargetMode="External"/><Relationship Id="rId48" Type="http://schemas.openxmlformats.org/officeDocument/2006/relationships/hyperlink" Target="https://drive.google.com/drive/search?q=parent:1OkcpifbUiC1Y6G2u5ApzxEwKzOL1_kpP%20%22R1-095-01-115-Baca-Prieto%20v%20A1%20Guigni.pdf%22" TargetMode="External"/><Relationship Id="rId47" Type="http://schemas.openxmlformats.org/officeDocument/2006/relationships/hyperlink" Target="https://drive.google.com/drive/search?q=parent:1VmyDEdY-rZ9IfPP9oyBpoZpjcDWGggJR%20%22SP-115-Baca-Prieto%20v%20A1%20Guigni.pdf%22" TargetMode="External"/><Relationship Id="rId49" Type="http://schemas.openxmlformats.org/officeDocument/2006/relationships/hyperlink" Target="https://drive.google.com/drive/search?q=parent:1VmyDEdY-rZ9IfPP9oyBpoZpjcDWGggJR%20%22SP-116-Travelstead%20v%20Derwinski.pdf%22" TargetMode="External"/><Relationship Id="rId31" Type="http://schemas.openxmlformats.org/officeDocument/2006/relationships/hyperlink" Target="https://drive.google.com/drive/search?q=parent:1VmyDEdY-rZ9IfPP9oyBpoZpjcDWGggJR%20%22SP-019-Finkelstein.pdf%22" TargetMode="External"/><Relationship Id="rId30" Type="http://schemas.openxmlformats.org/officeDocument/2006/relationships/hyperlink" Target="https://drive.google.com/drive/search?q=parent:1OkcpifbUiC1Y6G2u5ApzxEwKzOL1_kpP%20%22R1-090-01-019-Finkelstein.pdf%22" TargetMode="External"/><Relationship Id="rId33" Type="http://schemas.openxmlformats.org/officeDocument/2006/relationships/hyperlink" Target="https://drive.google.com/drive/search?q=parent:1VmyDEdY-rZ9IfPP9oyBpoZpjcDWGggJR%20%22SP-112-Forney%20v%20Apfel.pdf%22" TargetMode="External"/><Relationship Id="rId32" Type="http://schemas.openxmlformats.org/officeDocument/2006/relationships/hyperlink" Target="https://drive.google.com/drive/search?q=parent:1OkcpifbUiC1Y6G2u5ApzxEwKzOL1_kpP%20%22R1-091-01-019-Finkelstein.pdf%22" TargetMode="External"/><Relationship Id="rId35" Type="http://schemas.openxmlformats.org/officeDocument/2006/relationships/hyperlink" Target="https://drive.google.com/drive/search?q=parent:1VmyDEdY-rZ9IfPP9oyBpoZpjcDWGggJR%20%22SP-019-Finkelstein.pdf%22" TargetMode="External"/><Relationship Id="rId34" Type="http://schemas.openxmlformats.org/officeDocument/2006/relationships/hyperlink" Target="https://drive.google.com/drive/search?q=parent:1OkcpifbUiC1Y6G2u5ApzxEwKzOL1_kpP%20%22R1-092-01-112-Forney%20v%20Apfel.pdf%22" TargetMode="External"/><Relationship Id="rId37" Type="http://schemas.openxmlformats.org/officeDocument/2006/relationships/hyperlink" Target="https://drive.google.com/drive/search?q=parent:1VmyDEdY-rZ9IfPP9oyBpoZpjcDWGggJR%20%22SP-019-Finkelstein.pdf%22" TargetMode="External"/><Relationship Id="rId36" Type="http://schemas.openxmlformats.org/officeDocument/2006/relationships/hyperlink" Target="https://drive.google.com/drive/search?q=parent:1OkcpifbUiC1Y6G2u5ApzxEwKzOL1_kpP%20%22R1-092-02-019-Finkelstein.pdf%22" TargetMode="External"/><Relationship Id="rId39" Type="http://schemas.openxmlformats.org/officeDocument/2006/relationships/hyperlink" Target="https://drive.google.com/drive/search?q=parent:1VmyDEdY-rZ9IfPP9oyBpoZpjcDWGggJR%20%22SP-113-Supra%20Note%2092.pdf%22" TargetMode="External"/><Relationship Id="rId38" Type="http://schemas.openxmlformats.org/officeDocument/2006/relationships/hyperlink" Target="https://drive.google.com/drive/search?q=parent:1OkcpifbUiC1Y6G2u5ApzxEwKzOL1_kpP%20%22R1-093-01-019-Finkelstein.pdf%22" TargetMode="External"/><Relationship Id="rId20" Type="http://schemas.openxmlformats.org/officeDocument/2006/relationships/hyperlink" Target="https://drive.google.com/drive/search?q=parent:1OkcpifbUiC1Y6G2u5ApzxEwKzOL1_kpP%20%22R1-087-02-110-Rules.pdf%22" TargetMode="External"/><Relationship Id="rId22" Type="http://schemas.openxmlformats.org/officeDocument/2006/relationships/hyperlink" Target="https://drive.google.com/drive/search?q=parent:1OkcpifbUiC1Y6G2u5ApzxEwKzOL1_kpP%20%22R1-087-03-111-FRCP%2023(f).pdf%22" TargetMode="External"/><Relationship Id="rId21" Type="http://schemas.openxmlformats.org/officeDocument/2006/relationships/hyperlink" Target="https://drive.google.com/drive/search?q=parent:1VmyDEdY-rZ9IfPP9oyBpoZpjcDWGggJR%20%22SP-111-FRCP%2023(f).pdf%22" TargetMode="External"/><Relationship Id="rId24" Type="http://schemas.openxmlformats.org/officeDocument/2006/relationships/hyperlink" Target="https://drive.google.com/drive/search?q=parent:1OkcpifbUiC1Y6G2u5ApzxEwKzOL1_kpP%20%22R1-087-04-080-Microsoft%20Corp%20v%20Baker.pdf%22" TargetMode="External"/><Relationship Id="rId23" Type="http://schemas.openxmlformats.org/officeDocument/2006/relationships/hyperlink" Target="https://drive.google.com/drive/search?q=parent:1VmyDEdY-rZ9IfPP9oyBpoZpjcDWGggJR%20%22SP-080-Microsoft%20Corp%20v%20Baker.pdf%22" TargetMode="External"/><Relationship Id="rId26" Type="http://schemas.openxmlformats.org/officeDocument/2006/relationships/hyperlink" Target="https://drive.google.com/drive/search?q=parent:1OkcpifbUiC1Y6G2u5ApzxEwKzOL1_kpP%20%22R1-088-01-054-Digital%20Equip%20Corp.pdf%22" TargetMode="External"/><Relationship Id="rId25" Type="http://schemas.openxmlformats.org/officeDocument/2006/relationships/hyperlink" Target="https://drive.google.com/drive/search?q=parent:1VmyDEdY-rZ9IfPP9oyBpoZpjcDWGggJR%20%22SP-054-Digital%20Equip%20Corp.pdf%22" TargetMode="External"/><Relationship Id="rId28" Type="http://schemas.openxmlformats.org/officeDocument/2006/relationships/hyperlink" Target="https://drive.google.com/drive/search?q=parent:1OkcpifbUiC1Y6G2u5ApzxEwKzOL1_kpP%20%22R1-089-01-019-Finkelstein.pdf%22" TargetMode="External"/><Relationship Id="rId27" Type="http://schemas.openxmlformats.org/officeDocument/2006/relationships/hyperlink" Target="https://drive.google.com/drive/search?q=parent:1VmyDEdY-rZ9IfPP9oyBpoZpjcDWGggJR%20%22SP-019-Finkelstein.pdf%22" TargetMode="External"/><Relationship Id="rId29" Type="http://schemas.openxmlformats.org/officeDocument/2006/relationships/hyperlink" Target="https://drive.google.com/drive/search?q=parent:1VmyDEdY-rZ9IfPP9oyBpoZpjcDWGggJR%20%22SP-019-Finkelstein.pdf%22" TargetMode="External"/><Relationship Id="rId11" Type="http://schemas.openxmlformats.org/officeDocument/2006/relationships/hyperlink" Target="https://drive.google.com/drive/search?q=parent:1VmyDEdY-rZ9IfPP9oyBpoZpjcDWGggJR%20%22SP-103-Dickinson%20v%20Petroleum%20Conversion%20Corp.pdf%22" TargetMode="External"/><Relationship Id="rId10" Type="http://schemas.openxmlformats.org/officeDocument/2006/relationships/hyperlink" Target="https://drive.google.com/drive/search?q=parent:1OkcpifbUiC1Y6G2u5ApzxEwKzOL1_kpP%20%22R1-084-01-109-Stringfellow%20v%20Concerned%20Neighbors%20in%20Action.pdf%22" TargetMode="External"/><Relationship Id="rId13" Type="http://schemas.openxmlformats.org/officeDocument/2006/relationships/hyperlink" Target="https://drive.google.com/drive/search?q=parent:1VmyDEdY-rZ9IfPP9oyBpoZpjcDWGggJR%20%22SP-054-Digital%20Equip%20Corp.pdf%22" TargetMode="External"/><Relationship Id="rId12" Type="http://schemas.openxmlformats.org/officeDocument/2006/relationships/hyperlink" Target="https://drive.google.com/drive/search?q=parent:1OkcpifbUiC1Y6G2u5ApzxEwKzOL1_kpP%20%22R1-084-02-103-Dickinson%20v%20Petroleum%20Conversion%20Corp.pdf%22" TargetMode="External"/><Relationship Id="rId15" Type="http://schemas.openxmlformats.org/officeDocument/2006/relationships/hyperlink" Target="https://drive.google.com/drive/search?q=parent:1VmyDEdY-rZ9IfPP9oyBpoZpjcDWGggJR%20%22SP-105-437%20US.pdf%22" TargetMode="External"/><Relationship Id="rId14" Type="http://schemas.openxmlformats.org/officeDocument/2006/relationships/hyperlink" Target="https://drive.google.com/drive/search?q=parent:1OkcpifbUiC1Y6G2u5ApzxEwKzOL1_kpP%20%22R1-085-01-054-Digital%20Equip%20Corp.pdf%22" TargetMode="External"/><Relationship Id="rId17" Type="http://schemas.openxmlformats.org/officeDocument/2006/relationships/hyperlink" Target="https://drive.google.com/drive/search?q=parent:1VmyDEdY-rZ9IfPP9oyBpoZpjcDWGggJR%20%22SP-105-437%20US.pdf%22" TargetMode="External"/><Relationship Id="rId16" Type="http://schemas.openxmlformats.org/officeDocument/2006/relationships/hyperlink" Target="https://drive.google.com/drive/search?q=parent:1OkcpifbUiC1Y6G2u5ApzxEwKzOL1_kpP%20%22R1-086-01-105-437%20US.pdf%22" TargetMode="External"/><Relationship Id="rId19" Type="http://schemas.openxmlformats.org/officeDocument/2006/relationships/hyperlink" Target="https://drive.google.com/drive/search?q=parent:1VmyDEdY-rZ9IfPP9oyBpoZpjcDWGggJR%20%22SP-110-Rules.pdf%22" TargetMode="External"/><Relationship Id="rId18" Type="http://schemas.openxmlformats.org/officeDocument/2006/relationships/hyperlink" Target="https://drive.google.com/drive/search?q=parent:1OkcpifbUiC1Y6G2u5ApzxEwKzOL1_kpP%20%22R1-087-01-105-437%20US.pdf%22" TargetMode="External"/><Relationship Id="rId84" Type="http://schemas.openxmlformats.org/officeDocument/2006/relationships/hyperlink" Target="https://drive.google.com/drive/search?q=parent:1OkcpifbUiC1Y6G2u5ApzxEwKzOL1_kpP%20%22R1-106-01-075-Bachowski%20v%20Usery.pdf%22" TargetMode="External"/><Relationship Id="rId83" Type="http://schemas.openxmlformats.org/officeDocument/2006/relationships/hyperlink" Target="https://drive.google.com/drive/search?q=parent:1VmyDEdY-rZ9IfPP9oyBpoZpjcDWGggJR%20%22SP-075-Bachowski%20v%20Usery.pdf%22" TargetMode="External"/><Relationship Id="rId86" Type="http://schemas.openxmlformats.org/officeDocument/2006/relationships/hyperlink" Target="https://drive.google.com/drive/search?q=parent:1OkcpifbUiC1Y6G2u5ApzxEwKzOL1_kpP%20%22R1-107-01-075-Bachowski%20v%20Usery.pdf%22" TargetMode="External"/><Relationship Id="rId85" Type="http://schemas.openxmlformats.org/officeDocument/2006/relationships/hyperlink" Target="https://drive.google.com/drive/search?q=parent:1VmyDEdY-rZ9IfPP9oyBpoZpjcDWGggJR%20%22SP-075-Bachowski%20v%20Usery.pdf%22" TargetMode="External"/><Relationship Id="rId88" Type="http://schemas.openxmlformats.org/officeDocument/2006/relationships/hyperlink" Target="https://drive.google.com/drive/search?q=parent:1OkcpifbUiC1Y6G2u5ApzxEwKzOL1_kpP%20%22R1-108-01-075-Bachowski%20v%20Usery.pdf%22" TargetMode="External"/><Relationship Id="rId150" Type="http://schemas.openxmlformats.org/officeDocument/2006/relationships/hyperlink" Target="https://drive.google.com/drive/search?q=parent:1OkcpifbUiC1Y6G2u5ApzxEwKzOL1_kpP%20%22R1-115-03-011-Denver%20Cnty.pdf%22" TargetMode="External"/><Relationship Id="rId87" Type="http://schemas.openxmlformats.org/officeDocument/2006/relationships/hyperlink" Target="https://drive.google.com/drive/search?q=parent:1VmyDEdY-rZ9IfPP9oyBpoZpjcDWGggJR%20%22SP-075-Bachowski%20v%20Usery.pdf%22" TargetMode="External"/><Relationship Id="rId89" Type="http://schemas.openxmlformats.org/officeDocument/2006/relationships/hyperlink" Target="https://drive.google.com/drive/search?q=parent:1VmyDEdY-rZ9IfPP9oyBpoZpjcDWGggJR%20%22SP-075-Bachowski%20v%20Usery.pdf%22" TargetMode="External"/><Relationship Id="rId80" Type="http://schemas.openxmlformats.org/officeDocument/2006/relationships/hyperlink" Target="https://drive.google.com/drive/search?q=parent:1OkcpifbUiC1Y6G2u5ApzxEwKzOL1_kpP%20%22R1-104-01-126-Gueory%20v%20Hampton.pdf%22" TargetMode="External"/><Relationship Id="rId82" Type="http://schemas.openxmlformats.org/officeDocument/2006/relationships/hyperlink" Target="https://drive.google.com/drive/search?q=parent:1OkcpifbUiC1Y6G2u5ApzxEwKzOL1_kpP%20%22R1-105-01-075-Bachowski%20v%20Usery.pdf%22" TargetMode="External"/><Relationship Id="rId81" Type="http://schemas.openxmlformats.org/officeDocument/2006/relationships/hyperlink" Target="https://drive.google.com/drive/search?q=parent:1VmyDEdY-rZ9IfPP9oyBpoZpjcDWGggJR%20%22SP-075-Bachowski%20v%20Usery.pdf%22" TargetMode="External"/><Relationship Id="rId1" Type="http://schemas.openxmlformats.org/officeDocument/2006/relationships/hyperlink" Target="https://drive.google.com/drive/search?q=parent:1VmyDEdY-rZ9IfPP9oyBpoZpjcDWGggJR%20%22SP-105-437%20US.pdf%22" TargetMode="External"/><Relationship Id="rId2" Type="http://schemas.openxmlformats.org/officeDocument/2006/relationships/hyperlink" Target="https://drive.google.com/drive/search?q=parent:1OkcpifbUiC1Y6G2u5ApzxEwKzOL1_kpP%20%22R1-082-01-105-437%20US.pdf%22" TargetMode="External"/><Relationship Id="rId3" Type="http://schemas.openxmlformats.org/officeDocument/2006/relationships/hyperlink" Target="https://drive.google.com/drive/search?q=parent:1VmyDEdY-rZ9IfPP9oyBpoZpjcDWGggJR%20%22SP-087-Firestone%20Tire%20and%20Rubber%20Co%20v%20Risjord.pdf%22" TargetMode="External"/><Relationship Id="rId149" Type="http://schemas.openxmlformats.org/officeDocument/2006/relationships/hyperlink" Target="https://drive.google.com/drive/search?q=parent:1VmyDEdY-rZ9IfPP9oyBpoZpjcDWGggJR%20%22SP-011-Denver%20Cnty.pdf%22" TargetMode="External"/><Relationship Id="rId4" Type="http://schemas.openxmlformats.org/officeDocument/2006/relationships/hyperlink" Target="https://drive.google.com/drive/search?q=parent:1OkcpifbUiC1Y6G2u5ApzxEwKzOL1_kpP%20%22R1-083-01-087-Firestone%20Tire%20and%20Rubber%20Co%20v%20Risjord.pdf%22" TargetMode="External"/><Relationship Id="rId148" Type="http://schemas.openxmlformats.org/officeDocument/2006/relationships/hyperlink" Target="https://drive.google.com/drive/search?q=parent:1OkcpifbUiC1Y6G2u5ApzxEwKzOL1_kpP%20%22R1-115-02-148-Cobb%20Cnty.pdf%22" TargetMode="External"/><Relationship Id="rId9" Type="http://schemas.openxmlformats.org/officeDocument/2006/relationships/hyperlink" Target="https://drive.google.com/drive/search?q=parent:1VmyDEdY-rZ9IfPP9oyBpoZpjcDWGggJR%20%22SP-109-Stringfellow%20v%20Concerned%20Neighbors%20in%20Action.pdf%22" TargetMode="External"/><Relationship Id="rId143" Type="http://schemas.openxmlformats.org/officeDocument/2006/relationships/hyperlink" Target="https://drive.google.com/drive/search?q=parent:1VmyDEdY-rZ9IfPP9oyBpoZpjcDWGggJR%20%22SP-022-Lammon%20Dizzying.pdf%22" TargetMode="External"/><Relationship Id="rId142" Type="http://schemas.openxmlformats.org/officeDocument/2006/relationships/hyperlink" Target="https://drive.google.com/drive/search?q=parent:1OkcpifbUiC1Y6G2u5ApzxEwKzOL1_kpP%20%22R1-114-03-053-Kreider.pdf%22" TargetMode="External"/><Relationship Id="rId141" Type="http://schemas.openxmlformats.org/officeDocument/2006/relationships/hyperlink" Target="https://drive.google.com/drive/search?q=parent:1VmyDEdY-rZ9IfPP9oyBpoZpjcDWGggJR%20%22SP-053-Kreider.pdf%22" TargetMode="External"/><Relationship Id="rId140" Type="http://schemas.openxmlformats.org/officeDocument/2006/relationships/hyperlink" Target="https://drive.google.com/drive/search?q=parent:1OkcpifbUiC1Y6G2u5ApzxEwKzOL1_kpP%20%22R1-114-02-094-Cohen.pdf%22" TargetMode="External"/><Relationship Id="rId5" Type="http://schemas.openxmlformats.org/officeDocument/2006/relationships/hyperlink" Target="https://drive.google.com/drive/search?q=parent:1VmyDEdY-rZ9IfPP9oyBpoZpjcDWGggJR%20%22SP-108-Flanagan%20v%20United%20States.pdf%22" TargetMode="External"/><Relationship Id="rId147" Type="http://schemas.openxmlformats.org/officeDocument/2006/relationships/hyperlink" Target="https://drive.google.com/drive/search?q=parent:1VmyDEdY-rZ9IfPP9oyBpoZpjcDWGggJR%20%22SP-148-Cobb%20Cnty.pdf%22" TargetMode="External"/><Relationship Id="rId6" Type="http://schemas.openxmlformats.org/officeDocument/2006/relationships/hyperlink" Target="https://drive.google.com/drive/search?q=parent:1OkcpifbUiC1Y6G2u5ApzxEwKzOL1_kpP%20%22R1-083-02-108-Flanagan%20v%20United%20States.pdf%22" TargetMode="External"/><Relationship Id="rId146" Type="http://schemas.openxmlformats.org/officeDocument/2006/relationships/hyperlink" Target="https://drive.google.com/drive/search?q=parent:1OkcpifbUiC1Y6G2u5ApzxEwKzOL1_kpP%20%22R1-115-01-147-Individuals.pdf%22" TargetMode="External"/><Relationship Id="rId7" Type="http://schemas.openxmlformats.org/officeDocument/2006/relationships/hyperlink" Target="https://drive.google.com/drive/search?q=parent:1VmyDEdY-rZ9IfPP9oyBpoZpjcDWGggJR%20%22SP-088-Richardson-Merrell%20Inc%20v%20Koller.pdf%22" TargetMode="External"/><Relationship Id="rId145" Type="http://schemas.openxmlformats.org/officeDocument/2006/relationships/hyperlink" Target="https://drive.google.com/drive/search?q=parent:1VmyDEdY-rZ9IfPP9oyBpoZpjcDWGggJR%20%22SP-147-Individuals.pdf%22" TargetMode="External"/><Relationship Id="rId8" Type="http://schemas.openxmlformats.org/officeDocument/2006/relationships/hyperlink" Target="https://drive.google.com/drive/search?q=parent:1OkcpifbUiC1Y6G2u5ApzxEwKzOL1_kpP%20%22R1-083-03-088-Richardson-Merrell%20Inc%20v%20Koller.pdf%22" TargetMode="External"/><Relationship Id="rId144" Type="http://schemas.openxmlformats.org/officeDocument/2006/relationships/hyperlink" Target="https://drive.google.com/drive/search?q=parent:1OkcpifbUiC1Y6G2u5ApzxEwKzOL1_kpP%20%22R1-114-04-022-Lammon%20Dizzying.pdf%22" TargetMode="External"/><Relationship Id="rId73" Type="http://schemas.openxmlformats.org/officeDocument/2006/relationships/hyperlink" Target="https://drive.google.com/drive/search?q=parent:1VmyDEdY-rZ9IfPP9oyBpoZpjcDWGggJR%20%22SP-123-412%20F%202d.pdf%22" TargetMode="External"/><Relationship Id="rId72" Type="http://schemas.openxmlformats.org/officeDocument/2006/relationships/hyperlink" Target="https://drive.google.com/drive/search?q=parent:1OkcpifbUiC1Y6G2u5ApzxEwKzOL1_kpP%20%22R1-100-01-123-412%20F%202d.pdf%22" TargetMode="External"/><Relationship Id="rId75" Type="http://schemas.openxmlformats.org/officeDocument/2006/relationships/hyperlink" Target="https://drive.google.com/drive/search?q=parent:1VmyDEdY-rZ9IfPP9oyBpoZpjcDWGggJR%20%22SP-125-Gold%20v%20Weinberger.pdf%22" TargetMode="External"/><Relationship Id="rId74" Type="http://schemas.openxmlformats.org/officeDocument/2006/relationships/hyperlink" Target="https://drive.google.com/drive/search?q=parent:1OkcpifbUiC1Y6G2u5ApzxEwKzOL1_kpP%20%22R1-101-01-123-412%20F%202d.pdf%22" TargetMode="External"/><Relationship Id="rId77" Type="http://schemas.openxmlformats.org/officeDocument/2006/relationships/hyperlink" Target="https://drive.google.com/drive/search?q=parent:1VmyDEdY-rZ9IfPP9oyBpoZpjcDWGggJR%20%22SP-126-Gueory%20v%20Hampton.pdf%22" TargetMode="External"/><Relationship Id="rId76" Type="http://schemas.openxmlformats.org/officeDocument/2006/relationships/hyperlink" Target="https://drive.google.com/drive/search?q=parent:1OkcpifbUiC1Y6G2u5ApzxEwKzOL1_kpP%20%22R1-102-01-125-Gold%20v%20Weinberger.pdf%22" TargetMode="External"/><Relationship Id="rId79" Type="http://schemas.openxmlformats.org/officeDocument/2006/relationships/hyperlink" Target="https://drive.google.com/drive/search?q=parent:1VmyDEdY-rZ9IfPP9oyBpoZpjcDWGggJR%20%22SP-126-Gueory%20v%20Hampton.pdf%22" TargetMode="External"/><Relationship Id="rId78" Type="http://schemas.openxmlformats.org/officeDocument/2006/relationships/hyperlink" Target="https://drive.google.com/drive/search?q=parent:1OkcpifbUiC1Y6G2u5ApzxEwKzOL1_kpP%20%22R1-103-01-126-Gueory%20v%20Hampton.pdf%22" TargetMode="External"/><Relationship Id="rId71" Type="http://schemas.openxmlformats.org/officeDocument/2006/relationships/hyperlink" Target="https://drive.google.com/drive/search?q=parent:1VmyDEdY-rZ9IfPP9oyBpoZpjcDWGggJR%20%22SP-123-412%20F%202d.pdf%22" TargetMode="External"/><Relationship Id="rId70" Type="http://schemas.openxmlformats.org/officeDocument/2006/relationships/hyperlink" Target="https://drive.google.com/drive/search?q=parent:1OkcpifbUiC1Y6G2u5ApzxEwKzOL1_kpP%20%22R1-099-02-124-Richardson%20v%20Perales.pdf%22" TargetMode="External"/><Relationship Id="rId139" Type="http://schemas.openxmlformats.org/officeDocument/2006/relationships/hyperlink" Target="https://drive.google.com/drive/search?q=parent:1VmyDEdY-rZ9IfPP9oyBpoZpjcDWGggJR%20%22SP-094-Cohen.pdf%22" TargetMode="External"/><Relationship Id="rId138" Type="http://schemas.openxmlformats.org/officeDocument/2006/relationships/hyperlink" Target="https://drive.google.com/drive/search?q=parent:1OkcpifbUiC1Y6G2u5ApzxEwKzOL1_kpP%20%22R1-114-01-137-Bender%20v%20Clark.pdf%22" TargetMode="External"/><Relationship Id="rId137" Type="http://schemas.openxmlformats.org/officeDocument/2006/relationships/hyperlink" Target="https://drive.google.com/drive/search?q=parent:1VmyDEdY-rZ9IfPP9oyBpoZpjcDWGggJR%20%22SP-137-Bender%20v%20Clark.pdf%22" TargetMode="External"/><Relationship Id="rId132" Type="http://schemas.openxmlformats.org/officeDocument/2006/relationships/hyperlink" Target="https://drive.google.com/drive/search?q=parent:1OkcpifbUiC1Y6G2u5ApzxEwKzOL1_kpP%20%22R1-112-05-144-Eluska%20v%20Andrus.pdf%22" TargetMode="External"/><Relationship Id="rId131" Type="http://schemas.openxmlformats.org/officeDocument/2006/relationships/hyperlink" Target="https://drive.google.com/drive/search?q=parent:1VmyDEdY-rZ9IfPP9oyBpoZpjcDWGggJR%20%22SP-144-Eluska%20v%20Andrus.pdf%22" TargetMode="External"/><Relationship Id="rId130" Type="http://schemas.openxmlformats.org/officeDocument/2006/relationships/hyperlink" Target="https://drive.google.com/drive/search?q=parent:1OkcpifbUiC1Y6G2u5ApzxEwKzOL1_kpP%20%22R1-112-04-143-Farr%20v%20Heckler.pdf%22" TargetMode="External"/><Relationship Id="rId136" Type="http://schemas.openxmlformats.org/officeDocument/2006/relationships/hyperlink" Target="https://drive.google.com/drive/search?q=parent:1OkcpifbUiC1Y6G2u5ApzxEwKzOL1_kpP%20%22R1-113-01-146-Occidental%20Petroleum%20Corp.pdf%22" TargetMode="External"/><Relationship Id="rId135" Type="http://schemas.openxmlformats.org/officeDocument/2006/relationships/hyperlink" Target="https://drive.google.com/drive/search?q=parent:1VmyDEdY-rZ9IfPP9oyBpoZpjcDWGggJR%20%22SP-146-Occidental%20Petroleum%20Corp.pdf%22" TargetMode="External"/><Relationship Id="rId134" Type="http://schemas.openxmlformats.org/officeDocument/2006/relationships/hyperlink" Target="https://drive.google.com/drive/search?q=parent:1OkcpifbUiC1Y6G2u5ApzxEwKzOL1_kpP%20%22R1-112-06-145-Giordano%20v%20Roudebush.pdf%22" TargetMode="External"/><Relationship Id="rId133" Type="http://schemas.openxmlformats.org/officeDocument/2006/relationships/hyperlink" Target="https://drive.google.com/drive/search?q=parent:1VmyDEdY-rZ9IfPP9oyBpoZpjcDWGggJR%20%22SP-145-Giordano%20v%20Roudebush.pdf%22" TargetMode="External"/><Relationship Id="rId62" Type="http://schemas.openxmlformats.org/officeDocument/2006/relationships/hyperlink" Target="https://drive.google.com/drive/search?q=parent:1OkcpifbUiC1Y6G2u5ApzxEwKzOL1_kpP%20%22R1-098-02-120-Mayersky%20v%20Celebrezze.pdf%22" TargetMode="External"/><Relationship Id="rId61" Type="http://schemas.openxmlformats.org/officeDocument/2006/relationships/hyperlink" Target="https://drive.google.com/drive/search?q=parent:1VmyDEdY-rZ9IfPP9oyBpoZpjcDWGggJR%20%22SP-120-Mayersky%20v%20Celebrezze.pdf%22" TargetMode="External"/><Relationship Id="rId64" Type="http://schemas.openxmlformats.org/officeDocument/2006/relationships/hyperlink" Target="https://drive.google.com/drive/search?q=parent:1OkcpifbUiC1Y6G2u5ApzxEwKzOL1_kpP%20%22R1-098-03-121-Marshall%20v%20Celebrezze.pdf%22" TargetMode="External"/><Relationship Id="rId63" Type="http://schemas.openxmlformats.org/officeDocument/2006/relationships/hyperlink" Target="https://drive.google.com/drive/search?q=parent:1VmyDEdY-rZ9IfPP9oyBpoZpjcDWGggJR%20%22SP-121-Marshall%20v%20Celebrezze.pdf%22" TargetMode="External"/><Relationship Id="rId66" Type="http://schemas.openxmlformats.org/officeDocument/2006/relationships/hyperlink" Target="https://drive.google.com/drive/search?q=parent:1OkcpifbUiC1Y6G2u5ApzxEwKzOL1_kpP%20%22R1-098-04-122-Stathatos%20v%20Arnold%20Bernstein%20SS%20Corp.pdf%22" TargetMode="External"/><Relationship Id="rId65" Type="http://schemas.openxmlformats.org/officeDocument/2006/relationships/hyperlink" Target="https://drive.google.com/drive/search?q=parent:1VmyDEdY-rZ9IfPP9oyBpoZpjcDWGggJR%20%22SP-122-Stathatos%20v%20Arnold%20Bernstein%20SS%20Corp.pdf%22" TargetMode="External"/><Relationship Id="rId68" Type="http://schemas.openxmlformats.org/officeDocument/2006/relationships/hyperlink" Target="https://drive.google.com/drive/search?q=parent:1OkcpifbUiC1Y6G2u5ApzxEwKzOL1_kpP%20%22R1-099-01-123-412%20F%202d.pdf%22" TargetMode="External"/><Relationship Id="rId67" Type="http://schemas.openxmlformats.org/officeDocument/2006/relationships/hyperlink" Target="https://drive.google.com/drive/search?q=parent:1VmyDEdY-rZ9IfPP9oyBpoZpjcDWGggJR%20%22SP-123-412%20F%202d.pdf%22" TargetMode="External"/><Relationship Id="rId60" Type="http://schemas.openxmlformats.org/officeDocument/2006/relationships/hyperlink" Target="https://drive.google.com/drive/search?q=parent:1OkcpifbUiC1Y6G2u5ApzxEwKzOL1_kpP%20%22R1-098-01-119-Bohms%20v%20Gardner.pdf%22" TargetMode="External"/><Relationship Id="rId69" Type="http://schemas.openxmlformats.org/officeDocument/2006/relationships/hyperlink" Target="https://drive.google.com/drive/search?q=parent:1VmyDEdY-rZ9IfPP9oyBpoZpjcDWGggJR%20%22SP-124-Richardson%20v%20Perales.pdf%22" TargetMode="External"/><Relationship Id="rId51" Type="http://schemas.openxmlformats.org/officeDocument/2006/relationships/hyperlink" Target="https://drive.google.com/drive/search?q=parent:1VmyDEdY-rZ9IfPP9oyBpoZpjcDWGggJR%20%22SP-117-St%20Francis%20Med%20CTR%20v%20Sullivan.pdf%22" TargetMode="External"/><Relationship Id="rId50" Type="http://schemas.openxmlformats.org/officeDocument/2006/relationships/hyperlink" Target="https://drive.google.com/drive/search?q=parent:1OkcpifbUiC1Y6G2u5ApzxEwKzOL1_kpP%20%22R1-095-02-116-Travelstead%20v%20Derwinski.pdf%22" TargetMode="External"/><Relationship Id="rId53" Type="http://schemas.openxmlformats.org/officeDocument/2006/relationships/hyperlink" Target="https://drive.google.com/drive/search?q=parent:1VmyDEdY-rZ9IfPP9oyBpoZpjcDWGggJR%20%22SP-118-American%20Export%20Lines%20v%20Alvez.pdf%22" TargetMode="External"/><Relationship Id="rId52" Type="http://schemas.openxmlformats.org/officeDocument/2006/relationships/hyperlink" Target="https://drive.google.com/drive/search?q=parent:1OkcpifbUiC1Y6G2u5ApzxEwKzOL1_kpP%20%22R1-095-03-117-St%20Francis%20Med%20CTR%20v%20Sullivan.pdf%22" TargetMode="External"/><Relationship Id="rId55" Type="http://schemas.openxmlformats.org/officeDocument/2006/relationships/hyperlink" Target="https://drive.google.com/drive/search?q=parent:1VmyDEdY-rZ9IfPP9oyBpoZpjcDWGggJR%20%22SP-081-Mohawk.pdf%22" TargetMode="External"/><Relationship Id="rId161" Type="http://schemas.openxmlformats.org/officeDocument/2006/relationships/drawing" Target="../drawings/drawing9.xml"/><Relationship Id="rId54" Type="http://schemas.openxmlformats.org/officeDocument/2006/relationships/hyperlink" Target="https://drive.google.com/drive/search?q=parent:1OkcpifbUiC1Y6G2u5ApzxEwKzOL1_kpP%20%22R1-096-01-118-American%20Export%20Lines%20v%20Alvez.pdf%22" TargetMode="External"/><Relationship Id="rId160" Type="http://schemas.openxmlformats.org/officeDocument/2006/relationships/hyperlink" Target="https://drive.google.com/drive/search?q=parent:1OkcpifbUiC1Y6G2u5ApzxEwKzOL1_kpP%20%22R1-115-08-153-Nat'l%20Air%20Traffic%20Controllers.pdf%22" TargetMode="External"/><Relationship Id="rId57" Type="http://schemas.openxmlformats.org/officeDocument/2006/relationships/hyperlink" Target="https://drive.google.com/drive/search?q=parent:1VmyDEdY-rZ9IfPP9oyBpoZpjcDWGggJR%20%22SP-022-Lammon%20Dizzying.pdf%22" TargetMode="External"/><Relationship Id="rId56" Type="http://schemas.openxmlformats.org/officeDocument/2006/relationships/hyperlink" Target="https://drive.google.com/drive/search?q=parent:1OkcpifbUiC1Y6G2u5ApzxEwKzOL1_kpP%20%22R1-097-01-081-Mohawk.pdf%22" TargetMode="External"/><Relationship Id="rId159" Type="http://schemas.openxmlformats.org/officeDocument/2006/relationships/hyperlink" Target="https://drive.google.com/drive/search?q=parent:1VmyDEdY-rZ9IfPP9oyBpoZpjcDWGggJR%20%22SP-153-Nat'l%20Air%20Traffic%20Controllers.pdf%22" TargetMode="External"/><Relationship Id="rId59" Type="http://schemas.openxmlformats.org/officeDocument/2006/relationships/hyperlink" Target="https://drive.google.com/drive/search?q=parent:1VmyDEdY-rZ9IfPP9oyBpoZpjcDWGggJR%20%22SP-119-Bohms%20v%20Gardner.pdf%22" TargetMode="External"/><Relationship Id="rId154" Type="http://schemas.openxmlformats.org/officeDocument/2006/relationships/hyperlink" Target="https://drive.google.com/drive/search?q=parent:1OkcpifbUiC1Y6G2u5ApzxEwKzOL1_kpP%20%22R1-115-05-150-Mead%20v%20Reliastar%20Life%20Ins%20Co.pdf%22" TargetMode="External"/><Relationship Id="rId58" Type="http://schemas.openxmlformats.org/officeDocument/2006/relationships/hyperlink" Target="https://drive.google.com/drive/search?q=parent:1OkcpifbUiC1Y6G2u5ApzxEwKzOL1_kpP%20%22R1-097-02-022-Lammon%20Dizzying.pdf%22" TargetMode="External"/><Relationship Id="rId153" Type="http://schemas.openxmlformats.org/officeDocument/2006/relationships/hyperlink" Target="https://drive.google.com/drive/search?q=parent:1VmyDEdY-rZ9IfPP9oyBpoZpjcDWGggJR%20%22SP-150-Mead%20v%20Reliastar%20Life%20Ins%20Co.pdf%22" TargetMode="External"/><Relationship Id="rId152" Type="http://schemas.openxmlformats.org/officeDocument/2006/relationships/hyperlink" Target="https://drive.google.com/drive/search?q=parent:1OkcpifbUiC1Y6G2u5ApzxEwKzOL1_kpP%20%22R1-115-04-149-Shapiro%20v%20Paradise%20Valley%20Unified%20SCH%20Dist.pdf%22" TargetMode="External"/><Relationship Id="rId151" Type="http://schemas.openxmlformats.org/officeDocument/2006/relationships/hyperlink" Target="https://drive.google.com/drive/search?q=parent:1VmyDEdY-rZ9IfPP9oyBpoZpjcDWGggJR%20%22SP-149-Shapiro%20v%20Paradise%20Valley%20Unified%20SCH%20Dist.pdf%22" TargetMode="External"/><Relationship Id="rId158" Type="http://schemas.openxmlformats.org/officeDocument/2006/relationships/hyperlink" Target="https://drive.google.com/drive/search?q=parent:1OkcpifbUiC1Y6G2u5ApzxEwKzOL1_kpP%20%22R1-115-07-152-Miami%20Tribe.pdf%22" TargetMode="External"/><Relationship Id="rId157" Type="http://schemas.openxmlformats.org/officeDocument/2006/relationships/hyperlink" Target="https://drive.google.com/drive/search?q=parent:1VmyDEdY-rZ9IfPP9oyBpoZpjcDWGggJR%20%22SP-152-Miami%20Tribe.pdf%22" TargetMode="External"/><Relationship Id="rId156" Type="http://schemas.openxmlformats.org/officeDocument/2006/relationships/hyperlink" Target="https://drive.google.com/drive/search?q=parent:1OkcpifbUiC1Y6G2u5ApzxEwKzOL1_kpP%20%22R1-115-06-151-World%20Fuel%20Corp%20v%20Geithner.pdf%22" TargetMode="External"/><Relationship Id="rId155" Type="http://schemas.openxmlformats.org/officeDocument/2006/relationships/hyperlink" Target="https://drive.google.com/drive/search?q=parent:1VmyDEdY-rZ9IfPP9oyBpoZpjcDWGggJR%20%22SP-151-World%20Fuel%20Corp%20v%20Geithner.pdf%22" TargetMode="External"/><Relationship Id="rId107" Type="http://schemas.openxmlformats.org/officeDocument/2006/relationships/hyperlink" Target="https://drive.google.com/drive/search?q=parent:1VmyDEdY-rZ9IfPP9oyBpoZpjcDWGggJR%20%22SP-133-Aja%20Assocs%20v%20Army%20Corps%20of%20Eng'rs.pdf%22" TargetMode="External"/><Relationship Id="rId106" Type="http://schemas.openxmlformats.org/officeDocument/2006/relationships/hyperlink" Target="https://drive.google.com/drive/search?q=parent:1OkcpifbUiC1Y6G2u5ApzxEwKzOL1_kpP%20%22R1-111-02-132-Pierre%20v%20Rivkind.pdf%22" TargetMode="External"/><Relationship Id="rId105" Type="http://schemas.openxmlformats.org/officeDocument/2006/relationships/hyperlink" Target="https://drive.google.com/drive/search?q=parent:1VmyDEdY-rZ9IfPP9oyBpoZpjcDWGggJR%20%22SP-132-Pierre%20v%20Rivkind.pdf%22" TargetMode="External"/><Relationship Id="rId104" Type="http://schemas.openxmlformats.org/officeDocument/2006/relationships/hyperlink" Target="https://drive.google.com/drive/search?q=parent:1OkcpifbUiC1Y6G2u5ApzxEwKzOL1_kpP%20%22R1-111-01-131-Doughty%20v%20Bowen.pdf%22" TargetMode="External"/><Relationship Id="rId109" Type="http://schemas.openxmlformats.org/officeDocument/2006/relationships/hyperlink" Target="https://drive.google.com/drive/search?q=parent:1VmyDEdY-rZ9IfPP9oyBpoZpjcDWGggJR%20%22SP-134-Huie%20v%20Bowen.pdf%22" TargetMode="External"/><Relationship Id="rId108" Type="http://schemas.openxmlformats.org/officeDocument/2006/relationships/hyperlink" Target="https://drive.google.com/drive/search?q=parent:1OkcpifbUiC1Y6G2u5ApzxEwKzOL1_kpP%20%22R1-111-03-133-Aja%20Assocs%20v%20Army%20Corps%20of%20Eng'rs.pdf%22" TargetMode="External"/><Relationship Id="rId103" Type="http://schemas.openxmlformats.org/officeDocument/2006/relationships/hyperlink" Target="https://drive.google.com/drive/search?q=parent:1VmyDEdY-rZ9IfPP9oyBpoZpjcDWGggJR%20%22SP-131-Doughty%20v%20Bowen.pdf%22" TargetMode="External"/><Relationship Id="rId102" Type="http://schemas.openxmlformats.org/officeDocument/2006/relationships/hyperlink" Target="https://drive.google.com/drive/search?q=parent:1OkcpifbUiC1Y6G2u5ApzxEwKzOL1_kpP%20%22R1-110-05-019-Finkelstein.pdf%22" TargetMode="External"/><Relationship Id="rId101" Type="http://schemas.openxmlformats.org/officeDocument/2006/relationships/hyperlink" Target="https://drive.google.com/drive/search?q=parent:1VmyDEdY-rZ9IfPP9oyBpoZpjcDWGggJR%20%22SP-019-Finkelstein.pdf%22" TargetMode="External"/><Relationship Id="rId100" Type="http://schemas.openxmlformats.org/officeDocument/2006/relationships/hyperlink" Target="https://drive.google.com/drive/search?q=parent:1OkcpifbUiC1Y6G2u5ApzxEwKzOL1_kpP%20%22R1-110-04-130-McCoy%20v%20Schweiker.pdf%22" TargetMode="External"/><Relationship Id="rId129" Type="http://schemas.openxmlformats.org/officeDocument/2006/relationships/hyperlink" Target="https://drive.google.com/drive/search?q=parent:1VmyDEdY-rZ9IfPP9oyBpoZpjcDWGggJR%20%22SP-143-Farr%20v%20Heckler.pdf%22" TargetMode="External"/><Relationship Id="rId128" Type="http://schemas.openxmlformats.org/officeDocument/2006/relationships/hyperlink" Target="https://drive.google.com/drive/search?q=parent:1OkcpifbUiC1Y6G2u5ApzxEwKzOL1_kpP%20%22R1-112-03-142-Mem'l%20Hosp%20Sys%20v%20Heckler.pdf%22" TargetMode="External"/><Relationship Id="rId127" Type="http://schemas.openxmlformats.org/officeDocument/2006/relationships/hyperlink" Target="https://drive.google.com/drive/search?q=parent:1VmyDEdY-rZ9IfPP9oyBpoZpjcDWGggJR%20%22SP-142-Mem'l%20Hosp%20Sys%20v%20Heckler.pdf%22" TargetMode="External"/><Relationship Id="rId126" Type="http://schemas.openxmlformats.org/officeDocument/2006/relationships/hyperlink" Target="https://drive.google.com/drive/search?q=parent:1OkcpifbUiC1Y6G2u5ApzxEwKzOL1_kpP%20%22R1-112-02-141-Jeannette%20Sheet%20Glass%20Corp%20v%20United%20States.pdf%22" TargetMode="External"/><Relationship Id="rId121" Type="http://schemas.openxmlformats.org/officeDocument/2006/relationships/hyperlink" Target="https://drive.google.com/drive/search?q=parent:1VmyDEdY-rZ9IfPP9oyBpoZpjcDWGggJR%20%22SP-125-Gold%20v%20Weinberger.pdf%22" TargetMode="External"/><Relationship Id="rId120" Type="http://schemas.openxmlformats.org/officeDocument/2006/relationships/hyperlink" Target="https://drive.google.com/drive/search?q=parent:1OkcpifbUiC1Y6G2u5ApzxEwKzOL1_kpP%20%22R1-111-09-139-United%20States%20v%20Alcon%20Labs.pdf%22" TargetMode="External"/><Relationship Id="rId125" Type="http://schemas.openxmlformats.org/officeDocument/2006/relationships/hyperlink" Target="https://drive.google.com/drive/search?q=parent:1VmyDEdY-rZ9IfPP9oyBpoZpjcDWGggJR%20%22SP-141-Jeannette%20Sheet%20Glass%20Corp%20v%20United%20States.pdf%22" TargetMode="External"/><Relationship Id="rId124" Type="http://schemas.openxmlformats.org/officeDocument/2006/relationships/hyperlink" Target="https://drive.google.com/drive/search?q=parent:1OkcpifbUiC1Y6G2u5ApzxEwKzOL1_kpP%20%22R1-112-01-140-Mall.pdf%22" TargetMode="External"/><Relationship Id="rId123" Type="http://schemas.openxmlformats.org/officeDocument/2006/relationships/hyperlink" Target="https://drive.google.com/drive/search?q=parent:1VmyDEdY-rZ9IfPP9oyBpoZpjcDWGggJR%20%22SP-140-Mall.pdf%22" TargetMode="External"/><Relationship Id="rId122" Type="http://schemas.openxmlformats.org/officeDocument/2006/relationships/hyperlink" Target="https://drive.google.com/drive/search?q=parent:1OkcpifbUiC1Y6G2u5ApzxEwKzOL1_kpP%20%22R1-111-10-125-Gold%20v%20Weinberger.pdf%22" TargetMode="External"/><Relationship Id="rId95" Type="http://schemas.openxmlformats.org/officeDocument/2006/relationships/hyperlink" Target="https://drive.google.com/drive/search?q=parent:1VmyDEdY-rZ9IfPP9oyBpoZpjcDWGggJR%20%22SP-128-Cabot%20Corp%20v%20United%20States.pdf%22" TargetMode="External"/><Relationship Id="rId94" Type="http://schemas.openxmlformats.org/officeDocument/2006/relationships/hyperlink" Target="https://drive.google.com/drive/search?q=parent:1OkcpifbUiC1Y6G2u5ApzxEwKzOL1_kpP%20%22R1-110-01-127-Harper%20v%20Bowen.pdf%22" TargetMode="External"/><Relationship Id="rId97" Type="http://schemas.openxmlformats.org/officeDocument/2006/relationships/hyperlink" Target="https://drive.google.com/drive/search?q=parent:1VmyDEdY-rZ9IfPP9oyBpoZpjcDWGggJR%20%22SP-129-Pauls%20v%20Sec'y%20of%20the%20Air%20Force.pdf%22" TargetMode="External"/><Relationship Id="rId96" Type="http://schemas.openxmlformats.org/officeDocument/2006/relationships/hyperlink" Target="https://drive.google.com/drive/search?q=parent:1OkcpifbUiC1Y6G2u5ApzxEwKzOL1_kpP%20%22R1-110-02-128-Cabot%20Corp%20v%20United%20States.pdf%22" TargetMode="External"/><Relationship Id="rId99" Type="http://schemas.openxmlformats.org/officeDocument/2006/relationships/hyperlink" Target="https://drive.google.com/drive/search?q=parent:1VmyDEdY-rZ9IfPP9oyBpoZpjcDWGggJR%20%22SP-130-McCoy%20v%20Schweiker.pdf%22" TargetMode="External"/><Relationship Id="rId98" Type="http://schemas.openxmlformats.org/officeDocument/2006/relationships/hyperlink" Target="https://drive.google.com/drive/search?q=parent:1OkcpifbUiC1Y6G2u5ApzxEwKzOL1_kpP%20%22R1-110-03-129-Pauls%20v%20Sec'y%20of%20the%20Air%20Force.pdf%22" TargetMode="External"/><Relationship Id="rId91" Type="http://schemas.openxmlformats.org/officeDocument/2006/relationships/hyperlink" Target="https://drive.google.com/drive/search?q=parent:1VmyDEdY-rZ9IfPP9oyBpoZpjcDWGggJR%20%22SP-075-Bachowski%20v%20Usery.pdf%22" TargetMode="External"/><Relationship Id="rId90" Type="http://schemas.openxmlformats.org/officeDocument/2006/relationships/hyperlink" Target="https://drive.google.com/drive/search?q=parent:1OkcpifbUiC1Y6G2u5ApzxEwKzOL1_kpP%20%22R1-109-01-075-Bachowski%20v%20Usery.pdf%22" TargetMode="External"/><Relationship Id="rId93" Type="http://schemas.openxmlformats.org/officeDocument/2006/relationships/hyperlink" Target="https://drive.google.com/drive/search?q=parent:1VmyDEdY-rZ9IfPP9oyBpoZpjcDWGggJR%20%22SP-127-Harper%20v%20Bowen.pdf%22" TargetMode="External"/><Relationship Id="rId92" Type="http://schemas.openxmlformats.org/officeDocument/2006/relationships/hyperlink" Target="https://drive.google.com/drive/search?q=parent:1OkcpifbUiC1Y6G2u5ApzxEwKzOL1_kpP%20%22R1-109-02-075-Bachowski%20v%20Usery.pdf%22" TargetMode="External"/><Relationship Id="rId118" Type="http://schemas.openxmlformats.org/officeDocument/2006/relationships/hyperlink" Target="https://drive.google.com/drive/search?q=parent:1OkcpifbUiC1Y6G2u5ApzxEwKzOL1_kpP%20%22R1-111-08-138-Stone%20v%20Heckler.pdf%22" TargetMode="External"/><Relationship Id="rId117" Type="http://schemas.openxmlformats.org/officeDocument/2006/relationships/hyperlink" Target="https://drive.google.com/drive/search?q=parent:1VmyDEdY-rZ9IfPP9oyBpoZpjcDWGggJR%20%22SP-138-Stone%20v%20Heckler.pdf%22" TargetMode="External"/><Relationship Id="rId116" Type="http://schemas.openxmlformats.org/officeDocument/2006/relationships/hyperlink" Target="https://drive.google.com/drive/search?q=parent:1OkcpifbUiC1Y6G2u5ApzxEwKzOL1_kpP%20%22R1-111-07-137-Bender%20v%20Clark.pdf%22" TargetMode="External"/><Relationship Id="rId115" Type="http://schemas.openxmlformats.org/officeDocument/2006/relationships/hyperlink" Target="https://drive.google.com/drive/search?q=parent:1VmyDEdY-rZ9IfPP9oyBpoZpjcDWGggJR%20%22SP-137-Bender%20v%20Clark.pdf%22" TargetMode="External"/><Relationship Id="rId119" Type="http://schemas.openxmlformats.org/officeDocument/2006/relationships/hyperlink" Target="https://drive.google.com/drive/search?q=parent:1VmyDEdY-rZ9IfPP9oyBpoZpjcDWGggJR%20%22SP-139-United%20States%20v%20Alcon%20Labs.pdf%22" TargetMode="External"/><Relationship Id="rId110" Type="http://schemas.openxmlformats.org/officeDocument/2006/relationships/hyperlink" Target="https://drive.google.com/drive/search?q=parent:1OkcpifbUiC1Y6G2u5ApzxEwKzOL1_kpP%20%22R1-111-04-134-Huie%20v%20Bowen.pdf%22" TargetMode="External"/><Relationship Id="rId114" Type="http://schemas.openxmlformats.org/officeDocument/2006/relationships/hyperlink" Target="https://drive.google.com/drive/search?q=parent:1OkcpifbUiC1Y6G2u5ApzxEwKzOL1_kpP%20%22R1-111-06-136-Good%20Samaritan%20Hosp%20v%20Shalala.pdf%22" TargetMode="External"/><Relationship Id="rId113" Type="http://schemas.openxmlformats.org/officeDocument/2006/relationships/hyperlink" Target="https://drive.google.com/drive/search?q=parent:1VmyDEdY-rZ9IfPP9oyBpoZpjcDWGggJR%20%22SP-136-Good%20Samaritan%20Hosp%20v%20Shalala.pdf%22" TargetMode="External"/><Relationship Id="rId112" Type="http://schemas.openxmlformats.org/officeDocument/2006/relationships/hyperlink" Target="https://drive.google.com/drive/search?q=parent:1OkcpifbUiC1Y6G2u5ApzxEwKzOL1_kpP%20%22R1-111-05-135-Regents%20of%20the%20Univ%20of%20Calif%20v%20Heckler.pdf%22" TargetMode="External"/><Relationship Id="rId111" Type="http://schemas.openxmlformats.org/officeDocument/2006/relationships/hyperlink" Target="https://drive.google.com/drive/search?q=parent:1VmyDEdY-rZ9IfPP9oyBpoZpjcDWGggJR%20%22SP-135-Regents%20of%20the%20Univ%20of%20Calif%20v%20Heckler.pdf%22"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127-01-154-Supra%20Notes%2098-115%20and%20Accompanying%20Text.pdf%22" TargetMode="External"/><Relationship Id="rId42" Type="http://schemas.openxmlformats.org/officeDocument/2006/relationships/hyperlink" Target="https://drive.google.com/drive/search?q=parent:1OkcpifbUiC1Y6G2u5ApzxEwKzOL1_kpP%20%22R1-128-01-162-Supra%20Note%2051%20and%20Accompanying%20Text.pdf%22" TargetMode="External"/><Relationship Id="rId41" Type="http://schemas.openxmlformats.org/officeDocument/2006/relationships/hyperlink" Target="https://drive.google.com/drive/search?q=parent:1VmyDEdY-rZ9IfPP9oyBpoZpjcDWGggJR%20%22SP-162-Supra%20Note%2051%20and%20Accompanying%20Text.pdf%22" TargetMode="External"/><Relationship Id="rId44" Type="http://schemas.openxmlformats.org/officeDocument/2006/relationships/hyperlink" Target="https://drive.google.com/drive/search?q=parent:1OkcpifbUiC1Y6G2u5ApzxEwKzOL1_kpP%20%22R1-128-02-022-Lammon%20Dizzying.pdf%22" TargetMode="External"/><Relationship Id="rId43" Type="http://schemas.openxmlformats.org/officeDocument/2006/relationships/hyperlink" Target="https://drive.google.com/drive/search?q=parent:1VmyDEdY-rZ9IfPP9oyBpoZpjcDWGggJR%20%22SP-022-Lammon%20Dizzying.pdf%22" TargetMode="External"/><Relationship Id="rId46" Type="http://schemas.openxmlformats.org/officeDocument/2006/relationships/hyperlink" Target="https://drive.google.com/drive/search?q=parent:1OkcpifbUiC1Y6G2u5ApzxEwKzOL1_kpP%20%22R1-129-01-163-Infra%20Notes%20183-185%20and%20Accompanying%20Text.pdf%22" TargetMode="External"/><Relationship Id="rId45" Type="http://schemas.openxmlformats.org/officeDocument/2006/relationships/hyperlink" Target="https://drive.google.com/drive/search?q=parent:1VmyDEdY-rZ9IfPP9oyBpoZpjcDWGggJR%20%22SP-163-Infra%20Notes%20183-185%20and%20Accompanying%20Text.pdf%22" TargetMode="External"/><Relationship Id="rId48" Type="http://schemas.openxmlformats.org/officeDocument/2006/relationships/hyperlink" Target="https://drive.google.com/drive/search?q=parent:1OkcpifbUiC1Y6G2u5ApzxEwKzOL1_kpP%20%22R1-130-01-164-Infra%20Notes%20186-187%20and%20Accompanying%20Text.pdf%22" TargetMode="External"/><Relationship Id="rId47" Type="http://schemas.openxmlformats.org/officeDocument/2006/relationships/hyperlink" Target="https://drive.google.com/drive/search?q=parent:1VmyDEdY-rZ9IfPP9oyBpoZpjcDWGggJR%20%22SP-164-Infra%20Notes%20186-187%20and%20Accompanying%20Text.pdf%22" TargetMode="External"/><Relationship Id="rId49" Type="http://schemas.openxmlformats.org/officeDocument/2006/relationships/hyperlink" Target="https://drive.google.com/drive/search?q=parent:1VmyDEdY-rZ9IfPP9oyBpoZpjcDWGggJR%20%22SP-036-Infra%20Notes%20193-194.pdf%22" TargetMode="External"/><Relationship Id="rId31" Type="http://schemas.openxmlformats.org/officeDocument/2006/relationships/hyperlink" Target="https://drive.google.com/drive/search?q=parent:1VmyDEdY-rZ9IfPP9oyBpoZpjcDWGggJR%20%22SP-138-Stone%20v%20Heckler.pdf%22" TargetMode="External"/><Relationship Id="rId30" Type="http://schemas.openxmlformats.org/officeDocument/2006/relationships/hyperlink" Target="https://drive.google.com/drive/search?q=parent:1OkcpifbUiC1Y6G2u5ApzxEwKzOL1_kpP%20%22R1-125-01-154-Supra%20Notes%2098-115%20and%20Accompanying%20Text.pdf%22" TargetMode="External"/><Relationship Id="rId33" Type="http://schemas.openxmlformats.org/officeDocument/2006/relationships/hyperlink" Target="https://drive.google.com/drive/search?q=parent:1VmyDEdY-rZ9IfPP9oyBpoZpjcDWGggJR%20%22SP-161-Howell.pdf%22" TargetMode="External"/><Relationship Id="rId32" Type="http://schemas.openxmlformats.org/officeDocument/2006/relationships/hyperlink" Target="https://drive.google.com/drive/search?q=parent:1OkcpifbUiC1Y6G2u5ApzxEwKzOL1_kpP%20%22R1-126-01-138-Stone%20v%20Heckler.pdf%22" TargetMode="External"/><Relationship Id="rId35" Type="http://schemas.openxmlformats.org/officeDocument/2006/relationships/hyperlink" Target="https://drive.google.com/drive/search?q=parent:1VmyDEdY-rZ9IfPP9oyBpoZpjcDWGggJR%20%22SP-126-Gueory%20v%20Hampton.pdf%22" TargetMode="External"/><Relationship Id="rId34" Type="http://schemas.openxmlformats.org/officeDocument/2006/relationships/hyperlink" Target="https://drive.google.com/drive/search?q=parent:1OkcpifbUiC1Y6G2u5ApzxEwKzOL1_kpP%20%22R1-126-02-161-Howell.pdf%22" TargetMode="External"/><Relationship Id="rId37" Type="http://schemas.openxmlformats.org/officeDocument/2006/relationships/hyperlink" Target="https://drive.google.com/drive/search?q=parent:1VmyDEdY-rZ9IfPP9oyBpoZpjcDWGggJR%20%22SP-125-Gold%20v%20Weinberger.pdf%22" TargetMode="External"/><Relationship Id="rId36" Type="http://schemas.openxmlformats.org/officeDocument/2006/relationships/hyperlink" Target="https://drive.google.com/drive/search?q=parent:1OkcpifbUiC1Y6G2u5ApzxEwKzOL1_kpP%20%22R1-126-03-126-Gueory%20v%20Hampton.pdf%22" TargetMode="External"/><Relationship Id="rId39" Type="http://schemas.openxmlformats.org/officeDocument/2006/relationships/hyperlink" Target="https://drive.google.com/drive/search?q=parent:1VmyDEdY-rZ9IfPP9oyBpoZpjcDWGggJR%20%22SP-154-Supra%20Notes%2098-115%20and%20Accompanying%20Text.pdf%22" TargetMode="External"/><Relationship Id="rId38" Type="http://schemas.openxmlformats.org/officeDocument/2006/relationships/hyperlink" Target="https://drive.google.com/drive/search?q=parent:1OkcpifbUiC1Y6G2u5ApzxEwKzOL1_kpP%20%22R1-126-04-125-Gold%20v%20Weinberger.pdf%22" TargetMode="External"/><Relationship Id="rId20" Type="http://schemas.openxmlformats.org/officeDocument/2006/relationships/hyperlink" Target="https://drive.google.com/drive/search?q=parent:1OkcpifbUiC1Y6G2u5ApzxEwKzOL1_kpP%20%22R1-122-01-138-Stone%20v%20Heckler.pdf%22" TargetMode="External"/><Relationship Id="rId22" Type="http://schemas.openxmlformats.org/officeDocument/2006/relationships/hyperlink" Target="https://drive.google.com/drive/search?q=parent:1OkcpifbUiC1Y6G2u5ApzxEwKzOL1_kpP%20%22R1-122-02-135-Regents%20of%20the%20Univ%20of%20Calif%20v%20Heckler.pdf%22" TargetMode="External"/><Relationship Id="rId21" Type="http://schemas.openxmlformats.org/officeDocument/2006/relationships/hyperlink" Target="https://drive.google.com/drive/search?q=parent:1VmyDEdY-rZ9IfPP9oyBpoZpjcDWGggJR%20%22SP-135-Regents%20of%20the%20Univ%20of%20Calif%20v%20Heckler.pdf%22" TargetMode="External"/><Relationship Id="rId24" Type="http://schemas.openxmlformats.org/officeDocument/2006/relationships/hyperlink" Target="https://drive.google.com/drive/search?q=parent:1OkcpifbUiC1Y6G2u5ApzxEwKzOL1_kpP%20%22R1-123-01-144-Eluska%20v%20Andrus.pdf%22" TargetMode="External"/><Relationship Id="rId23" Type="http://schemas.openxmlformats.org/officeDocument/2006/relationships/hyperlink" Target="https://drive.google.com/drive/search?q=parent:1VmyDEdY-rZ9IfPP9oyBpoZpjcDWGggJR%20%22SP-144-Eluska%20v%20Andrus.pdf%22" TargetMode="External"/><Relationship Id="rId26" Type="http://schemas.openxmlformats.org/officeDocument/2006/relationships/hyperlink" Target="https://drive.google.com/drive/search?q=parent:1OkcpifbUiC1Y6G2u5ApzxEwKzOL1_kpP%20%22R1-124-01-160-Paluso.pdf%22" TargetMode="External"/><Relationship Id="rId25" Type="http://schemas.openxmlformats.org/officeDocument/2006/relationships/hyperlink" Target="https://drive.google.com/drive/search?q=parent:1VmyDEdY-rZ9IfPP9oyBpoZpjcDWGggJR%20%22SP-160-Paluso.pdf%22" TargetMode="External"/><Relationship Id="rId28" Type="http://schemas.openxmlformats.org/officeDocument/2006/relationships/hyperlink" Target="https://drive.google.com/drive/search?q=parent:1OkcpifbUiC1Y6G2u5ApzxEwKzOL1_kpP%20%22R1-124-02-137-Bender%20v%20Clark.pdf%22" TargetMode="External"/><Relationship Id="rId27" Type="http://schemas.openxmlformats.org/officeDocument/2006/relationships/hyperlink" Target="https://drive.google.com/drive/search?q=parent:1VmyDEdY-rZ9IfPP9oyBpoZpjcDWGggJR%20%22SP-137-Bender%20v%20Clark.pdf%22" TargetMode="External"/><Relationship Id="rId29" Type="http://schemas.openxmlformats.org/officeDocument/2006/relationships/hyperlink" Target="https://drive.google.com/drive/search?q=parent:1VmyDEdY-rZ9IfPP9oyBpoZpjcDWGggJR%20%22SP-154-Supra%20Notes%2098-115%20and%20Accompanying%20Text.pdf%22" TargetMode="External"/><Relationship Id="rId11" Type="http://schemas.openxmlformats.org/officeDocument/2006/relationships/hyperlink" Target="https://drive.google.com/drive/search?q=parent:1VmyDEdY-rZ9IfPP9oyBpoZpjcDWGggJR%20%22SP-158-Billboard%20(1987).pdf%22" TargetMode="External"/><Relationship Id="rId10" Type="http://schemas.openxmlformats.org/officeDocument/2006/relationships/hyperlink" Target="https://drive.google.com/drive/search?q=parent:1OkcpifbUiC1Y6G2u5ApzxEwKzOL1_kpP%20%22R1-118-01-157-Infra%20Notes%20134-194%20and%20Accompanying%20Text.pdf%22" TargetMode="External"/><Relationship Id="rId13" Type="http://schemas.openxmlformats.org/officeDocument/2006/relationships/hyperlink" Target="https://drive.google.com/drive/search?q=parent:1VmyDEdY-rZ9IfPP9oyBpoZpjcDWGggJR%20%22SP-133-Aja%20Assocs%20v%20Army%20Corps%20of%20Eng'rs.pdf%22" TargetMode="External"/><Relationship Id="rId12" Type="http://schemas.openxmlformats.org/officeDocument/2006/relationships/hyperlink" Target="https://drive.google.com/drive/search?q=parent:1OkcpifbUiC1Y6G2u5ApzxEwKzOL1_kpP%20%22R1-119-01-158-Billboard%20(1987).pdf%22" TargetMode="External"/><Relationship Id="rId15" Type="http://schemas.openxmlformats.org/officeDocument/2006/relationships/hyperlink" Target="https://drive.google.com/drive/search?q=parent:1VmyDEdY-rZ9IfPP9oyBpoZpjcDWGggJR%20%22SP-075-Bachowski%20v%20Usery.pdf%22" TargetMode="External"/><Relationship Id="rId14" Type="http://schemas.openxmlformats.org/officeDocument/2006/relationships/hyperlink" Target="https://drive.google.com/drive/search?q=parent:1OkcpifbUiC1Y6G2u5ApzxEwKzOL1_kpP%20%22R1-120-01-133-Aja%20Assocs%20v%20Army%20Corps%20of%20Eng'rs.pdf%22" TargetMode="External"/><Relationship Id="rId17" Type="http://schemas.openxmlformats.org/officeDocument/2006/relationships/hyperlink" Target="https://drive.google.com/drive/search?q=parent:1VmyDEdY-rZ9IfPP9oyBpoZpjcDWGggJR%20%22SP-127-Harper%20v%20Bowen.pdf%22" TargetMode="External"/><Relationship Id="rId16" Type="http://schemas.openxmlformats.org/officeDocument/2006/relationships/hyperlink" Target="https://drive.google.com/drive/search?q=parent:1OkcpifbUiC1Y6G2u5ApzxEwKzOL1_kpP%20%22R1-120-02-075-Bachowski%20v%20Usery.pdf%22" TargetMode="External"/><Relationship Id="rId19" Type="http://schemas.openxmlformats.org/officeDocument/2006/relationships/hyperlink" Target="https://drive.google.com/drive/search?q=parent:1VmyDEdY-rZ9IfPP9oyBpoZpjcDWGggJR%20%22SP-138-Stone%20v%20Heckler.pdf%22" TargetMode="External"/><Relationship Id="rId18" Type="http://schemas.openxmlformats.org/officeDocument/2006/relationships/hyperlink" Target="https://drive.google.com/drive/search?q=parent:1OkcpifbUiC1Y6G2u5ApzxEwKzOL1_kpP%20%22R1-121-01-127-Harper%20v%20Bowen.pdf%22" TargetMode="External"/><Relationship Id="rId84" Type="http://schemas.openxmlformats.org/officeDocument/2006/relationships/hyperlink" Target="https://drive.google.com/drive/search?q=parent:1OkcpifbUiC1Y6G2u5ApzxEwKzOL1_kpP%20%22R1-137-01-172-Limnia.pdf%22" TargetMode="External"/><Relationship Id="rId83" Type="http://schemas.openxmlformats.org/officeDocument/2006/relationships/hyperlink" Target="https://drive.google.com/drive/search?q=parent:1VmyDEdY-rZ9IfPP9oyBpoZpjcDWGggJR%20%22SP-172-Limnia.pdf%22" TargetMode="External"/><Relationship Id="rId86" Type="http://schemas.openxmlformats.org/officeDocument/2006/relationships/hyperlink" Target="https://drive.google.com/drive/search?q=parent:1OkcpifbUiC1Y6G2u5ApzxEwKzOL1_kpP%20%22R1-138-01-174-Koyo%20Seiko%20Co%20v%20United%20States.pdf%22" TargetMode="External"/><Relationship Id="rId85" Type="http://schemas.openxmlformats.org/officeDocument/2006/relationships/hyperlink" Target="https://drive.google.com/drive/search?q=parent:1VmyDEdY-rZ9IfPP9oyBpoZpjcDWGggJR%20%22SP-174-Koyo%20Seiko%20Co%20v%20United%20States.pdf%22" TargetMode="External"/><Relationship Id="rId88" Type="http://schemas.openxmlformats.org/officeDocument/2006/relationships/hyperlink" Target="https://drive.google.com/drive/search?q=parent:1OkcpifbUiC1Y6G2u5ApzxEwKzOL1_kpP%20%22R1-138-02-116-Travelstead%20v%20Derwinski.pdf%22" TargetMode="External"/><Relationship Id="rId150" Type="http://schemas.openxmlformats.org/officeDocument/2006/relationships/hyperlink" Target="https://drive.google.com/drive/search?q=parent:1OkcpifbUiC1Y6G2u5ApzxEwKzOL1_kpP%20%22R1-150-02-153-Nat'l%20Air%20Traffic%20Controllers.pdf%22" TargetMode="External"/><Relationship Id="rId87" Type="http://schemas.openxmlformats.org/officeDocument/2006/relationships/hyperlink" Target="https://drive.google.com/drive/search?q=parent:1VmyDEdY-rZ9IfPP9oyBpoZpjcDWGggJR%20%22SP-116-Travelstead%20v%20Derwinski.pdf%22" TargetMode="External"/><Relationship Id="rId89" Type="http://schemas.openxmlformats.org/officeDocument/2006/relationships/hyperlink" Target="https://drive.google.com/drive/search?q=parent:1VmyDEdY-rZ9IfPP9oyBpoZpjcDWGggJR%20%22SP-128-Cabot%20Corp%20v%20United%20States.pdf%22" TargetMode="External"/><Relationship Id="rId80" Type="http://schemas.openxmlformats.org/officeDocument/2006/relationships/hyperlink" Target="https://drive.google.com/drive/search?q=parent:1OkcpifbUiC1Y6G2u5ApzxEwKzOL1_kpP%20%22R1-136-04-166-Sierra%20Club%20v%20US%20Dep't%20of%20Agric.pdf%22" TargetMode="External"/><Relationship Id="rId82" Type="http://schemas.openxmlformats.org/officeDocument/2006/relationships/hyperlink" Target="https://drive.google.com/drive/search?q=parent:1OkcpifbUiC1Y6G2u5ApzxEwKzOL1_kpP%20%22R1-136-05-032-Pueblo%20of%20Sandia%20v%20Babbitt.pdf%22" TargetMode="External"/><Relationship Id="rId81" Type="http://schemas.openxmlformats.org/officeDocument/2006/relationships/hyperlink" Target="https://drive.google.com/drive/search?q=parent:1VmyDEdY-rZ9IfPP9oyBpoZpjcDWGggJR%20%22SP-032-Pueblo%20of%20Sandia%20v%20Babbitt.pdf%22" TargetMode="External"/><Relationship Id="rId1" Type="http://schemas.openxmlformats.org/officeDocument/2006/relationships/hyperlink" Target="https://drive.google.com/drive/search?q=parent:1VmyDEdY-rZ9IfPP9oyBpoZpjcDWGggJR%20%22SP-154-Supra%20Notes%2098-115%20and%20Accompanying%20Text.pdf%22" TargetMode="External"/><Relationship Id="rId2" Type="http://schemas.openxmlformats.org/officeDocument/2006/relationships/hyperlink" Target="https://drive.google.com/drive/search?q=parent:1OkcpifbUiC1Y6G2u5ApzxEwKzOL1_kpP%20%22R1-116-01-154-Supra%20Notes%2098-115%20and%20Accompanying%20Text.pdf%22" TargetMode="External"/><Relationship Id="rId3" Type="http://schemas.openxmlformats.org/officeDocument/2006/relationships/hyperlink" Target="https://drive.google.com/drive/search?q=parent:1VmyDEdY-rZ9IfPP9oyBpoZpjcDWGggJR%20%22SP-155-Cotton%20Petroleum%20Corp.pdf%22" TargetMode="External"/><Relationship Id="rId149" Type="http://schemas.openxmlformats.org/officeDocument/2006/relationships/hyperlink" Target="https://drive.google.com/drive/search?q=parent:1VmyDEdY-rZ9IfPP9oyBpoZpjcDWGggJR%20%22SP-153-Nat'l%20Air%20Traffic%20Controllers.pdf%22" TargetMode="External"/><Relationship Id="rId4" Type="http://schemas.openxmlformats.org/officeDocument/2006/relationships/hyperlink" Target="https://drive.google.com/drive/search?q=parent:1OkcpifbUiC1Y6G2u5ApzxEwKzOL1_kpP%20%22R1-116-02-155-Cotton%20Petroleum%20Corp.pdf%22" TargetMode="External"/><Relationship Id="rId148" Type="http://schemas.openxmlformats.org/officeDocument/2006/relationships/hyperlink" Target="https://drive.google.com/drive/search?q=parent:1OkcpifbUiC1Y6G2u5ApzxEwKzOL1_kpP%20%22R1-150-01-192-Schuck%20v%20Frank.pdf%22" TargetMode="External"/><Relationship Id="rId9" Type="http://schemas.openxmlformats.org/officeDocument/2006/relationships/hyperlink" Target="https://drive.google.com/drive/search?q=parent:1VmyDEdY-rZ9IfPP9oyBpoZpjcDWGggJR%20%22SP-157-Infra%20Notes%20134-194%20and%20Accompanying%20Text.pdf%22" TargetMode="External"/><Relationship Id="rId143" Type="http://schemas.openxmlformats.org/officeDocument/2006/relationships/hyperlink" Target="https://drive.google.com/drive/search?q=parent:1VmyDEdY-rZ9IfPP9oyBpoZpjcDWGggJR%20%22SP-190-Adkins%20v%20Silverman.pdf%22" TargetMode="External"/><Relationship Id="rId142" Type="http://schemas.openxmlformats.org/officeDocument/2006/relationships/hyperlink" Target="https://drive.google.com/drive/search?q=parent:1OkcpifbUiC1Y6G2u5ApzxEwKzOL1_kpP%20%22R1-149-01-069-Vista.pdf%22" TargetMode="External"/><Relationship Id="rId141" Type="http://schemas.openxmlformats.org/officeDocument/2006/relationships/hyperlink" Target="https://drive.google.com/drive/search?q=parent:1VmyDEdY-rZ9IfPP9oyBpoZpjcDWGggJR%20%22SP-069-Vista.pdf%22" TargetMode="External"/><Relationship Id="rId140" Type="http://schemas.openxmlformats.org/officeDocument/2006/relationships/hyperlink" Target="https://drive.google.com/drive/search?q=parent:1OkcpifbUiC1Y6G2u5ApzxEwKzOL1_kpP%20%22R1-148-02-189-Culbertson%20v%20Sec'y%20of%20Health%20and%20Hum%20Servs.pdf%22" TargetMode="External"/><Relationship Id="rId5" Type="http://schemas.openxmlformats.org/officeDocument/2006/relationships/hyperlink" Target="https://drive.google.com/drive/search?q=parent:1VmyDEdY-rZ9IfPP9oyBpoZpjcDWGggJR%20%22SP-156-Infra%20Notes%20177.pdf%22" TargetMode="External"/><Relationship Id="rId147" Type="http://schemas.openxmlformats.org/officeDocument/2006/relationships/hyperlink" Target="https://drive.google.com/drive/search?q=parent:1VmyDEdY-rZ9IfPP9oyBpoZpjcDWGggJR%20%22SP-192-Schuck%20v%20Frank.pdf%22" TargetMode="External"/><Relationship Id="rId6" Type="http://schemas.openxmlformats.org/officeDocument/2006/relationships/hyperlink" Target="https://drive.google.com/drive/search?q=parent:1OkcpifbUiC1Y6G2u5ApzxEwKzOL1_kpP%20%22R1-116-03-156-Infra%20Notes%20177.pdf%22" TargetMode="External"/><Relationship Id="rId146" Type="http://schemas.openxmlformats.org/officeDocument/2006/relationships/hyperlink" Target="https://drive.google.com/drive/search?q=parent:1OkcpifbUiC1Y6G2u5ApzxEwKzOL1_kpP%20%22R1-149-03-191-BNSF%20Ry%20Co%20v%20Am%20Train%20Dispatchers%20Ass'n.pdf%22" TargetMode="External"/><Relationship Id="rId7" Type="http://schemas.openxmlformats.org/officeDocument/2006/relationships/hyperlink" Target="https://drive.google.com/drive/search?q=parent:1VmyDEdY-rZ9IfPP9oyBpoZpjcDWGggJR%20%22SP-157-Infra%20Notes%20134-194%20and%20Accompanying%20Text.pdf%22" TargetMode="External"/><Relationship Id="rId145" Type="http://schemas.openxmlformats.org/officeDocument/2006/relationships/hyperlink" Target="https://drive.google.com/drive/search?q=parent:1VmyDEdY-rZ9IfPP9oyBpoZpjcDWGggJR%20%22SP-191-BNSF%20Ry%20Co%20v%20Am%20Train%20Dispatchers%20Ass'n.pdf%22" TargetMode="External"/><Relationship Id="rId8" Type="http://schemas.openxmlformats.org/officeDocument/2006/relationships/hyperlink" Target="https://drive.google.com/drive/search?q=parent:1OkcpifbUiC1Y6G2u5ApzxEwKzOL1_kpP%20%22R1-117-01-157-Infra%20Notes%20134-194%20and%20Accompanying%20Text.pdf%22" TargetMode="External"/><Relationship Id="rId144" Type="http://schemas.openxmlformats.org/officeDocument/2006/relationships/hyperlink" Target="https://drive.google.com/drive/search?q=parent:1OkcpifbUiC1Y6G2u5ApzxEwKzOL1_kpP%20%22R1-149-02-190-Adkins%20v%20Silverman.pdf%22" TargetMode="External"/><Relationship Id="rId73" Type="http://schemas.openxmlformats.org/officeDocument/2006/relationships/hyperlink" Target="https://drive.google.com/drive/search?q=parent:1VmyDEdY-rZ9IfPP9oyBpoZpjcDWGggJR%20%22SP-172-Limnia.pdf%22" TargetMode="External"/><Relationship Id="rId72" Type="http://schemas.openxmlformats.org/officeDocument/2006/relationships/hyperlink" Target="https://drive.google.com/drive/search?q=parent:1OkcpifbUiC1Y6G2u5ApzxEwKzOL1_kpP%20%22R1-135-04-171-Naacp.pdf%22" TargetMode="External"/><Relationship Id="rId75" Type="http://schemas.openxmlformats.org/officeDocument/2006/relationships/hyperlink" Target="https://drive.google.com/drive/search?q=parent:1VmyDEdY-rZ9IfPP9oyBpoZpjcDWGggJR%20%22SP-173-Am%20Haw%20Cruises%20v%20Skinner.pdf%22" TargetMode="External"/><Relationship Id="rId74" Type="http://schemas.openxmlformats.org/officeDocument/2006/relationships/hyperlink" Target="https://drive.google.com/drive/search?q=parent:1OkcpifbUiC1Y6G2u5ApzxEwKzOL1_kpP%20%22R1-136-01-172-Limnia.pdf%22" TargetMode="External"/><Relationship Id="rId77" Type="http://schemas.openxmlformats.org/officeDocument/2006/relationships/hyperlink" Target="https://drive.google.com/drive/search?q=parent:1VmyDEdY-rZ9IfPP9oyBpoZpjcDWGggJR%20%22SP-104-In%20Re%20Long-Distance%20Tel%20Serv%20Fed%20Excise%20Tax%20Refund%20Litig.pdf%22" TargetMode="External"/><Relationship Id="rId76" Type="http://schemas.openxmlformats.org/officeDocument/2006/relationships/hyperlink" Target="https://drive.google.com/drive/search?q=parent:1OkcpifbUiC1Y6G2u5ApzxEwKzOL1_kpP%20%22R1-136-02-173-Am%20Haw%20Cruises%20v%20Skinner.pdf%22" TargetMode="External"/><Relationship Id="rId79" Type="http://schemas.openxmlformats.org/officeDocument/2006/relationships/hyperlink" Target="https://drive.google.com/drive/search?q=parent:1VmyDEdY-rZ9IfPP9oyBpoZpjcDWGggJR%20%22SP-166-Sierra%20Club%20v%20US%20Dep't%20of%20Agric.pdf%22" TargetMode="External"/><Relationship Id="rId78" Type="http://schemas.openxmlformats.org/officeDocument/2006/relationships/hyperlink" Target="https://drive.google.com/drive/search?q=parent:1OkcpifbUiC1Y6G2u5ApzxEwKzOL1_kpP%20%22R1-136-03-104-In%20Re%20Long-Distance%20Tel%20Serv%20Fed%20Excise%20Tax%20Refund%20Litig.pdf%22" TargetMode="External"/><Relationship Id="rId71" Type="http://schemas.openxmlformats.org/officeDocument/2006/relationships/hyperlink" Target="https://drive.google.com/drive/search?q=parent:1VmyDEdY-rZ9IfPP9oyBpoZpjcDWGggJR%20%22SP-171-Naacp.pdf%22" TargetMode="External"/><Relationship Id="rId70" Type="http://schemas.openxmlformats.org/officeDocument/2006/relationships/hyperlink" Target="https://drive.google.com/drive/search?q=parent:1OkcpifbUiC1Y6G2u5ApzxEwKzOL1_kpP%20%22R1-135-03-170-Oceana.pdf%22" TargetMode="External"/><Relationship Id="rId139" Type="http://schemas.openxmlformats.org/officeDocument/2006/relationships/hyperlink" Target="https://drive.google.com/drive/search?q=parent:1VmyDEdY-rZ9IfPP9oyBpoZpjcDWGggJR%20%22SP-189-Culbertson%20v%20Sec'y%20of%20Health%20and%20Hum%20Servs.pdf%22" TargetMode="External"/><Relationship Id="rId138" Type="http://schemas.openxmlformats.org/officeDocument/2006/relationships/hyperlink" Target="https://drive.google.com/drive/search?q=parent:1OkcpifbUiC1Y6G2u5ApzxEwKzOL1_kpP%20%22R1-148-01-184-Shipbuilders%20Council%20of%20Am%20v%20US%20Coast%20Guard.pdf%22" TargetMode="External"/><Relationship Id="rId137" Type="http://schemas.openxmlformats.org/officeDocument/2006/relationships/hyperlink" Target="https://drive.google.com/drive/search?q=parent:1VmyDEdY-rZ9IfPP9oyBpoZpjcDWGggJR%20%22SP-184-Shipbuilders%20Council%20of%20Am%20v%20US%20Coast%20Guard.pdf%22" TargetMode="External"/><Relationship Id="rId132" Type="http://schemas.openxmlformats.org/officeDocument/2006/relationships/hyperlink" Target="https://drive.google.com/drive/search?q=parent:1OkcpifbUiC1Y6G2u5ApzxEwKzOL1_kpP%20%22R1-147-03-186-Hanauer%20v%20Reich.pdf%22" TargetMode="External"/><Relationship Id="rId131" Type="http://schemas.openxmlformats.org/officeDocument/2006/relationships/hyperlink" Target="https://drive.google.com/drive/search?q=parent:1VmyDEdY-rZ9IfPP9oyBpoZpjcDWGggJR%20%22SP-186-Hanauer%20v%20Reich.pdf%22" TargetMode="External"/><Relationship Id="rId130" Type="http://schemas.openxmlformats.org/officeDocument/2006/relationships/hyperlink" Target="https://drive.google.com/drive/search?q=parent:1OkcpifbUiC1Y6G2u5ApzxEwKzOL1_kpP%20%22R1-147-02-185-Highlands%20Conservancy.pdf%22" TargetMode="External"/><Relationship Id="rId136" Type="http://schemas.openxmlformats.org/officeDocument/2006/relationships/hyperlink" Target="https://drive.google.com/drive/search?q=parent:1OkcpifbUiC1Y6G2u5ApzxEwKzOL1_kpP%20%22R1-147-05-188-Nielsen%20v%20Hagel.pdf%22" TargetMode="External"/><Relationship Id="rId135" Type="http://schemas.openxmlformats.org/officeDocument/2006/relationships/hyperlink" Target="https://drive.google.com/drive/search?q=parent:1VmyDEdY-rZ9IfPP9oyBpoZpjcDWGggJR%20%22SP-188-Nielsen%20v%20Hagel.pdf%22" TargetMode="External"/><Relationship Id="rId134" Type="http://schemas.openxmlformats.org/officeDocument/2006/relationships/hyperlink" Target="https://drive.google.com/drive/search?q=parent:1OkcpifbUiC1Y6G2u5ApzxEwKzOL1_kpP%20%22R1-147-04-187-Colvin%20v%20Sullivan.pdf%22" TargetMode="External"/><Relationship Id="rId133" Type="http://schemas.openxmlformats.org/officeDocument/2006/relationships/hyperlink" Target="https://drive.google.com/drive/search?q=parent:1VmyDEdY-rZ9IfPP9oyBpoZpjcDWGggJR%20%22SP-187-Colvin%20v%20Sullivan.pdf%22" TargetMode="External"/><Relationship Id="rId62" Type="http://schemas.openxmlformats.org/officeDocument/2006/relationships/hyperlink" Target="https://drive.google.com/drive/search?q=parent:1OkcpifbUiC1Y6G2u5ApzxEwKzOL1_kpP%20%22R1-134-01-166-Sierra%20Club%20v%20US%20Dep't%20of%20Agric.pdf%22" TargetMode="External"/><Relationship Id="rId61" Type="http://schemas.openxmlformats.org/officeDocument/2006/relationships/hyperlink" Target="https://drive.google.com/drive/search?q=parent:1VmyDEdY-rZ9IfPP9oyBpoZpjcDWGggJR%20%22SP-166-Sierra%20Club%20v%20US%20Dep't%20of%20Agric.pdf%22" TargetMode="External"/><Relationship Id="rId64" Type="http://schemas.openxmlformats.org/officeDocument/2006/relationships/hyperlink" Target="https://drive.google.com/drive/search?q=parent:1OkcpifbUiC1Y6G2u5ApzxEwKzOL1_kpP%20%22R1-134-02-167-N%20Air%20Cargo%20v%20US%20Postal%20Serv.pdf%22" TargetMode="External"/><Relationship Id="rId63" Type="http://schemas.openxmlformats.org/officeDocument/2006/relationships/hyperlink" Target="https://drive.google.com/drive/search?q=parent:1VmyDEdY-rZ9IfPP9oyBpoZpjcDWGggJR%20%22SP-167-N%20Air%20Cargo%20v%20US%20Postal%20Serv.pdf%22" TargetMode="External"/><Relationship Id="rId66" Type="http://schemas.openxmlformats.org/officeDocument/2006/relationships/hyperlink" Target="https://drive.google.com/drive/search?q=parent:1OkcpifbUiC1Y6G2u5ApzxEwKzOL1_kpP%20%22R1-135-01-168-NC%20Fisheries%20Ass'n%20v%20Gutierrez.pdf%22" TargetMode="External"/><Relationship Id="rId65" Type="http://schemas.openxmlformats.org/officeDocument/2006/relationships/hyperlink" Target="https://drive.google.com/drive/search?q=parent:1VmyDEdY-rZ9IfPP9oyBpoZpjcDWGggJR%20%22SP-168-NC%20Fisheries%20Ass'n%20v%20Gutierrez.pdf%22" TargetMode="External"/><Relationship Id="rId68" Type="http://schemas.openxmlformats.org/officeDocument/2006/relationships/hyperlink" Target="https://drive.google.com/drive/search?q=parent:1OkcpifbUiC1Y6G2u5ApzxEwKzOL1_kpP%20%22R1-135-02-169-Lake%20Pilots%20Ass'n%20v%20US%20Coast%20Guard.pdf%22" TargetMode="External"/><Relationship Id="rId67" Type="http://schemas.openxmlformats.org/officeDocument/2006/relationships/hyperlink" Target="https://drive.google.com/drive/search?q=parent:1VmyDEdY-rZ9IfPP9oyBpoZpjcDWGggJR%20%22SP-169-Lake%20Pilots%20Ass'n%20v%20US%20Coast%20Guard.pdf%22" TargetMode="External"/><Relationship Id="rId60" Type="http://schemas.openxmlformats.org/officeDocument/2006/relationships/hyperlink" Target="https://drive.google.com/drive/search?q=parent:1OkcpifbUiC1Y6G2u5ApzxEwKzOL1_kpP%20%22R1-133-01-165-Infra%20Note%20182%20and%20Accompanying%20Text.pdf%22" TargetMode="External"/><Relationship Id="rId69" Type="http://schemas.openxmlformats.org/officeDocument/2006/relationships/hyperlink" Target="https://drive.google.com/drive/search?q=parent:1VmyDEdY-rZ9IfPP9oyBpoZpjcDWGggJR%20%22SP-170-Oceana.pdf%22" TargetMode="External"/><Relationship Id="rId51" Type="http://schemas.openxmlformats.org/officeDocument/2006/relationships/hyperlink" Target="https://drive.google.com/drive/search?q=parent:1VmyDEdY-rZ9IfPP9oyBpoZpjcDWGggJR%20%22SP-022-Lammon%20Dizzying.pdf%22" TargetMode="External"/><Relationship Id="rId50" Type="http://schemas.openxmlformats.org/officeDocument/2006/relationships/hyperlink" Target="https://drive.google.com/drive/search?q=parent:1OkcpifbUiC1Y6G2u5ApzxEwKzOL1_kpP%20%22R1-131-01-036-Infra%20Notes%20193-194.pdf%22" TargetMode="External"/><Relationship Id="rId53" Type="http://schemas.openxmlformats.org/officeDocument/2006/relationships/hyperlink" Target="https://drive.google.com/drive/search?q=parent:1VmyDEdY-rZ9IfPP9oyBpoZpjcDWGggJR%20%22SP-021-Lammon%20Appealability.pdf%22" TargetMode="External"/><Relationship Id="rId52" Type="http://schemas.openxmlformats.org/officeDocument/2006/relationships/hyperlink" Target="https://drive.google.com/drive/search?q=parent:1OkcpifbUiC1Y6G2u5ApzxEwKzOL1_kpP%20%22R1-132-01-022-Lammon%20Dizzying.pdf%22" TargetMode="External"/><Relationship Id="rId55" Type="http://schemas.openxmlformats.org/officeDocument/2006/relationships/hyperlink" Target="https://drive.google.com/drive/search?q=parent:1VmyDEdY-rZ9IfPP9oyBpoZpjcDWGggJR%20%22SP-021-Lammon%20Appealability.pdf%22" TargetMode="External"/><Relationship Id="rId54" Type="http://schemas.openxmlformats.org/officeDocument/2006/relationships/hyperlink" Target="https://drive.google.com/drive/search?q=parent:1OkcpifbUiC1Y6G2u5ApzxEwKzOL1_kpP%20%22R1-132-02-021-Lammon%20Appealability.pdf%22" TargetMode="External"/><Relationship Id="rId57" Type="http://schemas.openxmlformats.org/officeDocument/2006/relationships/hyperlink" Target="https://drive.google.com/drive/search?q=parent:1VmyDEdY-rZ9IfPP9oyBpoZpjcDWGggJR%20%22SP-026-Federal%20Practice%203914%2032.pdf%22" TargetMode="External"/><Relationship Id="rId56" Type="http://schemas.openxmlformats.org/officeDocument/2006/relationships/hyperlink" Target="https://drive.google.com/drive/search?q=parent:1OkcpifbUiC1Y6G2u5ApzxEwKzOL1_kpP%20%22R1-132-03-021-Lammon%20Appealability.pdf%22" TargetMode="External"/><Relationship Id="rId59" Type="http://schemas.openxmlformats.org/officeDocument/2006/relationships/hyperlink" Target="https://drive.google.com/drive/search?q=parent:1VmyDEdY-rZ9IfPP9oyBpoZpjcDWGggJR%20%22SP-165-Infra%20Note%20182%20and%20Accompanying%20Text.pdf%22" TargetMode="External"/><Relationship Id="rId154" Type="http://schemas.openxmlformats.org/officeDocument/2006/relationships/hyperlink" Target="https://drive.google.com/drive/search?q=parent:1OkcpifbUiC1Y6G2u5ApzxEwKzOL1_kpP%20%22R1-150-04-194-Local%201982.pdf%22" TargetMode="External"/><Relationship Id="rId58" Type="http://schemas.openxmlformats.org/officeDocument/2006/relationships/hyperlink" Target="https://drive.google.com/drive/search?q=parent:1OkcpifbUiC1Y6G2u5ApzxEwKzOL1_kpP%20%22R1-132-04-026-Federal%20Practice%203914%2032.pdf%22" TargetMode="External"/><Relationship Id="rId153" Type="http://schemas.openxmlformats.org/officeDocument/2006/relationships/hyperlink" Target="https://drive.google.com/drive/search?q=parent:1VmyDEdY-rZ9IfPP9oyBpoZpjcDWGggJR%20%22SP-194-Local%201982.pdf%22" TargetMode="External"/><Relationship Id="rId152" Type="http://schemas.openxmlformats.org/officeDocument/2006/relationships/hyperlink" Target="https://drive.google.com/drive/search?q=parent:1OkcpifbUiC1Y6G2u5ApzxEwKzOL1_kpP%20%22R1-150-03-193-Ackerman%20v%20US%20Dep't%20of%20Agric.pdf%22" TargetMode="External"/><Relationship Id="rId151" Type="http://schemas.openxmlformats.org/officeDocument/2006/relationships/hyperlink" Target="https://drive.google.com/drive/search?q=parent:1VmyDEdY-rZ9IfPP9oyBpoZpjcDWGggJR%20%22SP-193-Ackerman%20v%20US%20Dep't%20of%20Agric.pdf%22" TargetMode="External"/><Relationship Id="rId155" Type="http://schemas.openxmlformats.org/officeDocument/2006/relationships/drawing" Target="../drawings/drawing10.xml"/><Relationship Id="rId107" Type="http://schemas.openxmlformats.org/officeDocument/2006/relationships/hyperlink" Target="https://drive.google.com/drive/search?q=parent:1VmyDEdY-rZ9IfPP9oyBpoZpjcDWGggJR%20%22SP-179-Bey%20v%20City%20of%20New%20York.pdf%22" TargetMode="External"/><Relationship Id="rId106" Type="http://schemas.openxmlformats.org/officeDocument/2006/relationships/hyperlink" Target="https://drive.google.com/drive/search?q=parent:1OkcpifbUiC1Y6G2u5ApzxEwKzOL1_kpP%20%22R1-143-02-178-Silver%20v%20Smith.pdf%22" TargetMode="External"/><Relationship Id="rId105" Type="http://schemas.openxmlformats.org/officeDocument/2006/relationships/hyperlink" Target="https://drive.google.com/drive/search?q=parent:1VmyDEdY-rZ9IfPP9oyBpoZpjcDWGggJR%20%22SP-178-Silver%20v%20Smith.pdf%22" TargetMode="External"/><Relationship Id="rId104" Type="http://schemas.openxmlformats.org/officeDocument/2006/relationships/hyperlink" Target="https://drive.google.com/drive/search?q=parent:1OkcpifbUiC1Y6G2u5ApzxEwKzOL1_kpP%20%22R1-143-01-034-NY%20Legal%20Assistance%20GRP%20v%20Cardona.pdf%22" TargetMode="External"/><Relationship Id="rId109" Type="http://schemas.openxmlformats.org/officeDocument/2006/relationships/hyperlink" Target="https://drive.google.com/drive/search?q=parent:1VmyDEdY-rZ9IfPP9oyBpoZpjcDWGggJR%20%22SP-150-Mead%20v%20Reliastar%20Life%20Ins%20Co.pdf%22" TargetMode="External"/><Relationship Id="rId108" Type="http://schemas.openxmlformats.org/officeDocument/2006/relationships/hyperlink" Target="https://drive.google.com/drive/search?q=parent:1OkcpifbUiC1Y6G2u5ApzxEwKzOL1_kpP%20%22R1-144-01-179-Bey%20v%20City%20of%20New%20York.pdf%22" TargetMode="External"/><Relationship Id="rId103" Type="http://schemas.openxmlformats.org/officeDocument/2006/relationships/hyperlink" Target="https://drive.google.com/drive/search?q=parent:1VmyDEdY-rZ9IfPP9oyBpoZpjcDWGggJR%20%22SP-034-NY%20Legal%20Assistance%20GRP%20v%20Cardona.pdf%22" TargetMode="External"/><Relationship Id="rId102" Type="http://schemas.openxmlformats.org/officeDocument/2006/relationships/hyperlink" Target="https://drive.google.com/drive/search?q=parent:1OkcpifbUiC1Y6G2u5ApzxEwKzOL1_kpP%20%22R1-142-01-177-Perales%20v%20Sullivan.pdf%22" TargetMode="External"/><Relationship Id="rId101" Type="http://schemas.openxmlformats.org/officeDocument/2006/relationships/hyperlink" Target="https://drive.google.com/drive/search?q=parent:1VmyDEdY-rZ9IfPP9oyBpoZpjcDWGggJR%20%22SP-177-Perales%20v%20Sullivan.pdf%22" TargetMode="External"/><Relationship Id="rId100" Type="http://schemas.openxmlformats.org/officeDocument/2006/relationships/hyperlink" Target="https://drive.google.com/drive/search?q=parent:1OkcpifbUiC1Y6G2u5ApzxEwKzOL1_kpP%20%22R1-141-02-140-Mall.pdf%22" TargetMode="External"/><Relationship Id="rId129" Type="http://schemas.openxmlformats.org/officeDocument/2006/relationships/hyperlink" Target="https://drive.google.com/drive/search?q=parent:1VmyDEdY-rZ9IfPP9oyBpoZpjcDWGggJR%20%22SP-185-Highlands%20Conservancy.pdf%22" TargetMode="External"/><Relationship Id="rId128" Type="http://schemas.openxmlformats.org/officeDocument/2006/relationships/hyperlink" Target="https://drive.google.com/drive/search?q=parent:1OkcpifbUiC1Y6G2u5ApzxEwKzOL1_kpP%20%22R1-147-01-184-Shipbuilders%20Council%20of%20Am%20v%20US%20Coast%20Guard.pdf%22" TargetMode="External"/><Relationship Id="rId127" Type="http://schemas.openxmlformats.org/officeDocument/2006/relationships/hyperlink" Target="https://drive.google.com/drive/search?q=parent:1VmyDEdY-rZ9IfPP9oyBpoZpjcDWGggJR%20%22SP-184-Shipbuilders%20Council%20of%20Am%20v%20US%20Coast%20Guard.pdf%22" TargetMode="External"/><Relationship Id="rId126" Type="http://schemas.openxmlformats.org/officeDocument/2006/relationships/hyperlink" Target="https://drive.google.com/drive/search?q=parent:1OkcpifbUiC1Y6G2u5ApzxEwKzOL1_kpP%20%22R1-146-03-183-Horizons.pdf%22" TargetMode="External"/><Relationship Id="rId121" Type="http://schemas.openxmlformats.org/officeDocument/2006/relationships/hyperlink" Target="https://drive.google.com/drive/search?q=parent:1VmyDEdY-rZ9IfPP9oyBpoZpjcDWGggJR%20%22SP-181-United%20Steelworkers%20of%20Am%20Local%201913%20v%20Union%20RR%20Co.pdf%22" TargetMode="External"/><Relationship Id="rId120" Type="http://schemas.openxmlformats.org/officeDocument/2006/relationships/hyperlink" Target="https://drive.google.com/drive/search?q=parent:1OkcpifbUiC1Y6G2u5ApzxEwKzOL1_kpP%20%22R1-145-05-181-United%20Steelworkers%20of%20Am%20Local%201913%20v%20Union%20RR%20Co.pdf%22" TargetMode="External"/><Relationship Id="rId125" Type="http://schemas.openxmlformats.org/officeDocument/2006/relationships/hyperlink" Target="https://drive.google.com/drive/search?q=parent:1VmyDEdY-rZ9IfPP9oyBpoZpjcDWGggJR%20%22SP-183-Horizons.pdf%22" TargetMode="External"/><Relationship Id="rId124" Type="http://schemas.openxmlformats.org/officeDocument/2006/relationships/hyperlink" Target="https://drive.google.com/drive/search?q=parent:1OkcpifbUiC1Y6G2u5ApzxEwKzOL1_kpP%20%22R1-146-02-182-United%20States%20v%20Spears.pdf%22" TargetMode="External"/><Relationship Id="rId123" Type="http://schemas.openxmlformats.org/officeDocument/2006/relationships/hyperlink" Target="https://drive.google.com/drive/search?q=parent:1VmyDEdY-rZ9IfPP9oyBpoZpjcDWGggJR%20%22SP-182-United%20States%20v%20Spears.pdf%22" TargetMode="External"/><Relationship Id="rId122" Type="http://schemas.openxmlformats.org/officeDocument/2006/relationships/hyperlink" Target="https://drive.google.com/drive/search?q=parent:1OkcpifbUiC1Y6G2u5ApzxEwKzOL1_kpP%20%22R1-146-01-181-United%20Steelworkers%20of%20Am%20Local%201913%20v%20Union%20RR%20Co.pdf%22" TargetMode="External"/><Relationship Id="rId95" Type="http://schemas.openxmlformats.org/officeDocument/2006/relationships/hyperlink" Target="https://drive.google.com/drive/search?q=parent:1VmyDEdY-rZ9IfPP9oyBpoZpjcDWGggJR%20%22SP-176-Littlefield%20v%20Mashpee%20Wampanoag%20Indian%20Tribe.pdf%22" TargetMode="External"/><Relationship Id="rId94" Type="http://schemas.openxmlformats.org/officeDocument/2006/relationships/hyperlink" Target="https://drive.google.com/drive/search?q=parent:1OkcpifbUiC1Y6G2u5ApzxEwKzOL1_kpP%20%22R1-139-03-175-Supra%20Note%20138.pdf%22" TargetMode="External"/><Relationship Id="rId97" Type="http://schemas.openxmlformats.org/officeDocument/2006/relationships/hyperlink" Target="https://drive.google.com/drive/search?q=parent:1VmyDEdY-rZ9IfPP9oyBpoZpjcDWGggJR%20%22SP-176-Littlefield%20v%20Mashpee%20Wampanoag%20Indian%20Tribe.pdf%22" TargetMode="External"/><Relationship Id="rId96" Type="http://schemas.openxmlformats.org/officeDocument/2006/relationships/hyperlink" Target="https://drive.google.com/drive/search?q=parent:1OkcpifbUiC1Y6G2u5ApzxEwKzOL1_kpP%20%22R1-140-01-176-Littlefield%20v%20Mashpee%20Wampanoag%20Indian%20Tribe.pdf%22" TargetMode="External"/><Relationship Id="rId99" Type="http://schemas.openxmlformats.org/officeDocument/2006/relationships/hyperlink" Target="https://drive.google.com/drive/search?q=parent:1VmyDEdY-rZ9IfPP9oyBpoZpjcDWGggJR%20%22SP-140-Mall.pdf%22" TargetMode="External"/><Relationship Id="rId98" Type="http://schemas.openxmlformats.org/officeDocument/2006/relationships/hyperlink" Target="https://drive.google.com/drive/search?q=parent:1OkcpifbUiC1Y6G2u5ApzxEwKzOL1_kpP%20%22R1-141-01-176-Littlefield%20v%20Mashpee%20Wampanoag%20Indian%20Tribe.pdf%22" TargetMode="External"/><Relationship Id="rId91" Type="http://schemas.openxmlformats.org/officeDocument/2006/relationships/hyperlink" Target="https://drive.google.com/drive/search?q=parent:1VmyDEdY-rZ9IfPP9oyBpoZpjcDWGggJR%20%22SP-141-Jeannette%20Sheet%20Glass%20Corp%20v%20United%20States.pdf%22" TargetMode="External"/><Relationship Id="rId90" Type="http://schemas.openxmlformats.org/officeDocument/2006/relationships/hyperlink" Target="https://drive.google.com/drive/search?q=parent:1OkcpifbUiC1Y6G2u5ApzxEwKzOL1_kpP%20%22R1-139-01-128-Cabot%20Corp%20v%20United%20States.pdf%22" TargetMode="External"/><Relationship Id="rId93" Type="http://schemas.openxmlformats.org/officeDocument/2006/relationships/hyperlink" Target="https://drive.google.com/drive/search?q=parent:1VmyDEdY-rZ9IfPP9oyBpoZpjcDWGggJR%20%22SP-175-Supra%20Note%20138.pdf%22" TargetMode="External"/><Relationship Id="rId92" Type="http://schemas.openxmlformats.org/officeDocument/2006/relationships/hyperlink" Target="https://drive.google.com/drive/search?q=parent:1OkcpifbUiC1Y6G2u5ApzxEwKzOL1_kpP%20%22R1-139-02-141-Jeannette%20Sheet%20Glass%20Corp%20v%20United%20States.pdf%22" TargetMode="External"/><Relationship Id="rId118" Type="http://schemas.openxmlformats.org/officeDocument/2006/relationships/hyperlink" Target="https://drive.google.com/drive/search?q=parent:1OkcpifbUiC1Y6G2u5ApzxEwKzOL1_kpP%20%22R1-145-04-133-Aja%20Assocs%20v%20Army%20Corps%20of%20Eng'rs.pdf%22" TargetMode="External"/><Relationship Id="rId117" Type="http://schemas.openxmlformats.org/officeDocument/2006/relationships/hyperlink" Target="https://drive.google.com/drive/search?q=parent:1VmyDEdY-rZ9IfPP9oyBpoZpjcDWGggJR%20%22SP-133-Aja%20Assocs%20v%20Army%20Corps%20of%20Eng'rs.pdf%22" TargetMode="External"/><Relationship Id="rId116" Type="http://schemas.openxmlformats.org/officeDocument/2006/relationships/hyperlink" Target="https://drive.google.com/drive/search?q=parent:1OkcpifbUiC1Y6G2u5ApzxEwKzOL1_kpP%20%22R1-145-03-180-BHD%20of%20Maint%20of%20Way%20Emps%20v%20Consol%20Rail%20Corp.pdf%22" TargetMode="External"/><Relationship Id="rId115" Type="http://schemas.openxmlformats.org/officeDocument/2006/relationships/hyperlink" Target="https://drive.google.com/drive/search?q=parent:1VmyDEdY-rZ9IfPP9oyBpoZpjcDWGggJR%20%22SP-180-BHD%20of%20Maint%20of%20Way%20Emps%20v%20Consol%20Rail%20Corp.pdf%22" TargetMode="External"/><Relationship Id="rId119" Type="http://schemas.openxmlformats.org/officeDocument/2006/relationships/hyperlink" Target="https://drive.google.com/drive/search?q=parent:1VmyDEdY-rZ9IfPP9oyBpoZpjcDWGggJR%20%22SP-181-United%20Steelworkers%20of%20Am%20Local%201913%20v%20Union%20RR%20Co.pdf%22" TargetMode="External"/><Relationship Id="rId110" Type="http://schemas.openxmlformats.org/officeDocument/2006/relationships/hyperlink" Target="https://drive.google.com/drive/search?q=parent:1OkcpifbUiC1Y6G2u5ApzxEwKzOL1_kpP%20%22R1-144-02-150-Mead%20v%20Reliastar%20Life%20Ins%20Co.pdf%22" TargetMode="External"/><Relationship Id="rId114" Type="http://schemas.openxmlformats.org/officeDocument/2006/relationships/hyperlink" Target="https://drive.google.com/drive/search?q=parent:1OkcpifbUiC1Y6G2u5ApzxEwKzOL1_kpP%20%22R1-145-02-053-Kreider.pdf%22" TargetMode="External"/><Relationship Id="rId113" Type="http://schemas.openxmlformats.org/officeDocument/2006/relationships/hyperlink" Target="https://drive.google.com/drive/search?q=parent:1VmyDEdY-rZ9IfPP9oyBpoZpjcDWGggJR%20%22SP-053-Kreider.pdf%22" TargetMode="External"/><Relationship Id="rId112" Type="http://schemas.openxmlformats.org/officeDocument/2006/relationships/hyperlink" Target="https://drive.google.com/drive/search?q=parent:1OkcpifbUiC1Y6G2u5ApzxEwKzOL1_kpP%20%22R1-145-01-052-Papotto.pdf%22" TargetMode="External"/><Relationship Id="rId111" Type="http://schemas.openxmlformats.org/officeDocument/2006/relationships/hyperlink" Target="https://drive.google.com/drive/search?q=parent:1VmyDEdY-rZ9IfPP9oyBpoZpjcDWGggJR%20%22SP-052-Papotto.pdf%22"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162-01-054-Digital%20Equip%20Corp.pdf%22" TargetMode="External"/><Relationship Id="rId42" Type="http://schemas.openxmlformats.org/officeDocument/2006/relationships/hyperlink" Target="https://drive.google.com/drive/search?q=parent:1OkcpifbUiC1Y6G2u5ApzxEwKzOL1_kpP%20%22R1-163-01-008-Alsea%20Valley%20Alliance%20v%20Dep't%20of%20Commerce.pdf%22" TargetMode="External"/><Relationship Id="rId41" Type="http://schemas.openxmlformats.org/officeDocument/2006/relationships/hyperlink" Target="https://drive.google.com/drive/search?q=parent:1VmyDEdY-rZ9IfPP9oyBpoZpjcDWGggJR%20%22SP-008-Alsea%20Valley%20Alliance%20v%20Dep't%20of%20Commerce.pdf%22" TargetMode="External"/><Relationship Id="rId44" Type="http://schemas.openxmlformats.org/officeDocument/2006/relationships/hyperlink" Target="https://drive.google.com/drive/search?q=parent:1OkcpifbUiC1Y6G2u5ApzxEwKzOL1_kpP%20%22R1-163-02-049-Collord%20v%20US%20Dep't%20of%20the%20Interior.pdf%22" TargetMode="External"/><Relationship Id="rId43" Type="http://schemas.openxmlformats.org/officeDocument/2006/relationships/hyperlink" Target="https://drive.google.com/drive/search?q=parent:1VmyDEdY-rZ9IfPP9oyBpoZpjcDWGggJR%20%22SP-049-Collord%20v%20US%20Dep't%20of%20the%20Interior.pdf%22" TargetMode="External"/><Relationship Id="rId46" Type="http://schemas.openxmlformats.org/officeDocument/2006/relationships/hyperlink" Target="https://drive.google.com/drive/search?q=parent:1OkcpifbUiC1Y6G2u5ApzxEwKzOL1_kpP%20%22R1-163-03-138-Stone%20v%20Heckler.pdf%22" TargetMode="External"/><Relationship Id="rId45" Type="http://schemas.openxmlformats.org/officeDocument/2006/relationships/hyperlink" Target="https://drive.google.com/drive/search?q=parent:1VmyDEdY-rZ9IfPP9oyBpoZpjcDWGggJR%20%22SP-138-Stone%20v%20Heckler.pdf%22" TargetMode="External"/><Relationship Id="rId48" Type="http://schemas.openxmlformats.org/officeDocument/2006/relationships/hyperlink" Target="https://drive.google.com/drive/search?q=parent:1OkcpifbUiC1Y6G2u5ApzxEwKzOL1_kpP%20%22R1-164-01-204-Sierra%20Forest%20Legacy%20v%20Sherman.pdf%22" TargetMode="External"/><Relationship Id="rId47" Type="http://schemas.openxmlformats.org/officeDocument/2006/relationships/hyperlink" Target="https://drive.google.com/drive/search?q=parent:1VmyDEdY-rZ9IfPP9oyBpoZpjcDWGggJR%20%22SP-204-Sierra%20Forest%20Legacy%20v%20Sherman.pdf%22" TargetMode="External"/><Relationship Id="rId49" Type="http://schemas.openxmlformats.org/officeDocument/2006/relationships/hyperlink" Target="https://drive.google.com/drive/search?q=parent:1VmyDEdY-rZ9IfPP9oyBpoZpjcDWGggJR%20%22SP-205-United%20States%20v%20US%20Bd%20of%20Water%20Comm'rs.pdf%22" TargetMode="External"/><Relationship Id="rId31" Type="http://schemas.openxmlformats.org/officeDocument/2006/relationships/hyperlink" Target="https://drive.google.com/drive/search?q=parent:1VmyDEdY-rZ9IfPP9oyBpoZpjcDWGggJR%20%22SP-202-Supra%20Note%2068%20and%20Accompanying%20Text.pdf%22" TargetMode="External"/><Relationship Id="rId30" Type="http://schemas.openxmlformats.org/officeDocument/2006/relationships/hyperlink" Target="https://drive.google.com/drive/search?q=parent:1OkcpifbUiC1Y6G2u5ApzxEwKzOL1_kpP%20%22R1-159-02-049-Collord%20v%20US%20Dep't%20of%20the%20Interior.pdf%22" TargetMode="External"/><Relationship Id="rId33" Type="http://schemas.openxmlformats.org/officeDocument/2006/relationships/hyperlink" Target="https://drive.google.com/drive/search?q=parent:1VmyDEdY-rZ9IfPP9oyBpoZpjcDWGggJR%20%22SP-203-Borntrager%20v%20Cent%20States.pdf%22" TargetMode="External"/><Relationship Id="rId32" Type="http://schemas.openxmlformats.org/officeDocument/2006/relationships/hyperlink" Target="https://drive.google.com/drive/search?q=parent:1OkcpifbUiC1Y6G2u5ApzxEwKzOL1_kpP%20%22R1-160-01-202-Supra%20Note%2068%20and%20Accompanying%20Text.pdf%22" TargetMode="External"/><Relationship Id="rId35" Type="http://schemas.openxmlformats.org/officeDocument/2006/relationships/hyperlink" Target="https://drive.google.com/drive/search?q=parent:1VmyDEdY-rZ9IfPP9oyBpoZpjcDWGggJR%20%22SP-033-CTR%20for%20Biological%20Diversity%20v%20Bureau%20of%20Land%20MGMT.pdf%22" TargetMode="External"/><Relationship Id="rId34" Type="http://schemas.openxmlformats.org/officeDocument/2006/relationships/hyperlink" Target="https://drive.google.com/drive/search?q=parent:1OkcpifbUiC1Y6G2u5ApzxEwKzOL1_kpP%20%22R1-160-02-203-Borntrager%20v%20Cent%20States.pdf%22" TargetMode="External"/><Relationship Id="rId37" Type="http://schemas.openxmlformats.org/officeDocument/2006/relationships/hyperlink" Target="https://drive.google.com/drive/search?q=parent:1VmyDEdY-rZ9IfPP9oyBpoZpjcDWGggJR%20%22SP-008-Alsea%20Valley%20Alliance%20v%20Dep't%20of%20Commerce.pdf%22" TargetMode="External"/><Relationship Id="rId36" Type="http://schemas.openxmlformats.org/officeDocument/2006/relationships/hyperlink" Target="https://drive.google.com/drive/search?q=parent:1OkcpifbUiC1Y6G2u5ApzxEwKzOL1_kpP%20%22R1-161-01-033-CTR%20for%20Biological%20Diversity%20v%20Bureau%20of%20Land%20MGMT.pdf%22" TargetMode="External"/><Relationship Id="rId39" Type="http://schemas.openxmlformats.org/officeDocument/2006/relationships/hyperlink" Target="https://drive.google.com/drive/search?q=parent:1VmyDEdY-rZ9IfPP9oyBpoZpjcDWGggJR%20%22SP-054-Digital%20Equip%20Corp.pdf%22" TargetMode="External"/><Relationship Id="rId38" Type="http://schemas.openxmlformats.org/officeDocument/2006/relationships/hyperlink" Target="https://drive.google.com/drive/search?q=parent:1OkcpifbUiC1Y6G2u5ApzxEwKzOL1_kpP%20%22R1-161-02-008-Alsea%20Valley%20Alliance%20v%20Dep't%20of%20Commerce.pdf%22" TargetMode="External"/><Relationship Id="rId20" Type="http://schemas.openxmlformats.org/officeDocument/2006/relationships/hyperlink" Target="https://drive.google.com/drive/search?q=parent:1OkcpifbUiC1Y6G2u5ApzxEwKzOL1_kpP%20%22R1-157-02-201-Davies%20v%20Johanns.pdf%22" TargetMode="External"/><Relationship Id="rId22" Type="http://schemas.openxmlformats.org/officeDocument/2006/relationships/hyperlink" Target="https://drive.google.com/drive/search?q=parent:1OkcpifbUiC1Y6G2u5ApzxEwKzOL1_kpP%20%22R1-158-01-200-City.pdf%22" TargetMode="External"/><Relationship Id="rId21" Type="http://schemas.openxmlformats.org/officeDocument/2006/relationships/hyperlink" Target="https://drive.google.com/drive/search?q=parent:1VmyDEdY-rZ9IfPP9oyBpoZpjcDWGggJR%20%22SP-200-City.pdf%22" TargetMode="External"/><Relationship Id="rId24" Type="http://schemas.openxmlformats.org/officeDocument/2006/relationships/hyperlink" Target="https://drive.google.com/drive/search?q=parent:1OkcpifbUiC1Y6G2u5ApzxEwKzOL1_kpP%20%22R1-158-02-199-Izaak%20Walton.pdf%22" TargetMode="External"/><Relationship Id="rId23" Type="http://schemas.openxmlformats.org/officeDocument/2006/relationships/hyperlink" Target="https://drive.google.com/drive/search?q=parent:1VmyDEdY-rZ9IfPP9oyBpoZpjcDWGggJR%20%22SP-199-Izaak%20Walton.pdf%22" TargetMode="External"/><Relationship Id="rId26" Type="http://schemas.openxmlformats.org/officeDocument/2006/relationships/hyperlink" Target="https://drive.google.com/drive/search?q=parent:1OkcpifbUiC1Y6G2u5ApzxEwKzOL1_kpP%20%22R1-158-03-145-Giordano%20v%20Roudebush.pdf%22" TargetMode="External"/><Relationship Id="rId25" Type="http://schemas.openxmlformats.org/officeDocument/2006/relationships/hyperlink" Target="https://drive.google.com/drive/search?q=parent:1VmyDEdY-rZ9IfPP9oyBpoZpjcDWGggJR%20%22SP-145-Giordano%20v%20Roudebush.pdf%22" TargetMode="External"/><Relationship Id="rId28" Type="http://schemas.openxmlformats.org/officeDocument/2006/relationships/hyperlink" Target="https://drive.google.com/drive/search?q=parent:1OkcpifbUiC1Y6G2u5ApzxEwKzOL1_kpP%20%22R1-159-01-008-Alsea%20Valley%20Alliance%20v%20Dep't%20of%20Commerce.pdf%22" TargetMode="External"/><Relationship Id="rId27" Type="http://schemas.openxmlformats.org/officeDocument/2006/relationships/hyperlink" Target="https://drive.google.com/drive/search?q=parent:1VmyDEdY-rZ9IfPP9oyBpoZpjcDWGggJR%20%22SP-008-Alsea%20Valley%20Alliance%20v%20Dep't%20of%20Commerce.pdf%22" TargetMode="External"/><Relationship Id="rId29" Type="http://schemas.openxmlformats.org/officeDocument/2006/relationships/hyperlink" Target="https://drive.google.com/drive/search?q=parent:1VmyDEdY-rZ9IfPP9oyBpoZpjcDWGggJR%20%22SP-049-Collord%20v%20US%20Dep't%20of%20the%20Interior.pdf%22" TargetMode="External"/><Relationship Id="rId11" Type="http://schemas.openxmlformats.org/officeDocument/2006/relationships/hyperlink" Target="https://drive.google.com/drive/search?q=parent:1VmyDEdY-rZ9IfPP9oyBpoZpjcDWGggJR%20%22SP-197-Perlman%20v%20Swiss%20Bank%20Corp%20Comprehensive%20Disability%20Prot%20Plan.pdf%22" TargetMode="External"/><Relationship Id="rId10" Type="http://schemas.openxmlformats.org/officeDocument/2006/relationships/hyperlink" Target="https://drive.google.com/drive/search?q=parent:1OkcpifbUiC1Y6G2u5ApzxEwKzOL1_kpP%20%22R1-154-02-051-Crowder%20v%20Sullivan.pdf%22" TargetMode="External"/><Relationship Id="rId13" Type="http://schemas.openxmlformats.org/officeDocument/2006/relationships/hyperlink" Target="https://drive.google.com/drive/search?q=parent:1VmyDEdY-rZ9IfPP9oyBpoZpjcDWGggJR%20%22SP-195-Matter.pdf%22" TargetMode="External"/><Relationship Id="rId12" Type="http://schemas.openxmlformats.org/officeDocument/2006/relationships/hyperlink" Target="https://drive.google.com/drive/search?q=parent:1OkcpifbUiC1Y6G2u5ApzxEwKzOL1_kpP%20%22R1-155-01-197-Perlman%20v%20Swiss%20Bank%20Corp%20Comprehensive%20Disability%20Prot%20Plan.pdf%22" TargetMode="External"/><Relationship Id="rId15" Type="http://schemas.openxmlformats.org/officeDocument/2006/relationships/hyperlink" Target="https://drive.google.com/drive/search?q=parent:1VmyDEdY-rZ9IfPP9oyBpoZpjcDWGggJR%20%22SP-199-Izaak%20Walton.pdf%22" TargetMode="External"/><Relationship Id="rId14" Type="http://schemas.openxmlformats.org/officeDocument/2006/relationships/hyperlink" Target="https://drive.google.com/drive/search?q=parent:1OkcpifbUiC1Y6G2u5ApzxEwKzOL1_kpP%20%22R1-155-02-195-Matter.pdf%22" TargetMode="External"/><Relationship Id="rId17" Type="http://schemas.openxmlformats.org/officeDocument/2006/relationships/hyperlink" Target="https://drive.google.com/drive/search?q=parent:1VmyDEdY-rZ9IfPP9oyBpoZpjcDWGggJR%20%22SP-200-City.pdf%22" TargetMode="External"/><Relationship Id="rId16" Type="http://schemas.openxmlformats.org/officeDocument/2006/relationships/hyperlink" Target="https://drive.google.com/drive/search?q=parent:1OkcpifbUiC1Y6G2u5ApzxEwKzOL1_kpP%20%22R1-156-01-199-Izaak%20Walton.pdf%22" TargetMode="External"/><Relationship Id="rId19" Type="http://schemas.openxmlformats.org/officeDocument/2006/relationships/hyperlink" Target="https://drive.google.com/drive/search?q=parent:1VmyDEdY-rZ9IfPP9oyBpoZpjcDWGggJR%20%22SP-201-Davies%20v%20Johanns.pdf%22" TargetMode="External"/><Relationship Id="rId18" Type="http://schemas.openxmlformats.org/officeDocument/2006/relationships/hyperlink" Target="https://drive.google.com/drive/search?q=parent:1OkcpifbUiC1Y6G2u5ApzxEwKzOL1_kpP%20%22R1-157-01-200-City.pdf%22" TargetMode="External"/><Relationship Id="rId84" Type="http://schemas.openxmlformats.org/officeDocument/2006/relationships/hyperlink" Target="https://drive.google.com/drive/search?q=parent:1OkcpifbUiC1Y6G2u5ApzxEwKzOL1_kpP%20%22R1-168-01-208-Nat'l%20Wildlife%20Fed'n%20v%20Nat'l%20Marine%20Fisheries%20Serv.pdf%22" TargetMode="External"/><Relationship Id="rId83" Type="http://schemas.openxmlformats.org/officeDocument/2006/relationships/hyperlink" Target="https://drive.google.com/drive/search?q=parent:1VmyDEdY-rZ9IfPP9oyBpoZpjcDWGggJR%20%22SP-208-Nat'l%20Wildlife%20Fed'n%20v%20Nat'l%20Marine%20Fisheries%20Serv.pdf%22" TargetMode="External"/><Relationship Id="rId86" Type="http://schemas.openxmlformats.org/officeDocument/2006/relationships/hyperlink" Target="https://drive.google.com/drive/search?q=parent:1OkcpifbUiC1Y6G2u5ApzxEwKzOL1_kpP%20%22R1-168-02-204-Sierra%20Forest%20Legacy%20v%20Sherman.pdf%22" TargetMode="External"/><Relationship Id="rId85" Type="http://schemas.openxmlformats.org/officeDocument/2006/relationships/hyperlink" Target="https://drive.google.com/drive/search?q=parent:1VmyDEdY-rZ9IfPP9oyBpoZpjcDWGggJR%20%22SP-204-Sierra%20Forest%20Legacy%20v%20Sherman.pdf%22" TargetMode="External"/><Relationship Id="rId88" Type="http://schemas.openxmlformats.org/officeDocument/2006/relationships/hyperlink" Target="https://drive.google.com/drive/search?q=parent:1OkcpifbUiC1Y6G2u5ApzxEwKzOL1_kpP%20%22R1-169-01-204-Sierra%20Forest%20Legacy%20v%20Sherman.pdf%22" TargetMode="External"/><Relationship Id="rId150" Type="http://schemas.openxmlformats.org/officeDocument/2006/relationships/hyperlink" Target="https://drive.google.com/drive/search?q=parent:1OkcpifbUiC1Y6G2u5ApzxEwKzOL1_kpP%20%22R1-181-01-151-World%20Fuel%20Corp%20v%20Geithner.pdf%22" TargetMode="External"/><Relationship Id="rId87" Type="http://schemas.openxmlformats.org/officeDocument/2006/relationships/hyperlink" Target="https://drive.google.com/drive/search?q=parent:1VmyDEdY-rZ9IfPP9oyBpoZpjcDWGggJR%20%22SP-204-Sierra%20Forest%20Legacy%20v%20Sherman.pdf%22" TargetMode="External"/><Relationship Id="rId89" Type="http://schemas.openxmlformats.org/officeDocument/2006/relationships/hyperlink" Target="https://drive.google.com/drive/search?q=parent:1VmyDEdY-rZ9IfPP9oyBpoZpjcDWGggJR%20%22SP-068-Pauly%20v%20US%20Dept%20of%20Agri.pdf%22" TargetMode="External"/><Relationship Id="rId80" Type="http://schemas.openxmlformats.org/officeDocument/2006/relationships/hyperlink" Target="https://drive.google.com/drive/search?q=parent:1OkcpifbUiC1Y6G2u5ApzxEwKzOL1_kpP%20%22R1-167-04-214-Pit%20River%20Tribe%20v%20US%20Forest%20Serv.pdf%22" TargetMode="External"/><Relationship Id="rId82" Type="http://schemas.openxmlformats.org/officeDocument/2006/relationships/hyperlink" Target="https://drive.google.com/drive/search?q=parent:1OkcpifbUiC1Y6G2u5ApzxEwKzOL1_kpP%20%22R1-167-05-012-Montana%20Env't%20Info%20CTR.pdf%22" TargetMode="External"/><Relationship Id="rId81" Type="http://schemas.openxmlformats.org/officeDocument/2006/relationships/hyperlink" Target="https://drive.google.com/drive/search?q=parent:1VmyDEdY-rZ9IfPP9oyBpoZpjcDWGggJR%20%22SP-012-Montana%20Env't%20Info%20CTR.pdf%22" TargetMode="External"/><Relationship Id="rId1" Type="http://schemas.openxmlformats.org/officeDocument/2006/relationships/hyperlink" Target="https://drive.google.com/drive/search?q=parent:1VmyDEdY-rZ9IfPP9oyBpoZpjcDWGggJR%20%22SP-195-Matter.pdf%22" TargetMode="External"/><Relationship Id="rId2" Type="http://schemas.openxmlformats.org/officeDocument/2006/relationships/hyperlink" Target="https://drive.google.com/drive/search?q=parent:1OkcpifbUiC1Y6G2u5ApzxEwKzOL1_kpP%20%22R1-151-01-195-Matter.pdf%22" TargetMode="External"/><Relationship Id="rId3" Type="http://schemas.openxmlformats.org/officeDocument/2006/relationships/hyperlink" Target="https://drive.google.com/drive/search?q=parent:1VmyDEdY-rZ9IfPP9oyBpoZpjcDWGggJR%20%22SP-196-Am%20Train%20Dispatchers%20Dep't%20of%20Int'l%20BHD%20of%20Locomotive%20Eng'rs%20v%20Norfolk%20S%20Ry%20Co.pdf%22" TargetMode="External"/><Relationship Id="rId149" Type="http://schemas.openxmlformats.org/officeDocument/2006/relationships/hyperlink" Target="https://drive.google.com/drive/search?q=parent:1VmyDEdY-rZ9IfPP9oyBpoZpjcDWGggJR%20%22SP-151-World%20Fuel%20Corp%20v%20Geithner.pdf%22" TargetMode="External"/><Relationship Id="rId4" Type="http://schemas.openxmlformats.org/officeDocument/2006/relationships/hyperlink" Target="https://drive.google.com/drive/search?q=parent:1OkcpifbUiC1Y6G2u5ApzxEwKzOL1_kpP%20%22R1-152-01-196-Am%20Train%20Dispatchers%20Dep't%20of%20Int'l%20BHD%20of%20Locomotive%20Eng'rs%20v%20Norfolk%20S%20Ry%20Co.pdf%22" TargetMode="External"/><Relationship Id="rId148" Type="http://schemas.openxmlformats.org/officeDocument/2006/relationships/hyperlink" Target="https://drive.google.com/drive/search?q=parent:1OkcpifbUiC1Y6G2u5ApzxEwKzOL1_kpP%20%22R1-180-02-226-Mci%20Telecomms%20Corp%20v%20Bellsouth%20Telecomms%20Corp.pdf%22" TargetMode="External"/><Relationship Id="rId9" Type="http://schemas.openxmlformats.org/officeDocument/2006/relationships/hyperlink" Target="https://drive.google.com/drive/search?q=parent:1VmyDEdY-rZ9IfPP9oyBpoZpjcDWGggJR%20%22SP-051-Crowder%20v%20Sullivan.pdf%22" TargetMode="External"/><Relationship Id="rId143" Type="http://schemas.openxmlformats.org/officeDocument/2006/relationships/hyperlink" Target="https://drive.google.com/drive/search?q=parent:1VmyDEdY-rZ9IfPP9oyBpoZpjcDWGggJR%20%22SP-227-Fla.pdf%22" TargetMode="External"/><Relationship Id="rId142" Type="http://schemas.openxmlformats.org/officeDocument/2006/relationships/hyperlink" Target="https://drive.google.com/drive/search?q=parent:1OkcpifbUiC1Y6G2u5ApzxEwKzOL1_kpP%20%22R1-178-04-134-Huie%20v%20Bowen.pdf%22" TargetMode="External"/><Relationship Id="rId141" Type="http://schemas.openxmlformats.org/officeDocument/2006/relationships/hyperlink" Target="https://drive.google.com/drive/search?q=parent:1VmyDEdY-rZ9IfPP9oyBpoZpjcDWGggJR%20%22SP-134-Huie%20v%20Bowen.pdf%22" TargetMode="External"/><Relationship Id="rId140" Type="http://schemas.openxmlformats.org/officeDocument/2006/relationships/hyperlink" Target="https://drive.google.com/drive/search?q=parent:1OkcpifbUiC1Y6G2u5ApzxEwKzOL1_kpP%20%22R1-178-03-132-Pierre%20v%20Rivkind.pdf%22" TargetMode="External"/><Relationship Id="rId5" Type="http://schemas.openxmlformats.org/officeDocument/2006/relationships/hyperlink" Target="https://drive.google.com/drive/search?q=parent:1VmyDEdY-rZ9IfPP9oyBpoZpjcDWGggJR%20%22SP-197-Perlman%20v%20Swiss%20Bank%20Corp%20Comprehensive%20Disability%20Prot%20Plan.pdf%22" TargetMode="External"/><Relationship Id="rId147" Type="http://schemas.openxmlformats.org/officeDocument/2006/relationships/hyperlink" Target="https://drive.google.com/drive/search?q=parent:1VmyDEdY-rZ9IfPP9oyBpoZpjcDWGggJR%20%22SP-226-Mci%20Telecomms%20Corp%20v%20Bellsouth%20Telecomms%20Corp.pdf%22" TargetMode="External"/><Relationship Id="rId6" Type="http://schemas.openxmlformats.org/officeDocument/2006/relationships/hyperlink" Target="https://drive.google.com/drive/search?q=parent:1OkcpifbUiC1Y6G2u5ApzxEwKzOL1_kpP%20%22R1-153-01-197-Perlman%20v%20Swiss%20Bank%20Corp%20Comprehensive%20Disability%20Prot%20Plan.pdf%22" TargetMode="External"/><Relationship Id="rId146" Type="http://schemas.openxmlformats.org/officeDocument/2006/relationships/hyperlink" Target="https://drive.google.com/drive/search?q=parent:1OkcpifbUiC1Y6G2u5ApzxEwKzOL1_kpP%20%22R1-180-01-226-Mci%20Telecomms%20Corp%20v%20Bellsouth%20Telecomms%20Corp.pdf%22" TargetMode="External"/><Relationship Id="rId7" Type="http://schemas.openxmlformats.org/officeDocument/2006/relationships/hyperlink" Target="https://drive.google.com/drive/search?q=parent:1VmyDEdY-rZ9IfPP9oyBpoZpjcDWGggJR%20%22SP-198-Travis%20v%20Sullivan.pdf%22" TargetMode="External"/><Relationship Id="rId145" Type="http://schemas.openxmlformats.org/officeDocument/2006/relationships/hyperlink" Target="https://drive.google.com/drive/search?q=parent:1VmyDEdY-rZ9IfPP9oyBpoZpjcDWGggJR%20%22SP-226-Mci%20Telecomms%20Corp%20v%20Bellsouth%20Telecomms%20Corp.pdf%22" TargetMode="External"/><Relationship Id="rId8" Type="http://schemas.openxmlformats.org/officeDocument/2006/relationships/hyperlink" Target="https://drive.google.com/drive/search?q=parent:1OkcpifbUiC1Y6G2u5ApzxEwKzOL1_kpP%20%22R1-154-01-198-Travis%20v%20Sullivan.pdf%22" TargetMode="External"/><Relationship Id="rId144" Type="http://schemas.openxmlformats.org/officeDocument/2006/relationships/hyperlink" Target="https://drive.google.com/drive/search?q=parent:1OkcpifbUiC1Y6G2u5ApzxEwKzOL1_kpP%20%22R1-179-01-227-Fla.pdf%22" TargetMode="External"/><Relationship Id="rId73" Type="http://schemas.openxmlformats.org/officeDocument/2006/relationships/hyperlink" Target="https://drive.google.com/drive/search?q=parent:1VmyDEdY-rZ9IfPP9oyBpoZpjcDWGggJR%20%22SP-033-CTR%20for%20Biological%20Diversity%20v%20Bureau%20of%20Land%20MGMT.pdf%22" TargetMode="External"/><Relationship Id="rId72" Type="http://schemas.openxmlformats.org/officeDocument/2006/relationships/hyperlink" Target="https://drive.google.com/drive/search?q=parent:1OkcpifbUiC1Y6G2u5ApzxEwKzOL1_kpP%20%22R1-166-06-212-Neighbors%20Against%20Bison%20Slaughter%20v%20Nat'l%20Park%20Serv.pdf%22" TargetMode="External"/><Relationship Id="rId75" Type="http://schemas.openxmlformats.org/officeDocument/2006/relationships/hyperlink" Target="https://drive.google.com/drive/search?q=parent:1VmyDEdY-rZ9IfPP9oyBpoZpjcDWGggJR%20%22SP-213-Zen.pdf%22" TargetMode="External"/><Relationship Id="rId74" Type="http://schemas.openxmlformats.org/officeDocument/2006/relationships/hyperlink" Target="https://drive.google.com/drive/search?q=parent:1OkcpifbUiC1Y6G2u5ApzxEwKzOL1_kpP%20%22R1-167-01-033-CTR%20for%20Biological%20Diversity%20v%20Bureau%20of%20Land%20MGMT.pdf%22" TargetMode="External"/><Relationship Id="rId77" Type="http://schemas.openxmlformats.org/officeDocument/2006/relationships/hyperlink" Target="https://drive.google.com/drive/search?q=parent:1VmyDEdY-rZ9IfPP9oyBpoZpjcDWGggJR%20%22SP-208-Nat'l%20Wildlife%20Fed'n%20v%20Nat'l%20Marine%20Fisheries%20Serv.pdf%22" TargetMode="External"/><Relationship Id="rId76" Type="http://schemas.openxmlformats.org/officeDocument/2006/relationships/hyperlink" Target="https://drive.google.com/drive/search?q=parent:1OkcpifbUiC1Y6G2u5ApzxEwKzOL1_kpP%20%22R1-167-02-213-Zen.pdf%22" TargetMode="External"/><Relationship Id="rId79" Type="http://schemas.openxmlformats.org/officeDocument/2006/relationships/hyperlink" Target="https://drive.google.com/drive/search?q=parent:1VmyDEdY-rZ9IfPP9oyBpoZpjcDWGggJR%20%22SP-214-Pit%20River%20Tribe%20v%20US%20Forest%20Serv.pdf%22" TargetMode="External"/><Relationship Id="rId78" Type="http://schemas.openxmlformats.org/officeDocument/2006/relationships/hyperlink" Target="https://drive.google.com/drive/search?q=parent:1OkcpifbUiC1Y6G2u5ApzxEwKzOL1_kpP%20%22R1-167-03-208-Nat'l%20Wildlife%20Fed'n%20v%20Nat'l%20Marine%20Fisheries%20Serv.pdf%22" TargetMode="External"/><Relationship Id="rId71" Type="http://schemas.openxmlformats.org/officeDocument/2006/relationships/hyperlink" Target="https://drive.google.com/drive/search?q=parent:1VmyDEdY-rZ9IfPP9oyBpoZpjcDWGggJR%20%22SP-212-Neighbors%20Against%20Bison%20Slaughter%20v%20Nat'l%20Park%20Serv.pdf%22" TargetMode="External"/><Relationship Id="rId70" Type="http://schemas.openxmlformats.org/officeDocument/2006/relationships/hyperlink" Target="https://drive.google.com/drive/search?q=parent:1OkcpifbUiC1Y6G2u5ApzxEwKzOL1_kpP%20%22R1-166-05-211-Skagit%20Cnty.pdf%22" TargetMode="External"/><Relationship Id="rId139" Type="http://schemas.openxmlformats.org/officeDocument/2006/relationships/hyperlink" Target="https://drive.google.com/drive/search?q=parent:1VmyDEdY-rZ9IfPP9oyBpoZpjcDWGggJR%20%22SP-132-Pierre%20v%20Rivkind.pdf%22" TargetMode="External"/><Relationship Id="rId138" Type="http://schemas.openxmlformats.org/officeDocument/2006/relationships/hyperlink" Target="https://drive.google.com/drive/search?q=parent:1OkcpifbUiC1Y6G2u5ApzxEwKzOL1_kpP%20%22R1-178-02-226-Mci%20Telecomms%20Corp%20v%20Bellsouth%20Telecomms%20Corp.pdf%22" TargetMode="External"/><Relationship Id="rId137" Type="http://schemas.openxmlformats.org/officeDocument/2006/relationships/hyperlink" Target="https://drive.google.com/drive/search?q=parent:1VmyDEdY-rZ9IfPP9oyBpoZpjcDWGggJR%20%22SP-226-Mci%20Telecomms%20Corp%20v%20Bellsouth%20Telecomms%20Corp.pdf%22" TargetMode="External"/><Relationship Id="rId132" Type="http://schemas.openxmlformats.org/officeDocument/2006/relationships/hyperlink" Target="https://drive.google.com/drive/search?q=parent:1OkcpifbUiC1Y6G2u5ApzxEwKzOL1_kpP%20%22R1-177-06-224-Rocky%20MTN%20Unpublished.pdf%22" TargetMode="External"/><Relationship Id="rId131" Type="http://schemas.openxmlformats.org/officeDocument/2006/relationships/hyperlink" Target="https://drive.google.com/drive/search?q=parent:1VmyDEdY-rZ9IfPP9oyBpoZpjcDWGggJR%20%22SP-224-Rocky%20MTN%20Unpublished.pdf%22" TargetMode="External"/><Relationship Id="rId130" Type="http://schemas.openxmlformats.org/officeDocument/2006/relationships/hyperlink" Target="https://drive.google.com/drive/search?q=parent:1OkcpifbUiC1Y6G2u5ApzxEwKzOL1_kpP%20%22R1-177-05-223-S%20Utah%20Wilderness%20Alliance%20v%20Kempthorne.pdf%22" TargetMode="External"/><Relationship Id="rId136" Type="http://schemas.openxmlformats.org/officeDocument/2006/relationships/hyperlink" Target="https://drive.google.com/drive/search?q=parent:1OkcpifbUiC1Y6G2u5ApzxEwKzOL1_kpP%20%22R1-178-01-151-World%20Fuel%20Corp%20v%20Geithner.pdf%22" TargetMode="External"/><Relationship Id="rId135" Type="http://schemas.openxmlformats.org/officeDocument/2006/relationships/hyperlink" Target="https://drive.google.com/drive/search?q=parent:1VmyDEdY-rZ9IfPP9oyBpoZpjcDWGggJR%20%22SP-151-World%20Fuel%20Corp%20v%20Geithner.pdf%22" TargetMode="External"/><Relationship Id="rId134" Type="http://schemas.openxmlformats.org/officeDocument/2006/relationships/hyperlink" Target="https://drive.google.com/drive/search?q=parent:1OkcpifbUiC1Y6G2u5ApzxEwKzOL1_kpP%20%22R1-177-07-225-Dine%20Citizens%20Against%20Ruining%20Our%20Env't%20v%20Klein.pdf%22" TargetMode="External"/><Relationship Id="rId133" Type="http://schemas.openxmlformats.org/officeDocument/2006/relationships/hyperlink" Target="https://drive.google.com/drive/search?q=parent:1VmyDEdY-rZ9IfPP9oyBpoZpjcDWGggJR%20%22SP-225-Dine%20Citizens%20Against%20Ruining%20Our%20Env't%20v%20Klein.pdf%22" TargetMode="External"/><Relationship Id="rId62" Type="http://schemas.openxmlformats.org/officeDocument/2006/relationships/hyperlink" Target="https://drive.google.com/drive/search?q=parent:1OkcpifbUiC1Y6G2u5ApzxEwKzOL1_kpP%20%22R1-166-01-210-Crow%20Indian%20Tribe%20v%20United%20States.pdf%22" TargetMode="External"/><Relationship Id="rId61" Type="http://schemas.openxmlformats.org/officeDocument/2006/relationships/hyperlink" Target="https://drive.google.com/drive/search?q=parent:1VmyDEdY-rZ9IfPP9oyBpoZpjcDWGggJR%20%22SP-210-Crow%20Indian%20Tribe%20v%20United%20States.pdf%22" TargetMode="External"/><Relationship Id="rId64" Type="http://schemas.openxmlformats.org/officeDocument/2006/relationships/hyperlink" Target="https://drive.google.com/drive/search?q=parent:1OkcpifbUiC1Y6G2u5ApzxEwKzOL1_kpP%20%22R1-166-02-205-United%20States%20v%20US%20Bd%20of%20Water%20Comm'rs.pdf%22" TargetMode="External"/><Relationship Id="rId63" Type="http://schemas.openxmlformats.org/officeDocument/2006/relationships/hyperlink" Target="https://drive.google.com/drive/search?q=parent:1VmyDEdY-rZ9IfPP9oyBpoZpjcDWGggJR%20%22SP-205-United%20States%20v%20US%20Bd%20of%20Water%20Comm'rs.pdf%22" TargetMode="External"/><Relationship Id="rId66" Type="http://schemas.openxmlformats.org/officeDocument/2006/relationships/hyperlink" Target="https://drive.google.com/drive/search?q=parent:1OkcpifbUiC1Y6G2u5ApzxEwKzOL1_kpP%20%22R1-166-03-204-Sierra%20Forest%20Legacy%20v%20Sherman.pdf%22" TargetMode="External"/><Relationship Id="rId65" Type="http://schemas.openxmlformats.org/officeDocument/2006/relationships/hyperlink" Target="https://drive.google.com/drive/search?q=parent:1VmyDEdY-rZ9IfPP9oyBpoZpjcDWGggJR%20%22SP-204-Sierra%20Forest%20Legacy%20v%20Sherman.pdf%22" TargetMode="External"/><Relationship Id="rId68" Type="http://schemas.openxmlformats.org/officeDocument/2006/relationships/hyperlink" Target="https://drive.google.com/drive/search?q=parent:1OkcpifbUiC1Y6G2u5ApzxEwKzOL1_kpP%20%22R1-166-04-068-Pauly%20v%20US%20Dept%20of%20Agri.pdf%22" TargetMode="External"/><Relationship Id="rId67" Type="http://schemas.openxmlformats.org/officeDocument/2006/relationships/hyperlink" Target="https://drive.google.com/drive/search?q=parent:1VmyDEdY-rZ9IfPP9oyBpoZpjcDWGggJR%20%22SP-068-Pauly%20v%20US%20Dept%20of%20Agri.pdf%22" TargetMode="External"/><Relationship Id="rId60" Type="http://schemas.openxmlformats.org/officeDocument/2006/relationships/hyperlink" Target="https://drive.google.com/drive/search?q=parent:1OkcpifbUiC1Y6G2u5ApzxEwKzOL1_kpP%20%22R1-165-03-008-Alsea%20Valley%20Alliance%20v%20Dep't%20of%20Commerce.pdf%22" TargetMode="External"/><Relationship Id="rId69" Type="http://schemas.openxmlformats.org/officeDocument/2006/relationships/hyperlink" Target="https://drive.google.com/drive/search?q=parent:1VmyDEdY-rZ9IfPP9oyBpoZpjcDWGggJR%20%22SP-211-Skagit%20Cnty.pdf%22" TargetMode="External"/><Relationship Id="rId51" Type="http://schemas.openxmlformats.org/officeDocument/2006/relationships/hyperlink" Target="https://drive.google.com/drive/search?q=parent:1VmyDEdY-rZ9IfPP9oyBpoZpjcDWGggJR%20%22SP-206-Gallatin%20Wildlife%20Ass'n%20v%20US%20Forest%20Serv.pdf%22" TargetMode="External"/><Relationship Id="rId50" Type="http://schemas.openxmlformats.org/officeDocument/2006/relationships/hyperlink" Target="https://drive.google.com/drive/search?q=parent:1OkcpifbUiC1Y6G2u5ApzxEwKzOL1_kpP%20%22R1-164-02-205-United%20States%20v%20US%20Bd%20of%20Water%20Comm'rs.pdf%22" TargetMode="External"/><Relationship Id="rId53" Type="http://schemas.openxmlformats.org/officeDocument/2006/relationships/hyperlink" Target="https://drive.google.com/drive/search?q=parent:1VmyDEdY-rZ9IfPP9oyBpoZpjcDWGggJR%20%22SP-207-Supra%20Notes%2053-97%20and%20Accompanying%20Text.pdf%22" TargetMode="External"/><Relationship Id="rId52" Type="http://schemas.openxmlformats.org/officeDocument/2006/relationships/hyperlink" Target="https://drive.google.com/drive/search?q=parent:1OkcpifbUiC1Y6G2u5ApzxEwKzOL1_kpP%20%22R1-164-03-206-Gallatin%20Wildlife%20Ass'n%20v%20US%20Forest%20Serv.pdf%22" TargetMode="External"/><Relationship Id="rId55" Type="http://schemas.openxmlformats.org/officeDocument/2006/relationships/hyperlink" Target="https://drive.google.com/drive/search?q=parent:1VmyDEdY-rZ9IfPP9oyBpoZpjcDWGggJR%20%22SP-208-Nat'l%20Wildlife%20Fed'n%20v%20Nat'l%20Marine%20Fisheries%20Serv.pdf%22" TargetMode="External"/><Relationship Id="rId54" Type="http://schemas.openxmlformats.org/officeDocument/2006/relationships/hyperlink" Target="https://drive.google.com/drive/search?q=parent:1OkcpifbUiC1Y6G2u5ApzxEwKzOL1_kpP%20%22R1-164-04-207-Supra%20Notes%2053-97%20and%20Accompanying%20Text.pdf%22" TargetMode="External"/><Relationship Id="rId57" Type="http://schemas.openxmlformats.org/officeDocument/2006/relationships/hyperlink" Target="https://drive.google.com/drive/search?q=parent:1VmyDEdY-rZ9IfPP9oyBpoZpjcDWGggJR%20%22SP-209-Oregon%20Wild%20v%20Bureau%20of%20Land%20MGMT.pdf%22" TargetMode="External"/><Relationship Id="rId56" Type="http://schemas.openxmlformats.org/officeDocument/2006/relationships/hyperlink" Target="https://drive.google.com/drive/search?q=parent:1OkcpifbUiC1Y6G2u5ApzxEwKzOL1_kpP%20%22R1-165-01-208-Nat'l%20Wildlife%20Fed'n%20v%20Nat'l%20Marine%20Fisheries%20Serv.pdf%22" TargetMode="External"/><Relationship Id="rId159" Type="http://schemas.openxmlformats.org/officeDocument/2006/relationships/drawing" Target="../drawings/drawing11.xml"/><Relationship Id="rId59" Type="http://schemas.openxmlformats.org/officeDocument/2006/relationships/hyperlink" Target="https://drive.google.com/drive/search?q=parent:1VmyDEdY-rZ9IfPP9oyBpoZpjcDWGggJR%20%22SP-008-Alsea%20Valley%20Alliance%20v%20Dep't%20of%20Commerce.pdf%22" TargetMode="External"/><Relationship Id="rId154" Type="http://schemas.openxmlformats.org/officeDocument/2006/relationships/hyperlink" Target="https://drive.google.com/drive/search?q=parent:1OkcpifbUiC1Y6G2u5ApzxEwKzOL1_kpP%20%22R1-184-01-166-Sierra%20Club%20v%20US%20Dep't%20of%20Agric.pdf%22" TargetMode="External"/><Relationship Id="rId58" Type="http://schemas.openxmlformats.org/officeDocument/2006/relationships/hyperlink" Target="https://drive.google.com/drive/search?q=parent:1OkcpifbUiC1Y6G2u5ApzxEwKzOL1_kpP%20%22R1-165-02-209-Oregon%20Wild%20v%20Bureau%20of%20Land%20MGMT.pdf%22" TargetMode="External"/><Relationship Id="rId153" Type="http://schemas.openxmlformats.org/officeDocument/2006/relationships/hyperlink" Target="https://drive.google.com/drive/search?q=parent:1VmyDEdY-rZ9IfPP9oyBpoZpjcDWGggJR%20%22SP-166-Sierra%20Club%20v%20US%20Dep't%20of%20Agric.pdf%22" TargetMode="External"/><Relationship Id="rId152" Type="http://schemas.openxmlformats.org/officeDocument/2006/relationships/hyperlink" Target="https://drive.google.com/drive/search?q=parent:1OkcpifbUiC1Y6G2u5ApzxEwKzOL1_kpP%20%22R1-183-01-228-Supra%20Notes%20145-146.pdf%22" TargetMode="External"/><Relationship Id="rId151" Type="http://schemas.openxmlformats.org/officeDocument/2006/relationships/hyperlink" Target="https://drive.google.com/drive/search?q=parent:1VmyDEdY-rZ9IfPP9oyBpoZpjcDWGggJR%20%22SP-228-Supra%20Notes%20145-146.pdf%22" TargetMode="External"/><Relationship Id="rId158" Type="http://schemas.openxmlformats.org/officeDocument/2006/relationships/hyperlink" Target="https://drive.google.com/drive/search?q=parent:1OkcpifbUiC1Y6G2u5ApzxEwKzOL1_kpP%20%22R1-184-03-221-Trout%20Unlimited%20v%20US%20Dep't%20of%20Agric.pdf%22" TargetMode="External"/><Relationship Id="rId157" Type="http://schemas.openxmlformats.org/officeDocument/2006/relationships/hyperlink" Target="https://drive.google.com/drive/search?q=parent:1VmyDEdY-rZ9IfPP9oyBpoZpjcDWGggJR%20%22SP-221-Trout%20Unlimited%20v%20US%20Dep't%20of%20Agric.pdf%22" TargetMode="External"/><Relationship Id="rId156" Type="http://schemas.openxmlformats.org/officeDocument/2006/relationships/hyperlink" Target="https://drive.google.com/drive/search?q=parent:1OkcpifbUiC1Y6G2u5ApzxEwKzOL1_kpP%20%22R1-184-02-199-Izaak%20Walton.pdf%22" TargetMode="External"/><Relationship Id="rId155" Type="http://schemas.openxmlformats.org/officeDocument/2006/relationships/hyperlink" Target="https://drive.google.com/drive/search?q=parent:1VmyDEdY-rZ9IfPP9oyBpoZpjcDWGggJR%20%22SP-199-Izaak%20Walton.pdf%22" TargetMode="External"/><Relationship Id="rId107" Type="http://schemas.openxmlformats.org/officeDocument/2006/relationships/hyperlink" Target="https://drive.google.com/drive/search?q=parent:1VmyDEdY-rZ9IfPP9oyBpoZpjcDWGggJR%20%22SP-219-New%20Mexico%20Health%20Connections%20v%20US%20Dep't%20of%20Health%20and%20Human%20Servs.pdf%22" TargetMode="External"/><Relationship Id="rId106" Type="http://schemas.openxmlformats.org/officeDocument/2006/relationships/hyperlink" Target="https://drive.google.com/drive/search?q=parent:1OkcpifbUiC1Y6G2u5ApzxEwKzOL1_kpP%20%22R1-174-01-218-American%20Wild%20Horse%20Preservation%20Campaign%20v%20Jewell.pdf%22" TargetMode="External"/><Relationship Id="rId105" Type="http://schemas.openxmlformats.org/officeDocument/2006/relationships/hyperlink" Target="https://drive.google.com/drive/search?q=parent:1VmyDEdY-rZ9IfPP9oyBpoZpjcDWGggJR%20%22SP-218-American%20Wild%20Horse%20Preservation%20Campaign%20v%20Jewell.pdf%22" TargetMode="External"/><Relationship Id="rId104" Type="http://schemas.openxmlformats.org/officeDocument/2006/relationships/hyperlink" Target="https://drive.google.com/drive/search?q=parent:1OkcpifbUiC1Y6G2u5ApzxEwKzOL1_kpP%20%22R1-173-01-137-Bender%20v%20Clark.pdf%22" TargetMode="External"/><Relationship Id="rId109" Type="http://schemas.openxmlformats.org/officeDocument/2006/relationships/hyperlink" Target="https://drive.google.com/drive/search?q=parent:1VmyDEdY-rZ9IfPP9oyBpoZpjcDWGggJR%20%22SP-216-W%20Energy%20Alliance.pdf%22" TargetMode="External"/><Relationship Id="rId108" Type="http://schemas.openxmlformats.org/officeDocument/2006/relationships/hyperlink" Target="https://drive.google.com/drive/search?q=parent:1OkcpifbUiC1Y6G2u5ApzxEwKzOL1_kpP%20%22R1-175-01-219-New%20Mexico%20Health%20Connections%20v%20US%20Dep't%20of%20Health%20and%20Human%20Servs.pdf%22" TargetMode="External"/><Relationship Id="rId103" Type="http://schemas.openxmlformats.org/officeDocument/2006/relationships/hyperlink" Target="https://drive.google.com/drive/search?q=parent:1VmyDEdY-rZ9IfPP9oyBpoZpjcDWGggJR%20%22SP-137-Bender%20v%20Clark.pdf%22" TargetMode="External"/><Relationship Id="rId102" Type="http://schemas.openxmlformats.org/officeDocument/2006/relationships/hyperlink" Target="https://drive.google.com/drive/search?q=parent:1OkcpifbUiC1Y6G2u5ApzxEwKzOL1_kpP%20%22R1-172-03-137-Bender%20v%20Clark.pdf%22" TargetMode="External"/><Relationship Id="rId101" Type="http://schemas.openxmlformats.org/officeDocument/2006/relationships/hyperlink" Target="https://drive.google.com/drive/search?q=parent:1VmyDEdY-rZ9IfPP9oyBpoZpjcDWGggJR%20%22SP-137-Bender%20v%20Clark.pdf%22" TargetMode="External"/><Relationship Id="rId100" Type="http://schemas.openxmlformats.org/officeDocument/2006/relationships/hyperlink" Target="https://drive.google.com/drive/search?q=parent:1OkcpifbUiC1Y6G2u5ApzxEwKzOL1_kpP%20%22R1-172-02-217-Graham.pdf%22" TargetMode="External"/><Relationship Id="rId129" Type="http://schemas.openxmlformats.org/officeDocument/2006/relationships/hyperlink" Target="https://drive.google.com/drive/search?q=parent:1VmyDEdY-rZ9IfPP9oyBpoZpjcDWGggJR%20%22SP-223-S%20Utah%20Wilderness%20Alliance%20v%20Kempthorne.pdf%22" TargetMode="External"/><Relationship Id="rId128" Type="http://schemas.openxmlformats.org/officeDocument/2006/relationships/hyperlink" Target="https://drive.google.com/drive/search?q=parent:1OkcpifbUiC1Y6G2u5ApzxEwKzOL1_kpP%20%22R1-177-04-216-W%20Energy%20Alliance.pdf%22" TargetMode="External"/><Relationship Id="rId127" Type="http://schemas.openxmlformats.org/officeDocument/2006/relationships/hyperlink" Target="https://drive.google.com/drive/search?q=parent:1VmyDEdY-rZ9IfPP9oyBpoZpjcDWGggJR%20%22SP-216-W%20Energy%20Alliance.pdf%22" TargetMode="External"/><Relationship Id="rId126" Type="http://schemas.openxmlformats.org/officeDocument/2006/relationships/hyperlink" Target="https://drive.google.com/drive/search?q=parent:1OkcpifbUiC1Y6G2u5ApzxEwKzOL1_kpP%20%22R1-177-03-155-Cotton%20Petroleum%20Corp.pdf%22" TargetMode="External"/><Relationship Id="rId121" Type="http://schemas.openxmlformats.org/officeDocument/2006/relationships/hyperlink" Target="https://drive.google.com/drive/search?q=parent:1VmyDEdY-rZ9IfPP9oyBpoZpjcDWGggJR%20%22SP-222-Merit.pdf%22" TargetMode="External"/><Relationship Id="rId120" Type="http://schemas.openxmlformats.org/officeDocument/2006/relationships/hyperlink" Target="https://drive.google.com/drive/search?q=parent:1OkcpifbUiC1Y6G2u5ApzxEwKzOL1_kpP%20%22R1-176-05-115-Baca-Prieto%20v%20A1%20Guigni.pdf%22" TargetMode="External"/><Relationship Id="rId125" Type="http://schemas.openxmlformats.org/officeDocument/2006/relationships/hyperlink" Target="https://drive.google.com/drive/search?q=parent:1VmyDEdY-rZ9IfPP9oyBpoZpjcDWGggJR%20%22SP-155-Cotton%20Petroleum%20Corp.pdf%22" TargetMode="External"/><Relationship Id="rId124" Type="http://schemas.openxmlformats.org/officeDocument/2006/relationships/hyperlink" Target="https://drive.google.com/drive/search?q=parent:1OkcpifbUiC1Y6G2u5ApzxEwKzOL1_kpP%20%22R1-177-02-218-American%20Wild%20Horse%20Preservation%20Campaign%20v%20Jewell.pdf%22" TargetMode="External"/><Relationship Id="rId123" Type="http://schemas.openxmlformats.org/officeDocument/2006/relationships/hyperlink" Target="https://drive.google.com/drive/search?q=parent:1VmyDEdY-rZ9IfPP9oyBpoZpjcDWGggJR%20%22SP-218-American%20Wild%20Horse%20Preservation%20Campaign%20v%20Jewell.pdf%22" TargetMode="External"/><Relationship Id="rId122" Type="http://schemas.openxmlformats.org/officeDocument/2006/relationships/hyperlink" Target="https://drive.google.com/drive/search?q=parent:1OkcpifbUiC1Y6G2u5ApzxEwKzOL1_kpP%20%22R1-177-01-222-Merit.pdf%22" TargetMode="External"/><Relationship Id="rId95" Type="http://schemas.openxmlformats.org/officeDocument/2006/relationships/hyperlink" Target="https://drive.google.com/drive/search?q=parent:1VmyDEdY-rZ9IfPP9oyBpoZpjcDWGggJR%20%22SP-210-Crow%20Indian%20Tribe%20v%20United%20States.pdf%22" TargetMode="External"/><Relationship Id="rId94" Type="http://schemas.openxmlformats.org/officeDocument/2006/relationships/hyperlink" Target="https://drive.google.com/drive/search?q=parent:1OkcpifbUiC1Y6G2u5ApzxEwKzOL1_kpP%20%22R1-170-02-210-Crow%20Indian%20Tribe%20v%20United%20States.pdf%22" TargetMode="External"/><Relationship Id="rId97" Type="http://schemas.openxmlformats.org/officeDocument/2006/relationships/hyperlink" Target="https://drive.google.com/drive/search?q=parent:1VmyDEdY-rZ9IfPP9oyBpoZpjcDWGggJR%20%22SP-216-W%20Energy%20Alliance.pdf%22" TargetMode="External"/><Relationship Id="rId96" Type="http://schemas.openxmlformats.org/officeDocument/2006/relationships/hyperlink" Target="https://drive.google.com/drive/search?q=parent:1OkcpifbUiC1Y6G2u5ApzxEwKzOL1_kpP%20%22R1-171-01-210-Crow%20Indian%20Tribe%20v%20United%20States.pdf%22" TargetMode="External"/><Relationship Id="rId99" Type="http://schemas.openxmlformats.org/officeDocument/2006/relationships/hyperlink" Target="https://drive.google.com/drive/search?q=parent:1VmyDEdY-rZ9IfPP9oyBpoZpjcDWGggJR%20%22SP-217-Graham.pdf%22" TargetMode="External"/><Relationship Id="rId98" Type="http://schemas.openxmlformats.org/officeDocument/2006/relationships/hyperlink" Target="https://drive.google.com/drive/search?q=parent:1OkcpifbUiC1Y6G2u5ApzxEwKzOL1_kpP%20%22R1-172-01-216-W%20Energy%20Alliance.pdf%22" TargetMode="External"/><Relationship Id="rId91" Type="http://schemas.openxmlformats.org/officeDocument/2006/relationships/hyperlink" Target="https://drive.google.com/drive/search?q=parent:1VmyDEdY-rZ9IfPP9oyBpoZpjcDWGggJR%20%22SP-215-Bair%20v%20Cal%20Dep't%20of%20Transp.pdf%22" TargetMode="External"/><Relationship Id="rId90" Type="http://schemas.openxmlformats.org/officeDocument/2006/relationships/hyperlink" Target="https://drive.google.com/drive/search?q=parent:1OkcpifbUiC1Y6G2u5ApzxEwKzOL1_kpP%20%22R1-169-02-068-Pauly%20v%20US%20Dept%20of%20Agri.pdf%22" TargetMode="External"/><Relationship Id="rId93" Type="http://schemas.openxmlformats.org/officeDocument/2006/relationships/hyperlink" Target="https://drive.google.com/drive/search?q=parent:1VmyDEdY-rZ9IfPP9oyBpoZpjcDWGggJR%20%22SP-210-Crow%20Indian%20Tribe%20v%20United%20States.pdf%22" TargetMode="External"/><Relationship Id="rId92" Type="http://schemas.openxmlformats.org/officeDocument/2006/relationships/hyperlink" Target="https://drive.google.com/drive/search?q=parent:1OkcpifbUiC1Y6G2u5ApzxEwKzOL1_kpP%20%22R1-170-01-215-Bair%20v%20Cal%20Dep't%20of%20Transp.pdf%22" TargetMode="External"/><Relationship Id="rId118" Type="http://schemas.openxmlformats.org/officeDocument/2006/relationships/hyperlink" Target="https://drive.google.com/drive/search?q=parent:1OkcpifbUiC1Y6G2u5ApzxEwKzOL1_kpP%20%22R1-176-04-221-Trout%20Unlimited%20v%20US%20Dep't%20of%20Agric.pdf%22" TargetMode="External"/><Relationship Id="rId117" Type="http://schemas.openxmlformats.org/officeDocument/2006/relationships/hyperlink" Target="https://drive.google.com/drive/search?q=parent:1VmyDEdY-rZ9IfPP9oyBpoZpjcDWGggJR%20%22SP-221-Trout%20Unlimited%20v%20US%20Dep't%20of%20Agric.pdf%22" TargetMode="External"/><Relationship Id="rId116" Type="http://schemas.openxmlformats.org/officeDocument/2006/relationships/hyperlink" Target="https://drive.google.com/drive/search?q=parent:1OkcpifbUiC1Y6G2u5ApzxEwKzOL1_kpP%20%22R1-176-03-152-Miami%20Tribe.pdf%22" TargetMode="External"/><Relationship Id="rId115" Type="http://schemas.openxmlformats.org/officeDocument/2006/relationships/hyperlink" Target="https://drive.google.com/drive/search?q=parent:1VmyDEdY-rZ9IfPP9oyBpoZpjcDWGggJR%20%22SP-152-Miami%20Tribe.pdf%22" TargetMode="External"/><Relationship Id="rId119" Type="http://schemas.openxmlformats.org/officeDocument/2006/relationships/hyperlink" Target="https://drive.google.com/drive/search?q=parent:1VmyDEdY-rZ9IfPP9oyBpoZpjcDWGggJR%20%22SP-115-Baca-Prieto%20v%20A1%20Guigni.pdf%22" TargetMode="External"/><Relationship Id="rId110" Type="http://schemas.openxmlformats.org/officeDocument/2006/relationships/hyperlink" Target="https://drive.google.com/drive/search?q=parent:1OkcpifbUiC1Y6G2u5ApzxEwKzOL1_kpP%20%22R1-175-02-216-W%20Energy%20Alliance.pdf%22" TargetMode="External"/><Relationship Id="rId114" Type="http://schemas.openxmlformats.org/officeDocument/2006/relationships/hyperlink" Target="https://drive.google.com/drive/search?q=parent:1OkcpifbUiC1Y6G2u5ApzxEwKzOL1_kpP%20%22R1-176-02-219-New%20Mexico%20Health%20Connections%20v%20US%20Dep't%20of%20Health%20and%20Human%20Servs.pdf%22" TargetMode="External"/><Relationship Id="rId113" Type="http://schemas.openxmlformats.org/officeDocument/2006/relationships/hyperlink" Target="https://drive.google.com/drive/search?q=parent:1VmyDEdY-rZ9IfPP9oyBpoZpjcDWGggJR%20%22SP-219-New%20Mexico%20Health%20Connections%20v%20US%20Dep't%20of%20Health%20and%20Human%20Servs.pdf%22" TargetMode="External"/><Relationship Id="rId112" Type="http://schemas.openxmlformats.org/officeDocument/2006/relationships/hyperlink" Target="https://drive.google.com/drive/search?q=parent:1OkcpifbUiC1Y6G2u5ApzxEwKzOL1_kpP%20%22R1-176-01-220-Rocky%20MTN%20Wild%20v%20Dallas.pdf%22" TargetMode="External"/><Relationship Id="rId111" Type="http://schemas.openxmlformats.org/officeDocument/2006/relationships/hyperlink" Target="https://drive.google.com/drive/search?q=parent:1VmyDEdY-rZ9IfPP9oyBpoZpjcDWGggJR%20%22SP-220-Rocky%20MTN%20Wild%20v%20Dallas.pdf%22"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194-02-155-Cotton%20Petroleum%20Corp.pdf%22" TargetMode="External"/><Relationship Id="rId42" Type="http://schemas.openxmlformats.org/officeDocument/2006/relationships/hyperlink" Target="https://drive.google.com/drive/search?q=parent:1OkcpifbUiC1Y6G2u5ApzxEwKzOL1_kpP%20%22R1-194-03-216-W%20Energy%20Alliance.pdf%22" TargetMode="External"/><Relationship Id="rId41" Type="http://schemas.openxmlformats.org/officeDocument/2006/relationships/hyperlink" Target="https://drive.google.com/drive/search?q=parent:1VmyDEdY-rZ9IfPP9oyBpoZpjcDWGggJR%20%22SP-216-W%20Energy%20Alliance.pdf%22" TargetMode="External"/><Relationship Id="rId44" Type="http://schemas.openxmlformats.org/officeDocument/2006/relationships/hyperlink" Target="https://drive.google.com/drive/search?q=parent:1OkcpifbUiC1Y6G2u5ApzxEwKzOL1_kpP%20%22R1-194-04-235-Stubblefield%20v%20Windsor%20Cap%20GRP.pdf%22" TargetMode="External"/><Relationship Id="rId43" Type="http://schemas.openxmlformats.org/officeDocument/2006/relationships/hyperlink" Target="https://drive.google.com/drive/search?q=parent:1VmyDEdY-rZ9IfPP9oyBpoZpjcDWGggJR%20%22SP-235-Stubblefield%20v%20Windsor%20Cap%20GRP.pdf%22" TargetMode="External"/><Relationship Id="rId46" Type="http://schemas.openxmlformats.org/officeDocument/2006/relationships/hyperlink" Target="https://drive.google.com/drive/search?q=parent:1OkcpifbUiC1Y6G2u5ApzxEwKzOL1_kpP%20%22R1-194-05-236-Boughton%20v%20Cotter%20Corp.pdf%22" TargetMode="External"/><Relationship Id="rId45" Type="http://schemas.openxmlformats.org/officeDocument/2006/relationships/hyperlink" Target="https://drive.google.com/drive/search?q=parent:1VmyDEdY-rZ9IfPP9oyBpoZpjcDWGggJR%20%22SP-236-Boughton%20v%20Cotter%20Corp.pdf%22" TargetMode="External"/><Relationship Id="rId48" Type="http://schemas.openxmlformats.org/officeDocument/2006/relationships/hyperlink" Target="https://drive.google.com/drive/search?q=parent:1OkcpifbUiC1Y6G2u5ApzxEwKzOL1_kpP%20%22R1-194-06-237-Supra%20Notes%20176-177%20and%20Accompanying%20Text.pdf%22" TargetMode="External"/><Relationship Id="rId47" Type="http://schemas.openxmlformats.org/officeDocument/2006/relationships/hyperlink" Target="https://drive.google.com/drive/search?q=parent:1VmyDEdY-rZ9IfPP9oyBpoZpjcDWGggJR%20%22SP-237-Supra%20Notes%20176-177%20and%20Accompanying%20Text.pdf%22" TargetMode="External"/><Relationship Id="rId49" Type="http://schemas.openxmlformats.org/officeDocument/2006/relationships/hyperlink" Target="https://drive.google.com/drive/search?q=parent:1VmyDEdY-rZ9IfPP9oyBpoZpjcDWGggJR%20%22SP-238-Johnsen.pdf%22" TargetMode="External"/><Relationship Id="rId31" Type="http://schemas.openxmlformats.org/officeDocument/2006/relationships/hyperlink" Target="https://drive.google.com/drive/search?q=parent:1VmyDEdY-rZ9IfPP9oyBpoZpjcDWGggJR%20%22SP-204-Sierra%20Forest%20Legacy%20v%20Sherman.pdf%22" TargetMode="External"/><Relationship Id="rId30" Type="http://schemas.openxmlformats.org/officeDocument/2006/relationships/hyperlink" Target="https://drive.google.com/drive/search?q=parent:1OkcpifbUiC1Y6G2u5ApzxEwKzOL1_kpP%20%22R1-193-01-005-Friends%20of%20Hope%20Valley%20v%20US%20Forest%20Service.pdf%22" TargetMode="External"/><Relationship Id="rId33" Type="http://schemas.openxmlformats.org/officeDocument/2006/relationships/hyperlink" Target="https://drive.google.com/drive/search?q=parent:1VmyDEdY-rZ9IfPP9oyBpoZpjcDWGggJR%20%22SP-233-Bitterroot.pdf%22" TargetMode="External"/><Relationship Id="rId32" Type="http://schemas.openxmlformats.org/officeDocument/2006/relationships/hyperlink" Target="https://drive.google.com/drive/search?q=parent:1OkcpifbUiC1Y6G2u5ApzxEwKzOL1_kpP%20%22R1-193-02-204-Sierra%20Forest%20Legacy%20v%20Sherman.pdf%22" TargetMode="External"/><Relationship Id="rId35" Type="http://schemas.openxmlformats.org/officeDocument/2006/relationships/hyperlink" Target="https://drive.google.com/drive/search?q=parent:1VmyDEdY-rZ9IfPP9oyBpoZpjcDWGggJR%20%22SP-234-Infra%20Notes%20227-251.pdf%22" TargetMode="External"/><Relationship Id="rId34" Type="http://schemas.openxmlformats.org/officeDocument/2006/relationships/hyperlink" Target="https://drive.google.com/drive/search?q=parent:1OkcpifbUiC1Y6G2u5ApzxEwKzOL1_kpP%20%22R1-193-03-233-Bitterroot.pdf%22" TargetMode="External"/><Relationship Id="rId37" Type="http://schemas.openxmlformats.org/officeDocument/2006/relationships/hyperlink" Target="https://drive.google.com/drive/search?q=parent:1VmyDEdY-rZ9IfPP9oyBpoZpjcDWGggJR%20%22SP-104-In%20Re%20Long-Distance%20Tel%20Serv%20Fed%20Excise%20Tax%20Refund%20Litig.pdf%22" TargetMode="External"/><Relationship Id="rId36" Type="http://schemas.openxmlformats.org/officeDocument/2006/relationships/hyperlink" Target="https://drive.google.com/drive/search?q=parent:1OkcpifbUiC1Y6G2u5ApzxEwKzOL1_kpP%20%22R1-193-04-234-Infra%20Notes%20227-251.pdf%22" TargetMode="External"/><Relationship Id="rId39" Type="http://schemas.openxmlformats.org/officeDocument/2006/relationships/hyperlink" Target="https://drive.google.com/drive/search?q=parent:1VmyDEdY-rZ9IfPP9oyBpoZpjcDWGggJR%20%22SP-155-Cotton%20Petroleum%20Corp.pdf%22" TargetMode="External"/><Relationship Id="rId38" Type="http://schemas.openxmlformats.org/officeDocument/2006/relationships/hyperlink" Target="https://drive.google.com/drive/search?q=parent:1OkcpifbUiC1Y6G2u5ApzxEwKzOL1_kpP%20%22R1-194-01-104-In%20Re%20Long-Distance%20Tel%20Serv%20Fed%20Excise%20Tax%20Refund%20Litig.pdf%22" TargetMode="External"/><Relationship Id="rId20" Type="http://schemas.openxmlformats.org/officeDocument/2006/relationships/hyperlink" Target="https://drive.google.com/drive/search?q=parent:1OkcpifbUiC1Y6G2u5ApzxEwKzOL1_kpP%20%22R1-189-02-232-Chang%20v%20United%20States.pdf%22" TargetMode="External"/><Relationship Id="rId22" Type="http://schemas.openxmlformats.org/officeDocument/2006/relationships/hyperlink" Target="https://drive.google.com/drive/search?q=parent:1OkcpifbUiC1Y6G2u5ApzxEwKzOL1_kpP%20%22R1-189-03-211-Skagit%20Cnty.pdf%22" TargetMode="External"/><Relationship Id="rId21" Type="http://schemas.openxmlformats.org/officeDocument/2006/relationships/hyperlink" Target="https://drive.google.com/drive/search?q=parent:1VmyDEdY-rZ9IfPP9oyBpoZpjcDWGggJR%20%22SP-211-Skagit%20Cnty.pdf%22" TargetMode="External"/><Relationship Id="rId24" Type="http://schemas.openxmlformats.org/officeDocument/2006/relationships/hyperlink" Target="https://drive.google.com/drive/search?q=parent:1OkcpifbUiC1Y6G2u5ApzxEwKzOL1_kpP%20%22R1-190-01-204-Sierra%20Forest%20Legacy%20v%20Sherman.pdf%22" TargetMode="External"/><Relationship Id="rId23" Type="http://schemas.openxmlformats.org/officeDocument/2006/relationships/hyperlink" Target="https://drive.google.com/drive/search?q=parent:1VmyDEdY-rZ9IfPP9oyBpoZpjcDWGggJR%20%22SP-204-Sierra%20Forest%20Legacy%20v%20Sherman.pdf%22" TargetMode="External"/><Relationship Id="rId26" Type="http://schemas.openxmlformats.org/officeDocument/2006/relationships/hyperlink" Target="https://drive.google.com/drive/search?q=parent:1OkcpifbUiC1Y6G2u5ApzxEwKzOL1_kpP%20%22R1-191-01-021-Lammon%20Appealability.pdf%22" TargetMode="External"/><Relationship Id="rId25" Type="http://schemas.openxmlformats.org/officeDocument/2006/relationships/hyperlink" Target="https://drive.google.com/drive/search?q=parent:1VmyDEdY-rZ9IfPP9oyBpoZpjcDWGggJR%20%22SP-021-Lammon%20Appealability.pdf%22" TargetMode="External"/><Relationship Id="rId28" Type="http://schemas.openxmlformats.org/officeDocument/2006/relationships/hyperlink" Target="https://drive.google.com/drive/search?q=parent:1OkcpifbUiC1Y6G2u5ApzxEwKzOL1_kpP%20%22R1-192-01-021-Lammon%20Appealability.pdf%22" TargetMode="External"/><Relationship Id="rId27" Type="http://schemas.openxmlformats.org/officeDocument/2006/relationships/hyperlink" Target="https://drive.google.com/drive/search?q=parent:1VmyDEdY-rZ9IfPP9oyBpoZpjcDWGggJR%20%22SP-021-Lammon%20Appealability.pdf%22" TargetMode="External"/><Relationship Id="rId29" Type="http://schemas.openxmlformats.org/officeDocument/2006/relationships/hyperlink" Target="https://drive.google.com/drive/search?q=parent:1VmyDEdY-rZ9IfPP9oyBpoZpjcDWGggJR%20%22SP-005-Friends%20of%20Hope%20Valley%20v%20US%20Forest%20Service.pdf%22" TargetMode="External"/><Relationship Id="rId11" Type="http://schemas.openxmlformats.org/officeDocument/2006/relationships/hyperlink" Target="https://drive.google.com/drive/search?q=parent:1VmyDEdY-rZ9IfPP9oyBpoZpjcDWGggJR%20%22SP-174-Koyo%20Seiko%20Co%20v%20United%20States.pdf%22" TargetMode="External"/><Relationship Id="rId10" Type="http://schemas.openxmlformats.org/officeDocument/2006/relationships/hyperlink" Target="https://drive.google.com/drive/search?q=parent:1OkcpifbUiC1Y6G2u5ApzxEwKzOL1_kpP%20%22R1-187-01-068-Pauly%20v%20US%20Dept%20of%20Agri.pdf%22" TargetMode="External"/><Relationship Id="rId13" Type="http://schemas.openxmlformats.org/officeDocument/2006/relationships/hyperlink" Target="https://drive.google.com/drive/search?q=parent:1VmyDEdY-rZ9IfPP9oyBpoZpjcDWGggJR%20%22SP-026-Federal%20Practice%203914%2032.pdf%22" TargetMode="External"/><Relationship Id="rId12" Type="http://schemas.openxmlformats.org/officeDocument/2006/relationships/hyperlink" Target="https://drive.google.com/drive/search?q=parent:1OkcpifbUiC1Y6G2u5ApzxEwKzOL1_kpP%20%22R1-187-02-174-Koyo%20Seiko%20Co%20v%20United%20States.pdf%22" TargetMode="External"/><Relationship Id="rId15" Type="http://schemas.openxmlformats.org/officeDocument/2006/relationships/hyperlink" Target="https://drive.google.com/drive/search?q=parent:1VmyDEdY-rZ9IfPP9oyBpoZpjcDWGggJR%20%22SP-231-Administrative%20Office.pdf%22" TargetMode="External"/><Relationship Id="rId14" Type="http://schemas.openxmlformats.org/officeDocument/2006/relationships/hyperlink" Target="https://drive.google.com/drive/search?q=parent:1OkcpifbUiC1Y6G2u5ApzxEwKzOL1_kpP%20%22R1-187-03-026-Federal%20Practice%203914%2032.pdf%22" TargetMode="External"/><Relationship Id="rId17" Type="http://schemas.openxmlformats.org/officeDocument/2006/relationships/hyperlink" Target="https://drive.google.com/drive/search?q=parent:1VmyDEdY-rZ9IfPP9oyBpoZpjcDWGggJR%20%22SP-068-Pauly%20v%20US%20Dept%20of%20Agri.pdf%22" TargetMode="External"/><Relationship Id="rId16" Type="http://schemas.openxmlformats.org/officeDocument/2006/relationships/hyperlink" Target="https://drive.google.com/drive/search?q=parent:1OkcpifbUiC1Y6G2u5ApzxEwKzOL1_kpP%20%22R1-188-01-231-Administrative%20Office.pdf%22" TargetMode="External"/><Relationship Id="rId19" Type="http://schemas.openxmlformats.org/officeDocument/2006/relationships/hyperlink" Target="https://drive.google.com/drive/search?q=parent:1VmyDEdY-rZ9IfPP9oyBpoZpjcDWGggJR%20%22SP-232-Chang%20v%20United%20States.pdf%22" TargetMode="External"/><Relationship Id="rId18" Type="http://schemas.openxmlformats.org/officeDocument/2006/relationships/hyperlink" Target="https://drive.google.com/drive/search?q=parent:1OkcpifbUiC1Y6G2u5ApzxEwKzOL1_kpP%20%22R1-189-01-068-Pauly%20v%20US%20Dept%20of%20Agri.pdf%22" TargetMode="External"/><Relationship Id="rId84" Type="http://schemas.openxmlformats.org/officeDocument/2006/relationships/hyperlink" Target="https://drive.google.com/drive/search?q=parent:1OkcpifbUiC1Y6G2u5ApzxEwKzOL1_kpP%20%22R1-200-04-243-Ilan.pdf%22" TargetMode="External"/><Relationship Id="rId83" Type="http://schemas.openxmlformats.org/officeDocument/2006/relationships/hyperlink" Target="https://drive.google.com/drive/search?q=parent:1VmyDEdY-rZ9IfPP9oyBpoZpjcDWGggJR%20%22SP-243-Ilan.pdf%22" TargetMode="External"/><Relationship Id="rId86" Type="http://schemas.openxmlformats.org/officeDocument/2006/relationships/hyperlink" Target="https://drive.google.com/drive/search?q=parent:1OkcpifbUiC1Y6G2u5ApzxEwKzOL1_kpP%20%22R1-200-05-244-Freeman.pdf%22" TargetMode="External"/><Relationship Id="rId85" Type="http://schemas.openxmlformats.org/officeDocument/2006/relationships/hyperlink" Target="https://drive.google.com/drive/search?q=parent:1VmyDEdY-rZ9IfPP9oyBpoZpjcDWGggJR%20%22SP-244-Freeman.pdf%22" TargetMode="External"/><Relationship Id="rId88" Type="http://schemas.openxmlformats.org/officeDocument/2006/relationships/hyperlink" Target="https://drive.google.com/drive/search?q=parent:1OkcpifbUiC1Y6G2u5ApzxEwKzOL1_kpP%20%22R1-200-06-245-Boyden.pdf%22" TargetMode="External"/><Relationship Id="rId150" Type="http://schemas.openxmlformats.org/officeDocument/2006/relationships/hyperlink" Target="https://drive.google.com/drive/search?q=parent:1OkcpifbUiC1Y6G2u5ApzxEwKzOL1_kpP%20%22R1-222-01-260-Friends%202007.pdf%22" TargetMode="External"/><Relationship Id="rId87" Type="http://schemas.openxmlformats.org/officeDocument/2006/relationships/hyperlink" Target="https://drive.google.com/drive/search?q=parent:1VmyDEdY-rZ9IfPP9oyBpoZpjcDWGggJR%20%22SP-245-Boyden.pdf%22" TargetMode="External"/><Relationship Id="rId89" Type="http://schemas.openxmlformats.org/officeDocument/2006/relationships/hyperlink" Target="https://drive.google.com/drive/search?q=parent:1VmyDEdY-rZ9IfPP9oyBpoZpjcDWGggJR%20%22SP-246-Vertesch.pdf%22" TargetMode="External"/><Relationship Id="rId80" Type="http://schemas.openxmlformats.org/officeDocument/2006/relationships/hyperlink" Target="https://drive.google.com/drive/search?q=parent:1OkcpifbUiC1Y6G2u5ApzxEwKzOL1_kpP%20%22R1-200-02-242-Postell.pdf%22" TargetMode="External"/><Relationship Id="rId82" Type="http://schemas.openxmlformats.org/officeDocument/2006/relationships/hyperlink" Target="https://drive.google.com/drive/search?q=parent:1OkcpifbUiC1Y6G2u5ApzxEwKzOL1_kpP%20%22R1-200-03-015-Michaels.pdf%22" TargetMode="External"/><Relationship Id="rId81" Type="http://schemas.openxmlformats.org/officeDocument/2006/relationships/hyperlink" Target="https://drive.google.com/drive/search?q=parent:1VmyDEdY-rZ9IfPP9oyBpoZpjcDWGggJR%20%22SP-015-Michaels.pdf%22" TargetMode="External"/><Relationship Id="rId1" Type="http://schemas.openxmlformats.org/officeDocument/2006/relationships/hyperlink" Target="https://drive.google.com/drive/search?q=parent:1VmyDEdY-rZ9IfPP9oyBpoZpjcDWGggJR%20%22SP-229-Cherokee%20Nation%20v%20Bernhardt.pdf%22" TargetMode="External"/><Relationship Id="rId2" Type="http://schemas.openxmlformats.org/officeDocument/2006/relationships/hyperlink" Target="https://drive.google.com/drive/search?q=parent:1OkcpifbUiC1Y6G2u5ApzxEwKzOL1_kpP%20%22R1-185-01-229-Cherokee%20Nation%20v%20Bernhardt.pdf%22" TargetMode="External"/><Relationship Id="rId3" Type="http://schemas.openxmlformats.org/officeDocument/2006/relationships/hyperlink" Target="https://drive.google.com/drive/search?q=parent:1VmyDEdY-rZ9IfPP9oyBpoZpjcDWGggJR%20%22SP-210-Crow%20Indian%20Tribe%20v%20United%20States.pdf%22" TargetMode="External"/><Relationship Id="rId149" Type="http://schemas.openxmlformats.org/officeDocument/2006/relationships/hyperlink" Target="https://drive.google.com/drive/search?q=parent:1VmyDEdY-rZ9IfPP9oyBpoZpjcDWGggJR%20%22SP-260-Friends%202007.pdf%22" TargetMode="External"/><Relationship Id="rId4" Type="http://schemas.openxmlformats.org/officeDocument/2006/relationships/hyperlink" Target="https://drive.google.com/drive/search?q=parent:1OkcpifbUiC1Y6G2u5ApzxEwKzOL1_kpP%20%22R1-185-02-210-Crow%20Indian%20Tribe%20v%20United%20States.pdf%22" TargetMode="External"/><Relationship Id="rId148" Type="http://schemas.openxmlformats.org/officeDocument/2006/relationships/hyperlink" Target="https://drive.google.com/drive/search?q=parent:1OkcpifbUiC1Y6G2u5ApzxEwKzOL1_kpP%20%22R1-221-02-259-Friends%202008.pdf%22" TargetMode="External"/><Relationship Id="rId9" Type="http://schemas.openxmlformats.org/officeDocument/2006/relationships/hyperlink" Target="https://drive.google.com/drive/search?q=parent:1VmyDEdY-rZ9IfPP9oyBpoZpjcDWGggJR%20%22SP-068-Pauly%20v%20US%20Dept%20of%20Agri.pdf%22" TargetMode="External"/><Relationship Id="rId143" Type="http://schemas.openxmlformats.org/officeDocument/2006/relationships/hyperlink" Target="https://drive.google.com/drive/search?q=parent:1VmyDEdY-rZ9IfPP9oyBpoZpjcDWGggJR%20%22SP-258-FONSI.pdf%22" TargetMode="External"/><Relationship Id="rId142" Type="http://schemas.openxmlformats.org/officeDocument/2006/relationships/hyperlink" Target="https://drive.google.com/drive/search?q=parent:1OkcpifbUiC1Y6G2u5ApzxEwKzOL1_kpP%20%22R1-219-02-258-FONSI.pdf%22" TargetMode="External"/><Relationship Id="rId141" Type="http://schemas.openxmlformats.org/officeDocument/2006/relationships/hyperlink" Target="https://drive.google.com/drive/search?q=parent:1VmyDEdY-rZ9IfPP9oyBpoZpjcDWGggJR%20%22SP-258-FONSI.pdf%22" TargetMode="External"/><Relationship Id="rId140" Type="http://schemas.openxmlformats.org/officeDocument/2006/relationships/hyperlink" Target="https://drive.google.com/drive/search?q=parent:1OkcpifbUiC1Y6G2u5ApzxEwKzOL1_kpP%20%22R1-219-01-258-FONSI.pdf%22" TargetMode="External"/><Relationship Id="rId5" Type="http://schemas.openxmlformats.org/officeDocument/2006/relationships/hyperlink" Target="https://drive.google.com/drive/search?q=parent:1VmyDEdY-rZ9IfPP9oyBpoZpjcDWGggJR%20%22SP-213-Zen.pdf%22" TargetMode="External"/><Relationship Id="rId147" Type="http://schemas.openxmlformats.org/officeDocument/2006/relationships/hyperlink" Target="https://drive.google.com/drive/search?q=parent:1VmyDEdY-rZ9IfPP9oyBpoZpjcDWGggJR%20%22SP-259-Friends%202008.pdf%22" TargetMode="External"/><Relationship Id="rId6" Type="http://schemas.openxmlformats.org/officeDocument/2006/relationships/hyperlink" Target="https://drive.google.com/drive/search?q=parent:1OkcpifbUiC1Y6G2u5ApzxEwKzOL1_kpP%20%22R1-185-03-213-Zen.pdf%22" TargetMode="External"/><Relationship Id="rId146" Type="http://schemas.openxmlformats.org/officeDocument/2006/relationships/hyperlink" Target="https://drive.google.com/drive/search?q=parent:1OkcpifbUiC1Y6G2u5ApzxEwKzOL1_kpP%20%22R1-221-01-258-FONSI.pdf%22" TargetMode="External"/><Relationship Id="rId7" Type="http://schemas.openxmlformats.org/officeDocument/2006/relationships/hyperlink" Target="https://drive.google.com/drive/search?q=parent:1VmyDEdY-rZ9IfPP9oyBpoZpjcDWGggJR%20%22SP-230-Supra%20Note%20165%20and%20Accompanying%20Text.pdf%22" TargetMode="External"/><Relationship Id="rId145" Type="http://schemas.openxmlformats.org/officeDocument/2006/relationships/hyperlink" Target="https://drive.google.com/drive/search?q=parent:1VmyDEdY-rZ9IfPP9oyBpoZpjcDWGggJR%20%22SP-258-FONSI.pdf%22" TargetMode="External"/><Relationship Id="rId8" Type="http://schemas.openxmlformats.org/officeDocument/2006/relationships/hyperlink" Target="https://drive.google.com/drive/search?q=parent:1OkcpifbUiC1Y6G2u5ApzxEwKzOL1_kpP%20%22R1-186-01-230-Supra%20Note%20165%20and%20Accompanying%20Text.pdf%22" TargetMode="External"/><Relationship Id="rId144" Type="http://schemas.openxmlformats.org/officeDocument/2006/relationships/hyperlink" Target="https://drive.google.com/drive/search?q=parent:1OkcpifbUiC1Y6G2u5ApzxEwKzOL1_kpP%20%22R1-220-01-258-FONSI.pdf%22" TargetMode="External"/><Relationship Id="rId73" Type="http://schemas.openxmlformats.org/officeDocument/2006/relationships/hyperlink" Target="https://drive.google.com/drive/search?q=parent:1VmyDEdY-rZ9IfPP9oyBpoZpjcDWGggJR%20%22SP-240-Spitzer.pdf%22" TargetMode="External"/><Relationship Id="rId72" Type="http://schemas.openxmlformats.org/officeDocument/2006/relationships/hyperlink" Target="https://drive.google.com/drive/search?q=parent:1OkcpifbUiC1Y6G2u5ApzxEwKzOL1_kpP%20%22R1-199-01-239-Rabin.pdf%22" TargetMode="External"/><Relationship Id="rId75" Type="http://schemas.openxmlformats.org/officeDocument/2006/relationships/hyperlink" Target="https://drive.google.com/drive/search?q=parent:1VmyDEdY-rZ9IfPP9oyBpoZpjcDWGggJR%20%22SP-241-Stephenson.pdf%22" TargetMode="External"/><Relationship Id="rId74" Type="http://schemas.openxmlformats.org/officeDocument/2006/relationships/hyperlink" Target="https://drive.google.com/drive/search?q=parent:1OkcpifbUiC1Y6G2u5ApzxEwKzOL1_kpP%20%22R1-199-02-240-Spitzer.pdf%22" TargetMode="External"/><Relationship Id="rId77" Type="http://schemas.openxmlformats.org/officeDocument/2006/relationships/hyperlink" Target="https://drive.google.com/drive/search?q=parent:1VmyDEdY-rZ9IfPP9oyBpoZpjcDWGggJR%20%22SP-016-Developments.pdf%22" TargetMode="External"/><Relationship Id="rId76" Type="http://schemas.openxmlformats.org/officeDocument/2006/relationships/hyperlink" Target="https://drive.google.com/drive/search?q=parent:1OkcpifbUiC1Y6G2u5ApzxEwKzOL1_kpP%20%22R1-199-03-241-Stephenson.pdf%22" TargetMode="External"/><Relationship Id="rId79" Type="http://schemas.openxmlformats.org/officeDocument/2006/relationships/hyperlink" Target="https://drive.google.com/drive/search?q=parent:1VmyDEdY-rZ9IfPP9oyBpoZpjcDWGggJR%20%22SP-242-Postell.pdf%22" TargetMode="External"/><Relationship Id="rId78" Type="http://schemas.openxmlformats.org/officeDocument/2006/relationships/hyperlink" Target="https://drive.google.com/drive/search?q=parent:1OkcpifbUiC1Y6G2u5ApzxEwKzOL1_kpP%20%22R1-200-01-016-Developments.pdf%22" TargetMode="External"/><Relationship Id="rId71" Type="http://schemas.openxmlformats.org/officeDocument/2006/relationships/hyperlink" Target="https://drive.google.com/drive/search?q=parent:1VmyDEdY-rZ9IfPP9oyBpoZpjcDWGggJR%20%22SP-239-Rabin.pdf%22" TargetMode="External"/><Relationship Id="rId70" Type="http://schemas.openxmlformats.org/officeDocument/2006/relationships/hyperlink" Target="https://drive.google.com/drive/search?q=parent:1OkcpifbUiC1Y6G2u5ApzxEwKzOL1_kpP%20%22R1-198-06-180-BHD%20of%20Maint%20of%20Way%20Emps%20v%20Consol%20Rail%20Corp.pdf%22" TargetMode="External"/><Relationship Id="rId139" Type="http://schemas.openxmlformats.org/officeDocument/2006/relationships/hyperlink" Target="https://drive.google.com/drive/search?q=parent:1VmyDEdY-rZ9IfPP9oyBpoZpjcDWGggJR%20%22SP-258-FONSI.pdf%22" TargetMode="External"/><Relationship Id="rId138" Type="http://schemas.openxmlformats.org/officeDocument/2006/relationships/hyperlink" Target="https://drive.google.com/drive/search?q=parent:1OkcpifbUiC1Y6G2u5ApzxEwKzOL1_kpP%20%22R1-218-01-005-Friends%20of%20Hope%20Valley%20v%20US%20Forest%20Service.pdf%22" TargetMode="External"/><Relationship Id="rId137" Type="http://schemas.openxmlformats.org/officeDocument/2006/relationships/hyperlink" Target="https://drive.google.com/drive/search?q=parent:1VmyDEdY-rZ9IfPP9oyBpoZpjcDWGggJR%20%22SP-005-Friends%20of%20Hope%20Valley%20v%20US%20Forest%20Service.pdf%22" TargetMode="External"/><Relationship Id="rId132" Type="http://schemas.openxmlformats.org/officeDocument/2006/relationships/hyperlink" Target="https://drive.google.com/drive/search?q=parent:1OkcpifbUiC1Y6G2u5ApzxEwKzOL1_kpP%20%22R1-215-01-256-Infra%20Notes%20244-250%20and%20Accompanying%20Text.pdf%22" TargetMode="External"/><Relationship Id="rId131" Type="http://schemas.openxmlformats.org/officeDocument/2006/relationships/hyperlink" Target="https://drive.google.com/drive/search?q=parent:1VmyDEdY-rZ9IfPP9oyBpoZpjcDWGggJR%20%22SP-256-Infra%20Notes%20244-250%20and%20Accompanying%20Text.pdf%22" TargetMode="External"/><Relationship Id="rId130" Type="http://schemas.openxmlformats.org/officeDocument/2006/relationships/hyperlink" Target="https://drive.google.com/drive/search?q=parent:1OkcpifbUiC1Y6G2u5ApzxEwKzOL1_kpP%20%22R1-214-01-004-Memorandum.pdf%22" TargetMode="External"/><Relationship Id="rId136" Type="http://schemas.openxmlformats.org/officeDocument/2006/relationships/hyperlink" Target="https://drive.google.com/drive/search?q=parent:1OkcpifbUiC1Y6G2u5ApzxEwKzOL1_kpP%20%22R1-217-01-005-Friends%20of%20Hope%20Valley%20v%20US%20Forest%20Service.pdf%22" TargetMode="External"/><Relationship Id="rId135" Type="http://schemas.openxmlformats.org/officeDocument/2006/relationships/hyperlink" Target="https://drive.google.com/drive/search?q=parent:1VmyDEdY-rZ9IfPP9oyBpoZpjcDWGggJR%20%22SP-005-Friends%20of%20Hope%20Valley%20v%20US%20Forest%20Service.pdf%22" TargetMode="External"/><Relationship Id="rId134" Type="http://schemas.openxmlformats.org/officeDocument/2006/relationships/hyperlink" Target="https://drive.google.com/drive/search?q=parent:1OkcpifbUiC1Y6G2u5ApzxEwKzOL1_kpP%20%22R1-216-01-257-Brief.pdf%22" TargetMode="External"/><Relationship Id="rId133" Type="http://schemas.openxmlformats.org/officeDocument/2006/relationships/hyperlink" Target="https://drive.google.com/drive/search?q=parent:1VmyDEdY-rZ9IfPP9oyBpoZpjcDWGggJR%20%22SP-257-Brief.pdf%22" TargetMode="External"/><Relationship Id="rId62" Type="http://schemas.openxmlformats.org/officeDocument/2006/relationships/hyperlink" Target="https://drive.google.com/drive/search?q=parent:1OkcpifbUiC1Y6G2u5ApzxEwKzOL1_kpP%20%22R1-198-02-166-Sierra%20Club%20v%20US%20Dep't%20of%20Agric.pdf%22" TargetMode="External"/><Relationship Id="rId61" Type="http://schemas.openxmlformats.org/officeDocument/2006/relationships/hyperlink" Target="https://drive.google.com/drive/search?q=parent:1VmyDEdY-rZ9IfPP9oyBpoZpjcDWGggJR%20%22SP-166-Sierra%20Club%20v%20US%20Dep't%20of%20Agric.pdf%22" TargetMode="External"/><Relationship Id="rId64" Type="http://schemas.openxmlformats.org/officeDocument/2006/relationships/hyperlink" Target="https://drive.google.com/drive/search?q=parent:1OkcpifbUiC1Y6G2u5ApzxEwKzOL1_kpP%20%22R1-198-03-153-Nat'l%20Air%20Traffic%20Controllers.pdf%22" TargetMode="External"/><Relationship Id="rId63" Type="http://schemas.openxmlformats.org/officeDocument/2006/relationships/hyperlink" Target="https://drive.google.com/drive/search?q=parent:1VmyDEdY-rZ9IfPP9oyBpoZpjcDWGggJR%20%22SP-153-Nat'l%20Air%20Traffic%20Controllers.pdf%22" TargetMode="External"/><Relationship Id="rId66" Type="http://schemas.openxmlformats.org/officeDocument/2006/relationships/hyperlink" Target="https://drive.google.com/drive/search?q=parent:1OkcpifbUiC1Y6G2u5ApzxEwKzOL1_kpP%20%22R1-198-04-169-Lake%20Pilots%20Ass'n%20v%20US%20Coast%20Guard.pdf%22" TargetMode="External"/><Relationship Id="rId65" Type="http://schemas.openxmlformats.org/officeDocument/2006/relationships/hyperlink" Target="https://drive.google.com/drive/search?q=parent:1VmyDEdY-rZ9IfPP9oyBpoZpjcDWGggJR%20%22SP-169-Lake%20Pilots%20Ass'n%20v%20US%20Coast%20Guard.pdf%22" TargetMode="External"/><Relationship Id="rId68" Type="http://schemas.openxmlformats.org/officeDocument/2006/relationships/hyperlink" Target="https://drive.google.com/drive/search?q=parent:1OkcpifbUiC1Y6G2u5ApzxEwKzOL1_kpP%20%22R1-198-05-146-Occidental%20Petroleum%20Corp.pdf%22" TargetMode="External"/><Relationship Id="rId67" Type="http://schemas.openxmlformats.org/officeDocument/2006/relationships/hyperlink" Target="https://drive.google.com/drive/search?q=parent:1VmyDEdY-rZ9IfPP9oyBpoZpjcDWGggJR%20%22SP-146-Occidental%20Petroleum%20Corp.pdf%22" TargetMode="External"/><Relationship Id="rId60" Type="http://schemas.openxmlformats.org/officeDocument/2006/relationships/hyperlink" Target="https://drive.google.com/drive/search?q=parent:1OkcpifbUiC1Y6G2u5ApzxEwKzOL1_kpP%20%22R1-198-01-224-Rocky%20MTN%20Unpublished.pdf%22" TargetMode="External"/><Relationship Id="rId69" Type="http://schemas.openxmlformats.org/officeDocument/2006/relationships/hyperlink" Target="https://drive.google.com/drive/search?q=parent:1VmyDEdY-rZ9IfPP9oyBpoZpjcDWGggJR%20%22SP-180-BHD%20of%20Maint%20of%20Way%20Emps%20v%20Consol%20Rail%20Corp.pdf%22" TargetMode="External"/><Relationship Id="rId51" Type="http://schemas.openxmlformats.org/officeDocument/2006/relationships/hyperlink" Target="https://drive.google.com/drive/search?q=parent:1VmyDEdY-rZ9IfPP9oyBpoZpjcDWGggJR%20%22SP-009-Infra%20Part%20IB.pdf%22" TargetMode="External"/><Relationship Id="rId50" Type="http://schemas.openxmlformats.org/officeDocument/2006/relationships/hyperlink" Target="https://drive.google.com/drive/search?q=parent:1OkcpifbUiC1Y6G2u5ApzxEwKzOL1_kpP%20%22R1-195-01-238-Johnsen.pdf%22" TargetMode="External"/><Relationship Id="rId53" Type="http://schemas.openxmlformats.org/officeDocument/2006/relationships/hyperlink" Target="https://drive.google.com/drive/search?q=parent:1VmyDEdY-rZ9IfPP9oyBpoZpjcDWGggJR%20%22SP-022-Lammon%20Dizzying.pdf%22" TargetMode="External"/><Relationship Id="rId52" Type="http://schemas.openxmlformats.org/officeDocument/2006/relationships/hyperlink" Target="https://drive.google.com/drive/search?q=parent:1OkcpifbUiC1Y6G2u5ApzxEwKzOL1_kpP%20%22R1-196-01-009-Infra%20Part%20IB.pdf%22" TargetMode="External"/><Relationship Id="rId55" Type="http://schemas.openxmlformats.org/officeDocument/2006/relationships/hyperlink" Target="https://drive.google.com/drive/search?q=parent:1VmyDEdY-rZ9IfPP9oyBpoZpjcDWGggJR%20%22SP-022-Lammon%20Dizzying.pdf%22" TargetMode="External"/><Relationship Id="rId54" Type="http://schemas.openxmlformats.org/officeDocument/2006/relationships/hyperlink" Target="https://drive.google.com/drive/search?q=parent:1OkcpifbUiC1Y6G2u5ApzxEwKzOL1_kpP%20%22R1-196-02-022-Lammon%20Dizzying.pdf%22" TargetMode="External"/><Relationship Id="rId57" Type="http://schemas.openxmlformats.org/officeDocument/2006/relationships/hyperlink" Target="https://drive.google.com/drive/search?q=parent:1VmyDEdY-rZ9IfPP9oyBpoZpjcDWGggJR%20%22SP-009-Infra%20Part%20IB.pdf%22" TargetMode="External"/><Relationship Id="rId56" Type="http://schemas.openxmlformats.org/officeDocument/2006/relationships/hyperlink" Target="https://drive.google.com/drive/search?q=parent:1OkcpifbUiC1Y6G2u5ApzxEwKzOL1_kpP%20%22R1-196-03-022-Lammon%20Dizzying.pdf%22" TargetMode="External"/><Relationship Id="rId59" Type="http://schemas.openxmlformats.org/officeDocument/2006/relationships/hyperlink" Target="https://drive.google.com/drive/search?q=parent:1VmyDEdY-rZ9IfPP9oyBpoZpjcDWGggJR%20%22SP-224-Rocky%20MTN%20Unpublished.pdf%22" TargetMode="External"/><Relationship Id="rId154" Type="http://schemas.openxmlformats.org/officeDocument/2006/relationships/hyperlink" Target="https://drive.google.com/drive/search?q=parent:1OkcpifbUiC1Y6G2u5ApzxEwKzOL1_kpP%20%22R1-224-01-262-Supra%20Notes%20184-185%20and%20Accompanying%20Text.pdf%22" TargetMode="External"/><Relationship Id="rId58" Type="http://schemas.openxmlformats.org/officeDocument/2006/relationships/hyperlink" Target="https://drive.google.com/drive/search?q=parent:1OkcpifbUiC1Y6G2u5ApzxEwKzOL1_kpP%20%22R1-197-01-009-Infra%20Part%20IB.pdf%22" TargetMode="External"/><Relationship Id="rId153" Type="http://schemas.openxmlformats.org/officeDocument/2006/relationships/hyperlink" Target="https://drive.google.com/drive/search?q=parent:1VmyDEdY-rZ9IfPP9oyBpoZpjcDWGggJR%20%22SP-262-Supra%20Notes%20184-185%20and%20Accompanying%20Text.pdf%22" TargetMode="External"/><Relationship Id="rId152" Type="http://schemas.openxmlformats.org/officeDocument/2006/relationships/hyperlink" Target="https://drive.google.com/drive/search?q=parent:1OkcpifbUiC1Y6G2u5ApzxEwKzOL1_kpP%20%22R1-223-01-261-USDA.pdf%22" TargetMode="External"/><Relationship Id="rId151" Type="http://schemas.openxmlformats.org/officeDocument/2006/relationships/hyperlink" Target="https://drive.google.com/drive/search?q=parent:1VmyDEdY-rZ9IfPP9oyBpoZpjcDWGggJR%20%22SP-261-USDA.pdf%22" TargetMode="External"/><Relationship Id="rId155" Type="http://schemas.openxmlformats.org/officeDocument/2006/relationships/drawing" Target="../drawings/drawing12.xml"/><Relationship Id="rId107" Type="http://schemas.openxmlformats.org/officeDocument/2006/relationships/hyperlink" Target="https://drive.google.com/drive/search?q=parent:1VmyDEdY-rZ9IfPP9oyBpoZpjcDWGggJR%20%22SP-251-Prusak.pdf%22" TargetMode="External"/><Relationship Id="rId106" Type="http://schemas.openxmlformats.org/officeDocument/2006/relationships/hyperlink" Target="https://drive.google.com/drive/search?q=parent:1OkcpifbUiC1Y6G2u5ApzxEwKzOL1_kpP%20%22R1-204-02-055-Bagley.pdf%22" TargetMode="External"/><Relationship Id="rId105" Type="http://schemas.openxmlformats.org/officeDocument/2006/relationships/hyperlink" Target="https://drive.google.com/drive/search?q=parent:1VmyDEdY-rZ9IfPP9oyBpoZpjcDWGggJR%20%22SP-055-Bagley.pdf%22" TargetMode="External"/><Relationship Id="rId104" Type="http://schemas.openxmlformats.org/officeDocument/2006/relationships/hyperlink" Target="https://drive.google.com/drive/search?q=parent:1OkcpifbUiC1Y6G2u5ApzxEwKzOL1_kpP%20%22R1-204-01-248-Barkow.pdf%22" TargetMode="External"/><Relationship Id="rId109" Type="http://schemas.openxmlformats.org/officeDocument/2006/relationships/hyperlink" Target="https://drive.google.com/drive/search?q=parent:1VmyDEdY-rZ9IfPP9oyBpoZpjcDWGggJR%20%22SP-252-Hilary.pdf%22" TargetMode="External"/><Relationship Id="rId108" Type="http://schemas.openxmlformats.org/officeDocument/2006/relationships/hyperlink" Target="https://drive.google.com/drive/search?q=parent:1OkcpifbUiC1Y6G2u5ApzxEwKzOL1_kpP%20%22R1-205-01-251-Prusak.pdf%22" TargetMode="External"/><Relationship Id="rId103" Type="http://schemas.openxmlformats.org/officeDocument/2006/relationships/hyperlink" Target="https://drive.google.com/drive/search?q=parent:1VmyDEdY-rZ9IfPP9oyBpoZpjcDWGggJR%20%22SP-248-Barkow.pdf%22" TargetMode="External"/><Relationship Id="rId102" Type="http://schemas.openxmlformats.org/officeDocument/2006/relationships/hyperlink" Target="https://drive.google.com/drive/search?q=parent:1OkcpifbUiC1Y6G2u5ApzxEwKzOL1_kpP%20%22R1-203-02-248-Barkow.pdf%22" TargetMode="External"/><Relationship Id="rId101" Type="http://schemas.openxmlformats.org/officeDocument/2006/relationships/hyperlink" Target="https://drive.google.com/drive/search?q=parent:1VmyDEdY-rZ9IfPP9oyBpoZpjcDWGggJR%20%22SP-248-Barkow.pdf%22" TargetMode="External"/><Relationship Id="rId100" Type="http://schemas.openxmlformats.org/officeDocument/2006/relationships/hyperlink" Target="https://drive.google.com/drive/search?q=parent:1OkcpifbUiC1Y6G2u5ApzxEwKzOL1_kpP%20%22R1-203-01-250-Farber.pdf%22" TargetMode="External"/><Relationship Id="rId129" Type="http://schemas.openxmlformats.org/officeDocument/2006/relationships/hyperlink" Target="https://drive.google.com/drive/search?q=parent:1VmyDEdY-rZ9IfPP9oyBpoZpjcDWGggJR%20%22SP-004-Memorandum.pdf%22" TargetMode="External"/><Relationship Id="rId128" Type="http://schemas.openxmlformats.org/officeDocument/2006/relationships/hyperlink" Target="https://drive.google.com/drive/search?q=parent:1OkcpifbUiC1Y6G2u5ApzxEwKzOL1_kpP%20%22R1-213-02-004-Memorandum.pdf%22" TargetMode="External"/><Relationship Id="rId127" Type="http://schemas.openxmlformats.org/officeDocument/2006/relationships/hyperlink" Target="https://drive.google.com/drive/search?q=parent:1VmyDEdY-rZ9IfPP9oyBpoZpjcDWGggJR%20%22SP-004-Memorandum.pdf%22" TargetMode="External"/><Relationship Id="rId126" Type="http://schemas.openxmlformats.org/officeDocument/2006/relationships/hyperlink" Target="https://drive.google.com/drive/search?q=parent:1OkcpifbUiC1Y6G2u5ApzxEwKzOL1_kpP%20%22R1-213-01-255-Complaint.pdf%22" TargetMode="External"/><Relationship Id="rId121" Type="http://schemas.openxmlformats.org/officeDocument/2006/relationships/hyperlink" Target="https://drive.google.com/drive/search?q=parent:1VmyDEdY-rZ9IfPP9oyBpoZpjcDWGggJR%20%22SP-254-42%20USC%204321.pdf%22" TargetMode="External"/><Relationship Id="rId120" Type="http://schemas.openxmlformats.org/officeDocument/2006/relationships/hyperlink" Target="https://drive.google.com/drive/search?q=parent:1OkcpifbUiC1Y6G2u5ApzxEwKzOL1_kpP%20%22R1-210-01-253-Associated.pdf%22" TargetMode="External"/><Relationship Id="rId125" Type="http://schemas.openxmlformats.org/officeDocument/2006/relationships/hyperlink" Target="https://drive.google.com/drive/search?q=parent:1VmyDEdY-rZ9IfPP9oyBpoZpjcDWGggJR%20%22SP-255-Complaint.pdf%22" TargetMode="External"/><Relationship Id="rId124" Type="http://schemas.openxmlformats.org/officeDocument/2006/relationships/hyperlink" Target="https://drive.google.com/drive/search?q=parent:1OkcpifbUiC1Y6G2u5ApzxEwKzOL1_kpP%20%22R1-212-01-004-Memorandum.pdf%22" TargetMode="External"/><Relationship Id="rId123" Type="http://schemas.openxmlformats.org/officeDocument/2006/relationships/hyperlink" Target="https://drive.google.com/drive/search?q=parent:1VmyDEdY-rZ9IfPP9oyBpoZpjcDWGggJR%20%22SP-004-Memorandum.pdf%22" TargetMode="External"/><Relationship Id="rId122" Type="http://schemas.openxmlformats.org/officeDocument/2006/relationships/hyperlink" Target="https://drive.google.com/drive/search?q=parent:1OkcpifbUiC1Y6G2u5ApzxEwKzOL1_kpP%20%22R1-211-01-254-42%20USC%204321.pdf%22" TargetMode="External"/><Relationship Id="rId95" Type="http://schemas.openxmlformats.org/officeDocument/2006/relationships/hyperlink" Target="https://drive.google.com/drive/search?q=parent:1VmyDEdY-rZ9IfPP9oyBpoZpjcDWGggJR%20%22SP-055-Bagley.pdf%22" TargetMode="External"/><Relationship Id="rId94" Type="http://schemas.openxmlformats.org/officeDocument/2006/relationships/hyperlink" Target="https://drive.google.com/drive/search?q=parent:1OkcpifbUiC1Y6G2u5ApzxEwKzOL1_kpP%20%22R1-202-01-248-Barkow.pdf%22" TargetMode="External"/><Relationship Id="rId97" Type="http://schemas.openxmlformats.org/officeDocument/2006/relationships/hyperlink" Target="https://drive.google.com/drive/search?q=parent:1VmyDEdY-rZ9IfPP9oyBpoZpjcDWGggJR%20%22SP-249-M.pdf%22" TargetMode="External"/><Relationship Id="rId96" Type="http://schemas.openxmlformats.org/officeDocument/2006/relationships/hyperlink" Target="https://drive.google.com/drive/search?q=parent:1OkcpifbUiC1Y6G2u5ApzxEwKzOL1_kpP%20%22R1-202-02-055-Bagley.pdf%22" TargetMode="External"/><Relationship Id="rId99" Type="http://schemas.openxmlformats.org/officeDocument/2006/relationships/hyperlink" Target="https://drive.google.com/drive/search?q=parent:1VmyDEdY-rZ9IfPP9oyBpoZpjcDWGggJR%20%22SP-250-Farber.pdf%22" TargetMode="External"/><Relationship Id="rId98" Type="http://schemas.openxmlformats.org/officeDocument/2006/relationships/hyperlink" Target="https://drive.google.com/drive/search?q=parent:1OkcpifbUiC1Y6G2u5ApzxEwKzOL1_kpP%20%22R1-202-03-249-M.pdf%22" TargetMode="External"/><Relationship Id="rId91" Type="http://schemas.openxmlformats.org/officeDocument/2006/relationships/hyperlink" Target="https://drive.google.com/drive/search?q=parent:1VmyDEdY-rZ9IfPP9oyBpoZpjcDWGggJR%20%22SP-247-Infra%20Notes%20273-277%20and%20Accompanying%20Text.pdf%22" TargetMode="External"/><Relationship Id="rId90" Type="http://schemas.openxmlformats.org/officeDocument/2006/relationships/hyperlink" Target="https://drive.google.com/drive/search?q=parent:1OkcpifbUiC1Y6G2u5ApzxEwKzOL1_kpP%20%22R1-201-01-246-Vertesch.pdf%22" TargetMode="External"/><Relationship Id="rId93" Type="http://schemas.openxmlformats.org/officeDocument/2006/relationships/hyperlink" Target="https://drive.google.com/drive/search?q=parent:1VmyDEdY-rZ9IfPP9oyBpoZpjcDWGggJR%20%22SP-248-Barkow.pdf%22" TargetMode="External"/><Relationship Id="rId92" Type="http://schemas.openxmlformats.org/officeDocument/2006/relationships/hyperlink" Target="https://drive.google.com/drive/search?q=parent:1OkcpifbUiC1Y6G2u5ApzxEwKzOL1_kpP%20%22R1-201-02-247-Infra%20Notes%20273-277%20and%20Accompanying%20Text.pdf%22" TargetMode="External"/><Relationship Id="rId118" Type="http://schemas.openxmlformats.org/officeDocument/2006/relationships/hyperlink" Target="https://drive.google.com/drive/search?q=parent:1OkcpifbUiC1Y6G2u5ApzxEwKzOL1_kpP%20%22R1-209-01-004-Memorandum.pdf%22" TargetMode="External"/><Relationship Id="rId117" Type="http://schemas.openxmlformats.org/officeDocument/2006/relationships/hyperlink" Target="https://drive.google.com/drive/search?q=parent:1VmyDEdY-rZ9IfPP9oyBpoZpjcDWGggJR%20%22SP-004-Memorandum.pdf%22" TargetMode="External"/><Relationship Id="rId116" Type="http://schemas.openxmlformats.org/officeDocument/2006/relationships/hyperlink" Target="https://drive.google.com/drive/search?q=parent:1OkcpifbUiC1Y6G2u5ApzxEwKzOL1_kpP%20%22R1-208-01-004-Memorandum.pdf%22" TargetMode="External"/><Relationship Id="rId115" Type="http://schemas.openxmlformats.org/officeDocument/2006/relationships/hyperlink" Target="https://drive.google.com/drive/search?q=parent:1VmyDEdY-rZ9IfPP9oyBpoZpjcDWGggJR%20%22SP-004-Memorandum.pdf%22" TargetMode="External"/><Relationship Id="rId119" Type="http://schemas.openxmlformats.org/officeDocument/2006/relationships/hyperlink" Target="https://drive.google.com/drive/search?q=parent:1VmyDEdY-rZ9IfPP9oyBpoZpjcDWGggJR%20%22SP-253-Associated.pdf%22" TargetMode="External"/><Relationship Id="rId110" Type="http://schemas.openxmlformats.org/officeDocument/2006/relationships/hyperlink" Target="https://drive.google.com/drive/search?q=parent:1OkcpifbUiC1Y6G2u5ApzxEwKzOL1_kpP%20%22R1-205-02-252-Hilary.pdf%22" TargetMode="External"/><Relationship Id="rId114" Type="http://schemas.openxmlformats.org/officeDocument/2006/relationships/hyperlink" Target="https://drive.google.com/drive/search?q=parent:1OkcpifbUiC1Y6G2u5ApzxEwKzOL1_kpP%20%22R1-207-01-004-Memorandum.pdf%22" TargetMode="External"/><Relationship Id="rId113" Type="http://schemas.openxmlformats.org/officeDocument/2006/relationships/hyperlink" Target="https://drive.google.com/drive/search?q=parent:1VmyDEdY-rZ9IfPP9oyBpoZpjcDWGggJR%20%22SP-004-Memorandum.pdf%22" TargetMode="External"/><Relationship Id="rId112" Type="http://schemas.openxmlformats.org/officeDocument/2006/relationships/hyperlink" Target="https://drive.google.com/drive/search?q=parent:1OkcpifbUiC1Y6G2u5ApzxEwKzOL1_kpP%20%22R1-206-01-004-Memorandum.pdf%22" TargetMode="External"/><Relationship Id="rId111" Type="http://schemas.openxmlformats.org/officeDocument/2006/relationships/hyperlink" Target="https://drive.google.com/drive/search?q=parent:1VmyDEdY-rZ9IfPP9oyBpoZpjcDWGggJR%20%22SP-004-Memorandum.pdf%22" TargetMode="External"/></Relationships>
</file>

<file path=xl/worksheets/_rels/sheet13.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238-01-232-Chang%20v%20United%20States.pdf%22" TargetMode="External"/><Relationship Id="rId42" Type="http://schemas.openxmlformats.org/officeDocument/2006/relationships/hyperlink" Target="https://drive.google.com/drive/search?q=parent:1OkcpifbUiC1Y6G2u5ApzxEwKzOL1_kpP%20%22R1-239-01-204-Sierra%20Forest%20Legacy%20v%20Sherman.pdf%22" TargetMode="External"/><Relationship Id="rId41" Type="http://schemas.openxmlformats.org/officeDocument/2006/relationships/hyperlink" Target="https://drive.google.com/drive/search?q=parent:1VmyDEdY-rZ9IfPP9oyBpoZpjcDWGggJR%20%22SP-204-Sierra%20Forest%20Legacy%20v%20Sherman.pdf%22" TargetMode="External"/><Relationship Id="rId44" Type="http://schemas.openxmlformats.org/officeDocument/2006/relationships/hyperlink" Target="https://drive.google.com/drive/search?q=parent:1OkcpifbUiC1Y6G2u5ApzxEwKzOL1_kpP%20%22R1-240-01-204-Sierra%20Forest%20Legacy%20v%20Sherman.pdf%22" TargetMode="External"/><Relationship Id="rId43" Type="http://schemas.openxmlformats.org/officeDocument/2006/relationships/hyperlink" Target="https://drive.google.com/drive/search?q=parent:1VmyDEdY-rZ9IfPP9oyBpoZpjcDWGggJR%20%22SP-204-Sierra%20Forest%20Legacy%20v%20Sherman.pdf%22" TargetMode="External"/><Relationship Id="rId46" Type="http://schemas.openxmlformats.org/officeDocument/2006/relationships/hyperlink" Target="https://drive.google.com/drive/search?q=parent:1OkcpifbUiC1Y6G2u5ApzxEwKzOL1_kpP%20%22R1-241-01-104-In%20Re%20Long-Distance%20Tel%20Serv%20Fed%20Excise%20Tax%20Refund%20Litig.pdf%22" TargetMode="External"/><Relationship Id="rId45" Type="http://schemas.openxmlformats.org/officeDocument/2006/relationships/hyperlink" Target="https://drive.google.com/drive/search?q=parent:1VmyDEdY-rZ9IfPP9oyBpoZpjcDWGggJR%20%22SP-104-In%20Re%20Long-Distance%20Tel%20Serv%20Fed%20Excise%20Tax%20Refund%20Litig.pdf%22" TargetMode="External"/><Relationship Id="rId48" Type="http://schemas.openxmlformats.org/officeDocument/2006/relationships/hyperlink" Target="https://drive.google.com/drive/search?q=parent:1OkcpifbUiC1Y6G2u5ApzxEwKzOL1_kpP%20%22R1-242-01-266-Supra%20Notes%20136-137%20and%20Accompanying%20Text.pdf%22" TargetMode="External"/><Relationship Id="rId47" Type="http://schemas.openxmlformats.org/officeDocument/2006/relationships/hyperlink" Target="https://drive.google.com/drive/search?q=parent:1VmyDEdY-rZ9IfPP9oyBpoZpjcDWGggJR%20%22SP-266-Supra%20Notes%20136-137%20and%20Accompanying%20Text.pdf%22" TargetMode="External"/><Relationship Id="rId49" Type="http://schemas.openxmlformats.org/officeDocument/2006/relationships/hyperlink" Target="https://drive.google.com/drive/search?q=parent:1VmyDEdY-rZ9IfPP9oyBpoZpjcDWGggJR%20%22SP-267-Supra%20Notes%20219-223%20and%20Accompanying%20Text.pdf%22" TargetMode="External"/><Relationship Id="rId31" Type="http://schemas.openxmlformats.org/officeDocument/2006/relationships/hyperlink" Target="https://drive.google.com/drive/search?q=parent:1VmyDEdY-rZ9IfPP9oyBpoZpjcDWGggJR%20%22SP-204-Sierra%20Forest%20Legacy%20v%20Sherman.pdf%22" TargetMode="External"/><Relationship Id="rId30" Type="http://schemas.openxmlformats.org/officeDocument/2006/relationships/hyperlink" Target="https://drive.google.com/drive/search?q=parent:1OkcpifbUiC1Y6G2u5ApzxEwKzOL1_kpP%20%22R1-234-01-204-Sierra%20Forest%20Legacy%20v%20Sherman.pdf%22" TargetMode="External"/><Relationship Id="rId33" Type="http://schemas.openxmlformats.org/officeDocument/2006/relationships/hyperlink" Target="https://drive.google.com/drive/search?q=parent:1VmyDEdY-rZ9IfPP9oyBpoZpjcDWGggJR%20%22SP-180-BHD%20of%20Maint%20of%20Way%20Emps%20v%20Consol%20Rail%20Corp.pdf%22" TargetMode="External"/><Relationship Id="rId32" Type="http://schemas.openxmlformats.org/officeDocument/2006/relationships/hyperlink" Target="https://drive.google.com/drive/search?q=parent:1OkcpifbUiC1Y6G2u5ApzxEwKzOL1_kpP%20%22R1-235-01-204-Sierra%20Forest%20Legacy%20v%20Sherman.pdf%22" TargetMode="External"/><Relationship Id="rId35" Type="http://schemas.openxmlformats.org/officeDocument/2006/relationships/hyperlink" Target="https://drive.google.com/drive/search?q=parent:1VmyDEdY-rZ9IfPP9oyBpoZpjcDWGggJR%20%22SP-104-In%20Re%20Long-Distance%20Tel%20Serv%20Fed%20Excise%20Tax%20Refund%20Litig.pdf%22" TargetMode="External"/><Relationship Id="rId34" Type="http://schemas.openxmlformats.org/officeDocument/2006/relationships/hyperlink" Target="https://drive.google.com/drive/search?q=parent:1OkcpifbUiC1Y6G2u5ApzxEwKzOL1_kpP%20%22R1-235-02-180-BHD%20of%20Maint%20of%20Way%20Emps%20v%20Consol%20Rail%20Corp.pdf%22" TargetMode="External"/><Relationship Id="rId37" Type="http://schemas.openxmlformats.org/officeDocument/2006/relationships/hyperlink" Target="https://drive.google.com/drive/search?q=parent:1VmyDEdY-rZ9IfPP9oyBpoZpjcDWGggJR%20%22SP-211-Skagit%20Cnty.pdf%22" TargetMode="External"/><Relationship Id="rId36" Type="http://schemas.openxmlformats.org/officeDocument/2006/relationships/hyperlink" Target="https://drive.google.com/drive/search?q=parent:1OkcpifbUiC1Y6G2u5ApzxEwKzOL1_kpP%20%22R1-236-01-104-In%20Re%20Long-Distance%20Tel%20Serv%20Fed%20Excise%20Tax%20Refund%20Litig.pdf%22" TargetMode="External"/><Relationship Id="rId39" Type="http://schemas.openxmlformats.org/officeDocument/2006/relationships/hyperlink" Target="https://drive.google.com/drive/search?q=parent:1VmyDEdY-rZ9IfPP9oyBpoZpjcDWGggJR%20%22SP-232-Chang%20v%20United%20States.pdf%22" TargetMode="External"/><Relationship Id="rId38" Type="http://schemas.openxmlformats.org/officeDocument/2006/relationships/hyperlink" Target="https://drive.google.com/drive/search?q=parent:1OkcpifbUiC1Y6G2u5ApzxEwKzOL1_kpP%20%22R1-237-01-211-Skagit%20Cnty.pdf%22" TargetMode="External"/><Relationship Id="rId20" Type="http://schemas.openxmlformats.org/officeDocument/2006/relationships/hyperlink" Target="https://drive.google.com/drive/search?q=parent:1OkcpifbUiC1Y6G2u5ApzxEwKzOL1_kpP%20%22R1-230-01-211-Skagit%20Cnty.pdf%22" TargetMode="External"/><Relationship Id="rId22" Type="http://schemas.openxmlformats.org/officeDocument/2006/relationships/hyperlink" Target="https://drive.google.com/drive/search?q=parent:1OkcpifbUiC1Y6G2u5ApzxEwKzOL1_kpP%20%22R1-231-01-211-Skagit%20Cnty.pdf%22" TargetMode="External"/><Relationship Id="rId21" Type="http://schemas.openxmlformats.org/officeDocument/2006/relationships/hyperlink" Target="https://drive.google.com/drive/search?q=parent:1VmyDEdY-rZ9IfPP9oyBpoZpjcDWGggJR%20%22SP-211-Skagit%20Cnty.pdf%22" TargetMode="External"/><Relationship Id="rId24" Type="http://schemas.openxmlformats.org/officeDocument/2006/relationships/hyperlink" Target="https://drive.google.com/drive/search?q=parent:1OkcpifbUiC1Y6G2u5ApzxEwKzOL1_kpP%20%22R1-232-01-232-Chang%20v%20United%20States.pdf%22" TargetMode="External"/><Relationship Id="rId23" Type="http://schemas.openxmlformats.org/officeDocument/2006/relationships/hyperlink" Target="https://drive.google.com/drive/search?q=parent:1VmyDEdY-rZ9IfPP9oyBpoZpjcDWGggJR%20%22SP-232-Chang%20v%20United%20States.pdf%22" TargetMode="External"/><Relationship Id="rId26" Type="http://schemas.openxmlformats.org/officeDocument/2006/relationships/hyperlink" Target="https://drive.google.com/drive/search?q=parent:1OkcpifbUiC1Y6G2u5ApzxEwKzOL1_kpP%20%22R1-232-02-232-Chang%20v%20United%20States.pdf%22" TargetMode="External"/><Relationship Id="rId25" Type="http://schemas.openxmlformats.org/officeDocument/2006/relationships/hyperlink" Target="https://drive.google.com/drive/search?q=parent:1VmyDEdY-rZ9IfPP9oyBpoZpjcDWGggJR%20%22SP-232-Chang%20v%20United%20States.pdf%22" TargetMode="External"/><Relationship Id="rId28" Type="http://schemas.openxmlformats.org/officeDocument/2006/relationships/hyperlink" Target="https://drive.google.com/drive/search?q=parent:1OkcpifbUiC1Y6G2u5ApzxEwKzOL1_kpP%20%22R1-233-01-205-United%20States%20v%20US%20Bd%20of%20Water%20Comm'rs.pdf%22" TargetMode="External"/><Relationship Id="rId27" Type="http://schemas.openxmlformats.org/officeDocument/2006/relationships/hyperlink" Target="https://drive.google.com/drive/search?q=parent:1VmyDEdY-rZ9IfPP9oyBpoZpjcDWGggJR%20%22SP-205-United%20States%20v%20US%20Bd%20of%20Water%20Comm'rs.pdf%22" TargetMode="External"/><Relationship Id="rId29" Type="http://schemas.openxmlformats.org/officeDocument/2006/relationships/hyperlink" Target="https://drive.google.com/drive/search?q=parent:1VmyDEdY-rZ9IfPP9oyBpoZpjcDWGggJR%20%22SP-204-Sierra%20Forest%20Legacy%20v%20Sherman.pdf%22" TargetMode="External"/><Relationship Id="rId11" Type="http://schemas.openxmlformats.org/officeDocument/2006/relationships/hyperlink" Target="https://drive.google.com/drive/search?q=parent:1VmyDEdY-rZ9IfPP9oyBpoZpjcDWGggJR%20%22SP-223-S%20Utah%20Wilderness%20Alliance%20v%20Kempthorne.pdf%22" TargetMode="External"/><Relationship Id="rId10" Type="http://schemas.openxmlformats.org/officeDocument/2006/relationships/hyperlink" Target="https://drive.google.com/drive/search?q=parent:1OkcpifbUiC1Y6G2u5ApzxEwKzOL1_kpP%20%22R1-227-02-225-Dine%20Citizens%20Against%20Ruining%20Our%20Env't%20v%20Klein.pdf%22" TargetMode="External"/><Relationship Id="rId13" Type="http://schemas.openxmlformats.org/officeDocument/2006/relationships/hyperlink" Target="https://drive.google.com/drive/search?q=parent:1VmyDEdY-rZ9IfPP9oyBpoZpjcDWGggJR%20%22SP-220-Rocky%20MTN%20Wild%20v%20Dallas.pdf%22" TargetMode="External"/><Relationship Id="rId12" Type="http://schemas.openxmlformats.org/officeDocument/2006/relationships/hyperlink" Target="https://drive.google.com/drive/search?q=parent:1OkcpifbUiC1Y6G2u5ApzxEwKzOL1_kpP%20%22R1-227-03-223-S%20Utah%20Wilderness%20Alliance%20v%20Kempthorne.pdf%22" TargetMode="External"/><Relationship Id="rId15" Type="http://schemas.openxmlformats.org/officeDocument/2006/relationships/hyperlink" Target="https://drive.google.com/drive/search?q=parent:1VmyDEdY-rZ9IfPP9oyBpoZpjcDWGggJR%20%22SP-265-Cherokee%20Nation.pdf%22" TargetMode="External"/><Relationship Id="rId14" Type="http://schemas.openxmlformats.org/officeDocument/2006/relationships/hyperlink" Target="https://drive.google.com/drive/search?q=parent:1OkcpifbUiC1Y6G2u5ApzxEwKzOL1_kpP%20%22R1-228-01-220-Rocky%20MTN%20Wild%20v%20Dallas.pdf%22" TargetMode="External"/><Relationship Id="rId17" Type="http://schemas.openxmlformats.org/officeDocument/2006/relationships/hyperlink" Target="https://drive.google.com/drive/search?q=parent:1VmyDEdY-rZ9IfPP9oyBpoZpjcDWGggJR%20%22SP-210-Crow%20Indian%20Tribe%20v%20United%20States.pdf%22" TargetMode="External"/><Relationship Id="rId16" Type="http://schemas.openxmlformats.org/officeDocument/2006/relationships/hyperlink" Target="https://drive.google.com/drive/search?q=parent:1OkcpifbUiC1Y6G2u5ApzxEwKzOL1_kpP%20%22R1-228-02-265-Cherokee%20Nation.pdf%22" TargetMode="External"/><Relationship Id="rId19" Type="http://schemas.openxmlformats.org/officeDocument/2006/relationships/hyperlink" Target="https://drive.google.com/drive/search?q=parent:1VmyDEdY-rZ9IfPP9oyBpoZpjcDWGggJR%20%22SP-211-Skagit%20Cnty.pdf%22" TargetMode="External"/><Relationship Id="rId18" Type="http://schemas.openxmlformats.org/officeDocument/2006/relationships/hyperlink" Target="https://drive.google.com/drive/search?q=parent:1OkcpifbUiC1Y6G2u5ApzxEwKzOL1_kpP%20%22R1-229-01-210-Crow%20Indian%20Tribe%20v%20United%20States.pdf%22" TargetMode="External"/><Relationship Id="rId84" Type="http://schemas.openxmlformats.org/officeDocument/2006/relationships/hyperlink" Target="https://drive.google.com/drive/search?q=parent:1OkcpifbUiC1Y6G2u5ApzxEwKzOL1_kpP%20%22R1-252-01-274-Gersen.pdf%22" TargetMode="External"/><Relationship Id="rId83" Type="http://schemas.openxmlformats.org/officeDocument/2006/relationships/hyperlink" Target="https://drive.google.com/drive/search?q=parent:1VmyDEdY-rZ9IfPP9oyBpoZpjcDWGggJR%20%22SP-274-Gersen.pdf%22" TargetMode="External"/><Relationship Id="rId86" Type="http://schemas.openxmlformats.org/officeDocument/2006/relationships/hyperlink" Target="https://drive.google.com/drive/search?q=parent:1OkcpifbUiC1Y6G2u5ApzxEwKzOL1_kpP%20%22R1-253-01-275-53%20F%204th.pdf%22" TargetMode="External"/><Relationship Id="rId85" Type="http://schemas.openxmlformats.org/officeDocument/2006/relationships/hyperlink" Target="https://drive.google.com/drive/search?q=parent:1VmyDEdY-rZ9IfPP9oyBpoZpjcDWGggJR%20%22SP-275-53%20F%204th.pdf%22" TargetMode="External"/><Relationship Id="rId88" Type="http://schemas.openxmlformats.org/officeDocument/2006/relationships/hyperlink" Target="https://drive.google.com/drive/search?q=parent:1OkcpifbUiC1Y6G2u5ApzxEwKzOL1_kpP%20%22R1-254-01-275-53%20F%204th.pdf%22" TargetMode="External"/><Relationship Id="rId150" Type="http://schemas.openxmlformats.org/officeDocument/2006/relationships/hyperlink" Target="https://drive.google.com/drive/search?q=parent:1OkcpifbUiC1Y6G2u5ApzxEwKzOL1_kpP%20%22R1-276-02-290-W%20Va%20v%20Env't%20Prot%20Agency.pdf%22" TargetMode="External"/><Relationship Id="rId87" Type="http://schemas.openxmlformats.org/officeDocument/2006/relationships/hyperlink" Target="https://drive.google.com/drive/search?q=parent:1VmyDEdY-rZ9IfPP9oyBpoZpjcDWGggJR%20%22SP-275-53%20F%204th.pdf%22" TargetMode="External"/><Relationship Id="rId89" Type="http://schemas.openxmlformats.org/officeDocument/2006/relationships/hyperlink" Target="https://drive.google.com/drive/search?q=parent:1VmyDEdY-rZ9IfPP9oyBpoZpjcDWGggJR%20%22SP-104-In%20Re%20Long-Distance%20Tel%20Serv%20Fed%20Excise%20Tax%20Refund%20Litig.pdf%22" TargetMode="External"/><Relationship Id="rId80" Type="http://schemas.openxmlformats.org/officeDocument/2006/relationships/hyperlink" Target="https://drive.google.com/drive/search?q=parent:1OkcpifbUiC1Y6G2u5ApzxEwKzOL1_kpP%20%22R1-251-05-019-Finkelstein.pdf%22" TargetMode="External"/><Relationship Id="rId82" Type="http://schemas.openxmlformats.org/officeDocument/2006/relationships/hyperlink" Target="https://drive.google.com/drive/search?q=parent:1OkcpifbUiC1Y6G2u5ApzxEwKzOL1_kpP%20%22R1-251-06-060-Walker%20Referral.pdf%22" TargetMode="External"/><Relationship Id="rId81" Type="http://schemas.openxmlformats.org/officeDocument/2006/relationships/hyperlink" Target="https://drive.google.com/drive/search?q=parent:1VmyDEdY-rZ9IfPP9oyBpoZpjcDWGggJR%20%22SP-060-Walker%20Referral.pdf%22" TargetMode="External"/><Relationship Id="rId1" Type="http://schemas.openxmlformats.org/officeDocument/2006/relationships/hyperlink" Target="https://drive.google.com/drive/search?q=parent:1VmyDEdY-rZ9IfPP9oyBpoZpjcDWGggJR%20%22SP-055-Bagley.pdf%22" TargetMode="External"/><Relationship Id="rId2" Type="http://schemas.openxmlformats.org/officeDocument/2006/relationships/hyperlink" Target="https://drive.google.com/drive/search?q=parent:1OkcpifbUiC1Y6G2u5ApzxEwKzOL1_kpP%20%22R1-225-01-055-Bagley.pdf%22" TargetMode="External"/><Relationship Id="rId3" Type="http://schemas.openxmlformats.org/officeDocument/2006/relationships/hyperlink" Target="https://drive.google.com/drive/search?q=parent:1VmyDEdY-rZ9IfPP9oyBpoZpjcDWGggJR%20%22SP-263-Desert%20Survivors%20v%20United%20States%20Dep't%20of%20the%20Interior.pdf%22" TargetMode="External"/><Relationship Id="rId149" Type="http://schemas.openxmlformats.org/officeDocument/2006/relationships/hyperlink" Target="https://drive.google.com/drive/search?q=parent:1VmyDEdY-rZ9IfPP9oyBpoZpjcDWGggJR%20%22SP-290-W%20Va%20v%20Env't%20Prot%20Agency.pdf%22" TargetMode="External"/><Relationship Id="rId4" Type="http://schemas.openxmlformats.org/officeDocument/2006/relationships/hyperlink" Target="https://drive.google.com/drive/search?q=parent:1OkcpifbUiC1Y6G2u5ApzxEwKzOL1_kpP%20%22R1-225-02-263-Desert%20Survivors%20v%20United%20States%20Dep't%20of%20the%20Interior.pdf%22" TargetMode="External"/><Relationship Id="rId148" Type="http://schemas.openxmlformats.org/officeDocument/2006/relationships/hyperlink" Target="https://drive.google.com/drive/search?q=parent:1OkcpifbUiC1Y6G2u5ApzxEwKzOL1_kpP%20%22R1-276-01-289-Biden%20v%20Nebraska.pdf%22" TargetMode="External"/><Relationship Id="rId9" Type="http://schemas.openxmlformats.org/officeDocument/2006/relationships/hyperlink" Target="https://drive.google.com/drive/search?q=parent:1VmyDEdY-rZ9IfPP9oyBpoZpjcDWGggJR%20%22SP-225-Dine%20Citizens%20Against%20Ruining%20Our%20Env't%20v%20Klein.pdf%22" TargetMode="External"/><Relationship Id="rId143" Type="http://schemas.openxmlformats.org/officeDocument/2006/relationships/hyperlink" Target="https://drive.google.com/drive/search?q=parent:1VmyDEdY-rZ9IfPP9oyBpoZpjcDWGggJR%20%22SP-287-Kisor%20v%20Wilkie.pdf%22" TargetMode="External"/><Relationship Id="rId142" Type="http://schemas.openxmlformats.org/officeDocument/2006/relationships/hyperlink" Target="https://drive.google.com/drive/search?q=parent:1OkcpifbUiC1Y6G2u5ApzxEwKzOL1_kpP%20%22R1-273-03-286-Seven%20County%20Infrastructure%20Coalition%20v%20Eagle%20County.pdf%22" TargetMode="External"/><Relationship Id="rId141" Type="http://schemas.openxmlformats.org/officeDocument/2006/relationships/hyperlink" Target="https://drive.google.com/drive/search?q=parent:1VmyDEdY-rZ9IfPP9oyBpoZpjcDWGggJR%20%22SP-286-Seven%20County%20Infrastructure%20Coalition%20v%20Eagle%20County.pdf%22" TargetMode="External"/><Relationship Id="rId140" Type="http://schemas.openxmlformats.org/officeDocument/2006/relationships/hyperlink" Target="https://drive.google.com/drive/search?q=parent:1OkcpifbUiC1Y6G2u5ApzxEwKzOL1_kpP%20%22R1-273-02-285-Chevron.pdf%22" TargetMode="External"/><Relationship Id="rId5" Type="http://schemas.openxmlformats.org/officeDocument/2006/relationships/hyperlink" Target="https://drive.google.com/drive/search?q=parent:1VmyDEdY-rZ9IfPP9oyBpoZpjcDWGggJR%20%22SP-264-Supra%20Notes%2035-38%20and%20Accompanying%20Text.pdf%22" TargetMode="External"/><Relationship Id="rId147" Type="http://schemas.openxmlformats.org/officeDocument/2006/relationships/hyperlink" Target="https://drive.google.com/drive/search?q=parent:1VmyDEdY-rZ9IfPP9oyBpoZpjcDWGggJR%20%22SP-289-Biden%20v%20Nebraska.pdf%22" TargetMode="External"/><Relationship Id="rId6" Type="http://schemas.openxmlformats.org/officeDocument/2006/relationships/hyperlink" Target="https://drive.google.com/drive/search?q=parent:1OkcpifbUiC1Y6G2u5ApzxEwKzOL1_kpP%20%22R1-226-01-264-Supra%20Notes%2035-38%20and%20Accompanying%20Text.pdf%22" TargetMode="External"/><Relationship Id="rId146" Type="http://schemas.openxmlformats.org/officeDocument/2006/relationships/hyperlink" Target="https://drive.google.com/drive/search?q=parent:1OkcpifbUiC1Y6G2u5ApzxEwKzOL1_kpP%20%22R1-275-01-288-Securities%20and%20Exchange%20Comm'n%20v%20Jarkesy.pdf%22" TargetMode="External"/><Relationship Id="rId7" Type="http://schemas.openxmlformats.org/officeDocument/2006/relationships/hyperlink" Target="https://drive.google.com/drive/search?q=parent:1VmyDEdY-rZ9IfPP9oyBpoZpjcDWGggJR%20%22SP-166-Sierra%20Club%20v%20US%20Dep't%20of%20Agric.pdf%22" TargetMode="External"/><Relationship Id="rId145" Type="http://schemas.openxmlformats.org/officeDocument/2006/relationships/hyperlink" Target="https://drive.google.com/drive/search?q=parent:1VmyDEdY-rZ9IfPP9oyBpoZpjcDWGggJR%20%22SP-288-Securities%20and%20Exchange%20Comm'n%20v%20Jarkesy.pdf%22" TargetMode="External"/><Relationship Id="rId8" Type="http://schemas.openxmlformats.org/officeDocument/2006/relationships/hyperlink" Target="https://drive.google.com/drive/search?q=parent:1OkcpifbUiC1Y6G2u5ApzxEwKzOL1_kpP%20%22R1-227-01-166-Sierra%20Club%20v%20US%20Dep't%20of%20Agric.pdf%22" TargetMode="External"/><Relationship Id="rId144" Type="http://schemas.openxmlformats.org/officeDocument/2006/relationships/hyperlink" Target="https://drive.google.com/drive/search?q=parent:1OkcpifbUiC1Y6G2u5ApzxEwKzOL1_kpP%20%22R1-274-01-287-Kisor%20v%20Wilkie.pdf%22" TargetMode="External"/><Relationship Id="rId73" Type="http://schemas.openxmlformats.org/officeDocument/2006/relationships/hyperlink" Target="https://drive.google.com/drive/search?q=parent:1VmyDEdY-rZ9IfPP9oyBpoZpjcDWGggJR%20%22SP-273-Cottonwood.pdf%22" TargetMode="External"/><Relationship Id="rId72" Type="http://schemas.openxmlformats.org/officeDocument/2006/relationships/hyperlink" Target="https://drive.google.com/drive/search?q=parent:1OkcpifbUiC1Y6G2u5ApzxEwKzOL1_kpP%20%22R1-251-01-205-United%20States%20v%20US%20Bd%20of%20Water%20Comm'rs.pdf%22" TargetMode="External"/><Relationship Id="rId75" Type="http://schemas.openxmlformats.org/officeDocument/2006/relationships/hyperlink" Target="https://drive.google.com/drive/search?q=parent:1VmyDEdY-rZ9IfPP9oyBpoZpjcDWGggJR%20%22SP-212-Neighbors%20Against%20Bison%20Slaughter%20v%20Nat'l%20Park%20Serv.pdf%22" TargetMode="External"/><Relationship Id="rId74" Type="http://schemas.openxmlformats.org/officeDocument/2006/relationships/hyperlink" Target="https://drive.google.com/drive/search?q=parent:1OkcpifbUiC1Y6G2u5ApzxEwKzOL1_kpP%20%22R1-251-02-273-Cottonwood.pdf%22" TargetMode="External"/><Relationship Id="rId77" Type="http://schemas.openxmlformats.org/officeDocument/2006/relationships/hyperlink" Target="https://drive.google.com/drive/search?q=parent:1VmyDEdY-rZ9IfPP9oyBpoZpjcDWGggJR%20%22SP-119-Bohms%20v%20Gardner.pdf%22" TargetMode="External"/><Relationship Id="rId76" Type="http://schemas.openxmlformats.org/officeDocument/2006/relationships/hyperlink" Target="https://drive.google.com/drive/search?q=parent:1OkcpifbUiC1Y6G2u5ApzxEwKzOL1_kpP%20%22R1-251-03-212-Neighbors%20Against%20Bison%20Slaughter%20v%20Nat'l%20Park%20Serv.pdf%22" TargetMode="External"/><Relationship Id="rId79" Type="http://schemas.openxmlformats.org/officeDocument/2006/relationships/hyperlink" Target="https://drive.google.com/drive/search?q=parent:1VmyDEdY-rZ9IfPP9oyBpoZpjcDWGggJR%20%22SP-019-Finkelstein.pdf%22" TargetMode="External"/><Relationship Id="rId78" Type="http://schemas.openxmlformats.org/officeDocument/2006/relationships/hyperlink" Target="https://drive.google.com/drive/search?q=parent:1OkcpifbUiC1Y6G2u5ApzxEwKzOL1_kpP%20%22R1-251-04-119-Bohms%20v%20Gardner.pdf%22" TargetMode="External"/><Relationship Id="rId71" Type="http://schemas.openxmlformats.org/officeDocument/2006/relationships/hyperlink" Target="https://drive.google.com/drive/search?q=parent:1VmyDEdY-rZ9IfPP9oyBpoZpjcDWGggJR%20%22SP-205-United%20States%20v%20US%20Bd%20of%20Water%20Comm'rs.pdf%22" TargetMode="External"/><Relationship Id="rId70" Type="http://schemas.openxmlformats.org/officeDocument/2006/relationships/hyperlink" Target="https://drive.google.com/drive/search?q=parent:1OkcpifbUiC1Y6G2u5ApzxEwKzOL1_kpP%20%22R1-250-02-210-Crow%20Indian%20Tribe%20v%20United%20States.pdf%22" TargetMode="External"/><Relationship Id="rId139" Type="http://schemas.openxmlformats.org/officeDocument/2006/relationships/hyperlink" Target="https://drive.google.com/drive/search?q=parent:1VmyDEdY-rZ9IfPP9oyBpoZpjcDWGggJR%20%22SP-285-Chevron.pdf%22" TargetMode="External"/><Relationship Id="rId138" Type="http://schemas.openxmlformats.org/officeDocument/2006/relationships/hyperlink" Target="https://drive.google.com/drive/search?q=parent:1OkcpifbUiC1Y6G2u5ApzxEwKzOL1_kpP%20%22R1-273-01-284-Loper%20Bright%20Enterprises%20v%20Raimondo.pdf%22" TargetMode="External"/><Relationship Id="rId137" Type="http://schemas.openxmlformats.org/officeDocument/2006/relationships/hyperlink" Target="https://drive.google.com/drive/search?q=parent:1VmyDEdY-rZ9IfPP9oyBpoZpjcDWGggJR%20%22SP-284-Loper%20Bright%20Enterprises%20v%20Raimondo.pdf%22" TargetMode="External"/><Relationship Id="rId132" Type="http://schemas.openxmlformats.org/officeDocument/2006/relationships/hyperlink" Target="https://drive.google.com/drive/search?q=parent:1OkcpifbUiC1Y6G2u5ApzxEwKzOL1_kpP%20%22R1-270-01-281-Supra%20Notes%20186-192.pdf%22" TargetMode="External"/><Relationship Id="rId131" Type="http://schemas.openxmlformats.org/officeDocument/2006/relationships/hyperlink" Target="https://drive.google.com/drive/search?q=parent:1VmyDEdY-rZ9IfPP9oyBpoZpjcDWGggJR%20%22SP-281-Supra%20Notes%20186-192.pdf%22" TargetMode="External"/><Relationship Id="rId130" Type="http://schemas.openxmlformats.org/officeDocument/2006/relationships/hyperlink" Target="https://drive.google.com/drive/search?q=parent:1OkcpifbUiC1Y6G2u5ApzxEwKzOL1_kpP%20%22R1-269-02-280-Thompson.pdf%22" TargetMode="External"/><Relationship Id="rId136" Type="http://schemas.openxmlformats.org/officeDocument/2006/relationships/hyperlink" Target="https://drive.google.com/drive/search?q=parent:1OkcpifbUiC1Y6G2u5ApzxEwKzOL1_kpP%20%22R1-272-01-283-Supra%20Part%20ID%204.pdf%22" TargetMode="External"/><Relationship Id="rId135" Type="http://schemas.openxmlformats.org/officeDocument/2006/relationships/hyperlink" Target="https://drive.google.com/drive/search?q=parent:1VmyDEdY-rZ9IfPP9oyBpoZpjcDWGggJR%20%22SP-283-Supra%20Part%20ID%204.pdf%22" TargetMode="External"/><Relationship Id="rId134" Type="http://schemas.openxmlformats.org/officeDocument/2006/relationships/hyperlink" Target="https://drive.google.com/drive/search?q=parent:1OkcpifbUiC1Y6G2u5ApzxEwKzOL1_kpP%20%22R1-271-01-282-Mergen.pdf%22" TargetMode="External"/><Relationship Id="rId133" Type="http://schemas.openxmlformats.org/officeDocument/2006/relationships/hyperlink" Target="https://drive.google.com/drive/search?q=parent:1VmyDEdY-rZ9IfPP9oyBpoZpjcDWGggJR%20%22SP-282-Mergen.pdf%22" TargetMode="External"/><Relationship Id="rId62" Type="http://schemas.openxmlformats.org/officeDocument/2006/relationships/hyperlink" Target="https://drive.google.com/drive/search?q=parent:1OkcpifbUiC1Y6G2u5ApzxEwKzOL1_kpP%20%22R1-248-02-211-Skagit%20Cnty.pdf%22" TargetMode="External"/><Relationship Id="rId61" Type="http://schemas.openxmlformats.org/officeDocument/2006/relationships/hyperlink" Target="https://drive.google.com/drive/search?q=parent:1VmyDEdY-rZ9IfPP9oyBpoZpjcDWGggJR%20%22SP-211-Skagit%20Cnty.pdf%22" TargetMode="External"/><Relationship Id="rId64" Type="http://schemas.openxmlformats.org/officeDocument/2006/relationships/hyperlink" Target="https://drive.google.com/drive/search?q=parent:1OkcpifbUiC1Y6G2u5ApzxEwKzOL1_kpP%20%22R1-248-03-152-Miami%20Tribe.pdf%22" TargetMode="External"/><Relationship Id="rId63" Type="http://schemas.openxmlformats.org/officeDocument/2006/relationships/hyperlink" Target="https://drive.google.com/drive/search?q=parent:1VmyDEdY-rZ9IfPP9oyBpoZpjcDWGggJR%20%22SP-152-Miami%20Tribe.pdf%22" TargetMode="External"/><Relationship Id="rId66" Type="http://schemas.openxmlformats.org/officeDocument/2006/relationships/hyperlink" Target="https://drive.google.com/drive/search?q=parent:1OkcpifbUiC1Y6G2u5ApzxEwKzOL1_kpP%20%22R1-249-01-271-NRDC.pdf%22" TargetMode="External"/><Relationship Id="rId65" Type="http://schemas.openxmlformats.org/officeDocument/2006/relationships/hyperlink" Target="https://drive.google.com/drive/search?q=parent:1VmyDEdY-rZ9IfPP9oyBpoZpjcDWGggJR%20%22SP-271-NRDC.pdf%22" TargetMode="External"/><Relationship Id="rId68" Type="http://schemas.openxmlformats.org/officeDocument/2006/relationships/hyperlink" Target="https://drive.google.com/drive/search?q=parent:1OkcpifbUiC1Y6G2u5ApzxEwKzOL1_kpP%20%22R1-250-01-272-Camreta.pdf%22" TargetMode="External"/><Relationship Id="rId67" Type="http://schemas.openxmlformats.org/officeDocument/2006/relationships/hyperlink" Target="https://drive.google.com/drive/search?q=parent:1VmyDEdY-rZ9IfPP9oyBpoZpjcDWGggJR%20%22SP-272-Camreta.pdf%22" TargetMode="External"/><Relationship Id="rId60" Type="http://schemas.openxmlformats.org/officeDocument/2006/relationships/hyperlink" Target="https://drive.google.com/drive/search?q=parent:1OkcpifbUiC1Y6G2u5ApzxEwKzOL1_kpP%20%22R1-248-01-112-Forney%20v%20Apfel.pdf%22" TargetMode="External"/><Relationship Id="rId69" Type="http://schemas.openxmlformats.org/officeDocument/2006/relationships/hyperlink" Target="https://drive.google.com/drive/search?q=parent:1VmyDEdY-rZ9IfPP9oyBpoZpjcDWGggJR%20%22SP-210-Crow%20Indian%20Tribe%20v%20United%20States.pdf%22" TargetMode="External"/><Relationship Id="rId51" Type="http://schemas.openxmlformats.org/officeDocument/2006/relationships/hyperlink" Target="https://drive.google.com/drive/search?q=parent:1VmyDEdY-rZ9IfPP9oyBpoZpjcDWGggJR%20%22SP-268-Deposit%20Guaranty%20Nat'l%20Bank%20v%20Roper.pdf%22" TargetMode="External"/><Relationship Id="rId50" Type="http://schemas.openxmlformats.org/officeDocument/2006/relationships/hyperlink" Target="https://drive.google.com/drive/search?q=parent:1OkcpifbUiC1Y6G2u5ApzxEwKzOL1_kpP%20%22R1-243-01-267-Supra%20Notes%20219-223%20and%20Accompanying%20Text.pdf%22" TargetMode="External"/><Relationship Id="rId53" Type="http://schemas.openxmlformats.org/officeDocument/2006/relationships/hyperlink" Target="https://drive.google.com/drive/search?q=parent:1VmyDEdY-rZ9IfPP9oyBpoZpjcDWGggJR%20%22SP-269-Envtl%20Prot%20Info%20CTR%20v%20Pac%20Lumber%20Co.pdf%22" TargetMode="External"/><Relationship Id="rId52" Type="http://schemas.openxmlformats.org/officeDocument/2006/relationships/hyperlink" Target="https://drive.google.com/drive/search?q=parent:1OkcpifbUiC1Y6G2u5ApzxEwKzOL1_kpP%20%22R1-244-01-268-Deposit%20Guaranty%20Nat'l%20Bank%20v%20Roper.pdf%22" TargetMode="External"/><Relationship Id="rId55" Type="http://schemas.openxmlformats.org/officeDocument/2006/relationships/hyperlink" Target="https://drive.google.com/drive/search?q=parent:1VmyDEdY-rZ9IfPP9oyBpoZpjcDWGggJR%20%22SP-270-California%20v%20Rooney.pdf%22" TargetMode="External"/><Relationship Id="rId161" Type="http://schemas.openxmlformats.org/officeDocument/2006/relationships/drawing" Target="../drawings/drawing13.xml"/><Relationship Id="rId54" Type="http://schemas.openxmlformats.org/officeDocument/2006/relationships/hyperlink" Target="https://drive.google.com/drive/search?q=parent:1OkcpifbUiC1Y6G2u5ApzxEwKzOL1_kpP%20%22R1-245-01-269-Envtl%20Prot%20Info%20CTR%20v%20Pac%20Lumber%20Co.pdf%22" TargetMode="External"/><Relationship Id="rId160" Type="http://schemas.openxmlformats.org/officeDocument/2006/relationships/hyperlink" Target="https://drive.google.com/drive/search?q=parent:1OkcpifbUiC1Y6G2u5ApzxEwKzOL1_kpP%20%22R1-279-01-240-Spitzer.pdf%22" TargetMode="External"/><Relationship Id="rId57" Type="http://schemas.openxmlformats.org/officeDocument/2006/relationships/hyperlink" Target="https://drive.google.com/drive/search?q=parent:1VmyDEdY-rZ9IfPP9oyBpoZpjcDWGggJR%20%22SP-112-Forney%20v%20Apfel.pdf%22" TargetMode="External"/><Relationship Id="rId56" Type="http://schemas.openxmlformats.org/officeDocument/2006/relationships/hyperlink" Target="https://drive.google.com/drive/search?q=parent:1OkcpifbUiC1Y6G2u5ApzxEwKzOL1_kpP%20%22R1-246-01-270-California%20v%20Rooney.pdf%22" TargetMode="External"/><Relationship Id="rId159" Type="http://schemas.openxmlformats.org/officeDocument/2006/relationships/hyperlink" Target="https://drive.google.com/drive/search?q=parent:1VmyDEdY-rZ9IfPP9oyBpoZpjcDWGggJR%20%22SP-240-Spitzer.pdf%22" TargetMode="External"/><Relationship Id="rId59" Type="http://schemas.openxmlformats.org/officeDocument/2006/relationships/hyperlink" Target="https://drive.google.com/drive/search?q=parent:1VmyDEdY-rZ9IfPP9oyBpoZpjcDWGggJR%20%22SP-112-Forney%20v%20Apfel.pdf%22" TargetMode="External"/><Relationship Id="rId154" Type="http://schemas.openxmlformats.org/officeDocument/2006/relationships/hyperlink" Target="https://drive.google.com/drive/search?q=parent:1OkcpifbUiC1Y6G2u5ApzxEwKzOL1_kpP%20%22R1-277-01-292-Corner.pdf%22" TargetMode="External"/><Relationship Id="rId58" Type="http://schemas.openxmlformats.org/officeDocument/2006/relationships/hyperlink" Target="https://drive.google.com/drive/search?q=parent:1OkcpifbUiC1Y6G2u5ApzxEwKzOL1_kpP%20%22R1-247-01-112-Forney%20v%20Apfel.pdf%22" TargetMode="External"/><Relationship Id="rId153" Type="http://schemas.openxmlformats.org/officeDocument/2006/relationships/hyperlink" Target="https://drive.google.com/drive/search?q=parent:1VmyDEdY-rZ9IfPP9oyBpoZpjcDWGggJR%20%22SP-292-Corner.pdf%22" TargetMode="External"/><Relationship Id="rId152" Type="http://schemas.openxmlformats.org/officeDocument/2006/relationships/hyperlink" Target="https://drive.google.com/drive/search?q=parent:1OkcpifbUiC1Y6G2u5ApzxEwKzOL1_kpP%20%22R1-276-03-291-Alabama%20Ass'n%20of%20Realtors%20v%20Dep't%20of%20Health%20and%20Human%20Servs.pdf%22" TargetMode="External"/><Relationship Id="rId151" Type="http://schemas.openxmlformats.org/officeDocument/2006/relationships/hyperlink" Target="https://drive.google.com/drive/search?q=parent:1VmyDEdY-rZ9IfPP9oyBpoZpjcDWGggJR%20%22SP-291-Alabama%20Ass'n%20of%20Realtors%20v%20Dep't%20of%20Health%20and%20Human%20Servs.pdf%22" TargetMode="External"/><Relationship Id="rId158" Type="http://schemas.openxmlformats.org/officeDocument/2006/relationships/hyperlink" Target="https://drive.google.com/drive/search?q=parent:1OkcpifbUiC1Y6G2u5ApzxEwKzOL1_kpP%20%22R1-278-01-294-Sivas.pdf%22" TargetMode="External"/><Relationship Id="rId157" Type="http://schemas.openxmlformats.org/officeDocument/2006/relationships/hyperlink" Target="https://drive.google.com/drive/search?q=parent:1VmyDEdY-rZ9IfPP9oyBpoZpjcDWGggJR%20%22SP-294-Sivas.pdf%22" TargetMode="External"/><Relationship Id="rId156" Type="http://schemas.openxmlformats.org/officeDocument/2006/relationships/hyperlink" Target="https://drive.google.com/drive/search?q=parent:1OkcpifbUiC1Y6G2u5ApzxEwKzOL1_kpP%20%22R1-277-02-293-28%20USC%202401(A.pdf%22" TargetMode="External"/><Relationship Id="rId155" Type="http://schemas.openxmlformats.org/officeDocument/2006/relationships/hyperlink" Target="https://drive.google.com/drive/search?q=parent:1VmyDEdY-rZ9IfPP9oyBpoZpjcDWGggJR%20%22SP-293-28%20USC%202401(A.pdf%22" TargetMode="External"/><Relationship Id="rId107" Type="http://schemas.openxmlformats.org/officeDocument/2006/relationships/hyperlink" Target="https://drive.google.com/drive/search?q=parent:1VmyDEdY-rZ9IfPP9oyBpoZpjcDWGggJR%20%22SP-033-CTR%20for%20Biological%20Diversity%20v%20Bureau%20of%20Land%20MGMT.pdf%22" TargetMode="External"/><Relationship Id="rId106" Type="http://schemas.openxmlformats.org/officeDocument/2006/relationships/hyperlink" Target="https://drive.google.com/drive/search?q=parent:1OkcpifbUiC1Y6G2u5ApzxEwKzOL1_kpP%20%22R1-261-01-033-CTR%20for%20Biological%20Diversity%20v%20Bureau%20of%20Land%20MGMT.pdf%22" TargetMode="External"/><Relationship Id="rId105" Type="http://schemas.openxmlformats.org/officeDocument/2006/relationships/hyperlink" Target="https://drive.google.com/drive/search?q=parent:1VmyDEdY-rZ9IfPP9oyBpoZpjcDWGggJR%20%22SP-033-CTR%20for%20Biological%20Diversity%20v%20Bureau%20of%20Land%20MGMT.pdf%22" TargetMode="External"/><Relationship Id="rId104" Type="http://schemas.openxmlformats.org/officeDocument/2006/relationships/hyperlink" Target="https://drive.google.com/drive/search?q=parent:1OkcpifbUiC1Y6G2u5ApzxEwKzOL1_kpP%20%22R1-260-01-033-CTR%20for%20Biological%20Diversity%20v%20Bureau%20of%20Land%20MGMT.pdf%22" TargetMode="External"/><Relationship Id="rId109" Type="http://schemas.openxmlformats.org/officeDocument/2006/relationships/hyperlink" Target="https://drive.google.com/drive/search?q=parent:1VmyDEdY-rZ9IfPP9oyBpoZpjcDWGggJR%20%22SP-277-Mont%20Wildlife%20Fed'n%20v%20Haaland.pdf%22" TargetMode="External"/><Relationship Id="rId108" Type="http://schemas.openxmlformats.org/officeDocument/2006/relationships/hyperlink" Target="https://drive.google.com/drive/search?q=parent:1OkcpifbUiC1Y6G2u5ApzxEwKzOL1_kpP%20%22R1-261-02-033-CTR%20for%20Biological%20Diversity%20v%20Bureau%20of%20Land%20MGMT.pdf%22" TargetMode="External"/><Relationship Id="rId103" Type="http://schemas.openxmlformats.org/officeDocument/2006/relationships/hyperlink" Target="https://drive.google.com/drive/search?q=parent:1VmyDEdY-rZ9IfPP9oyBpoZpjcDWGggJR%20%22SP-033-CTR%20for%20Biological%20Diversity%20v%20Bureau%20of%20Land%20MGMT.pdf%22" TargetMode="External"/><Relationship Id="rId102" Type="http://schemas.openxmlformats.org/officeDocument/2006/relationships/hyperlink" Target="https://drive.google.com/drive/search?q=parent:1OkcpifbUiC1Y6G2u5ApzxEwKzOL1_kpP%20%22R1-259-02-276-In%20Re%20Clean%20Water%20Act.pdf%22" TargetMode="External"/><Relationship Id="rId101" Type="http://schemas.openxmlformats.org/officeDocument/2006/relationships/hyperlink" Target="https://drive.google.com/drive/search?q=parent:1VmyDEdY-rZ9IfPP9oyBpoZpjcDWGggJR%20%22SP-276-In%20Re%20Clean%20Water%20Act.pdf%22" TargetMode="External"/><Relationship Id="rId100" Type="http://schemas.openxmlformats.org/officeDocument/2006/relationships/hyperlink" Target="https://drive.google.com/drive/search?q=parent:1OkcpifbUiC1Y6G2u5ApzxEwKzOL1_kpP%20%22R1-259-01-033-CTR%20for%20Biological%20Diversity%20v%20Bureau%20of%20Land%20MGMT.pdf%22" TargetMode="External"/><Relationship Id="rId129" Type="http://schemas.openxmlformats.org/officeDocument/2006/relationships/hyperlink" Target="https://drive.google.com/drive/search?q=parent:1VmyDEdY-rZ9IfPP9oyBpoZpjcDWGggJR%20%22SP-280-Thompson.pdf%22" TargetMode="External"/><Relationship Id="rId128" Type="http://schemas.openxmlformats.org/officeDocument/2006/relationships/hyperlink" Target="https://drive.google.com/drive/search?q=parent:1OkcpifbUiC1Y6G2u5ApzxEwKzOL1_kpP%20%22R1-269-01-279-69%20F%204th.pdf%22" TargetMode="External"/><Relationship Id="rId127" Type="http://schemas.openxmlformats.org/officeDocument/2006/relationships/hyperlink" Target="https://drive.google.com/drive/search?q=parent:1VmyDEdY-rZ9IfPP9oyBpoZpjcDWGggJR%20%22SP-279-69%20F%204th.pdf%22" TargetMode="External"/><Relationship Id="rId126" Type="http://schemas.openxmlformats.org/officeDocument/2006/relationships/hyperlink" Target="https://drive.google.com/drive/search?q=parent:1OkcpifbUiC1Y6G2u5ApzxEwKzOL1_kpP%20%22R1-268-01-233-Bitterroot.pdf%22" TargetMode="External"/><Relationship Id="rId121" Type="http://schemas.openxmlformats.org/officeDocument/2006/relationships/hyperlink" Target="https://drive.google.com/drive/search?q=parent:1VmyDEdY-rZ9IfPP9oyBpoZpjcDWGggJR%20%22SP-211-Skagit%20Cnty.pdf%22" TargetMode="External"/><Relationship Id="rId120" Type="http://schemas.openxmlformats.org/officeDocument/2006/relationships/hyperlink" Target="https://drive.google.com/drive/search?q=parent:1OkcpifbUiC1Y6G2u5ApzxEwKzOL1_kpP%20%22R1-266-01-204-Sierra%20Forest%20Legacy%20v%20Sherman.pdf%22" TargetMode="External"/><Relationship Id="rId125" Type="http://schemas.openxmlformats.org/officeDocument/2006/relationships/hyperlink" Target="https://drive.google.com/drive/search?q=parent:1VmyDEdY-rZ9IfPP9oyBpoZpjcDWGggJR%20%22SP-233-Bitterroot.pdf%22" TargetMode="External"/><Relationship Id="rId124" Type="http://schemas.openxmlformats.org/officeDocument/2006/relationships/hyperlink" Target="https://drive.google.com/drive/search?q=parent:1OkcpifbUiC1Y6G2u5ApzxEwKzOL1_kpP%20%22R1-267-01-204-Sierra%20Forest%20Legacy%20v%20Sherman.pdf%22" TargetMode="External"/><Relationship Id="rId123" Type="http://schemas.openxmlformats.org/officeDocument/2006/relationships/hyperlink" Target="https://drive.google.com/drive/search?q=parent:1VmyDEdY-rZ9IfPP9oyBpoZpjcDWGggJR%20%22SP-204-Sierra%20Forest%20Legacy%20v%20Sherman.pdf%22" TargetMode="External"/><Relationship Id="rId122" Type="http://schemas.openxmlformats.org/officeDocument/2006/relationships/hyperlink" Target="https://drive.google.com/drive/search?q=parent:1OkcpifbUiC1Y6G2u5ApzxEwKzOL1_kpP%20%22R1-266-02-211-Skagit%20Cnty.pdf%22" TargetMode="External"/><Relationship Id="rId95" Type="http://schemas.openxmlformats.org/officeDocument/2006/relationships/hyperlink" Target="https://drive.google.com/drive/search?q=parent:1VmyDEdY-rZ9IfPP9oyBpoZpjcDWGggJR%20%22SP-033-CTR%20for%20Biological%20Diversity%20v%20Bureau%20of%20Land%20MGMT.pdf%22" TargetMode="External"/><Relationship Id="rId94" Type="http://schemas.openxmlformats.org/officeDocument/2006/relationships/hyperlink" Target="https://drive.google.com/drive/search?q=parent:1OkcpifbUiC1Y6G2u5ApzxEwKzOL1_kpP%20%22R1-256-02-059-Glicksman.pdf%22" TargetMode="External"/><Relationship Id="rId97" Type="http://schemas.openxmlformats.org/officeDocument/2006/relationships/hyperlink" Target="https://drive.google.com/drive/search?q=parent:1VmyDEdY-rZ9IfPP9oyBpoZpjcDWGggJR%20%22SP-033-CTR%20for%20Biological%20Diversity%20v%20Bureau%20of%20Land%20MGMT.pdf%22" TargetMode="External"/><Relationship Id="rId96" Type="http://schemas.openxmlformats.org/officeDocument/2006/relationships/hyperlink" Target="https://drive.google.com/drive/search?q=parent:1OkcpifbUiC1Y6G2u5ApzxEwKzOL1_kpP%20%22R1-257-01-033-CTR%20for%20Biological%20Diversity%20v%20Bureau%20of%20Land%20MGMT.pdf%22" TargetMode="External"/><Relationship Id="rId99" Type="http://schemas.openxmlformats.org/officeDocument/2006/relationships/hyperlink" Target="https://drive.google.com/drive/search?q=parent:1VmyDEdY-rZ9IfPP9oyBpoZpjcDWGggJR%20%22SP-033-CTR%20for%20Biological%20Diversity%20v%20Bureau%20of%20Land%20MGMT.pdf%22" TargetMode="External"/><Relationship Id="rId98" Type="http://schemas.openxmlformats.org/officeDocument/2006/relationships/hyperlink" Target="https://drive.google.com/drive/search?q=parent:1OkcpifbUiC1Y6G2u5ApzxEwKzOL1_kpP%20%22R1-258-01-033-CTR%20for%20Biological%20Diversity%20v%20Bureau%20of%20Land%20MGMT.pdf%22" TargetMode="External"/><Relationship Id="rId91" Type="http://schemas.openxmlformats.org/officeDocument/2006/relationships/hyperlink" Target="https://drive.google.com/drive/search?q=parent:1VmyDEdY-rZ9IfPP9oyBpoZpjcDWGggJR%20%22SP-104-In%20Re%20Long-Distance%20Tel%20Serv%20Fed%20Excise%20Tax%20Refund%20Litig.pdf%22" TargetMode="External"/><Relationship Id="rId90" Type="http://schemas.openxmlformats.org/officeDocument/2006/relationships/hyperlink" Target="https://drive.google.com/drive/search?q=parent:1OkcpifbUiC1Y6G2u5ApzxEwKzOL1_kpP%20%22R1-255-01-104-In%20Re%20Long-Distance%20Tel%20Serv%20Fed%20Excise%20Tax%20Refund%20Litig.pdf%22" TargetMode="External"/><Relationship Id="rId93" Type="http://schemas.openxmlformats.org/officeDocument/2006/relationships/hyperlink" Target="https://drive.google.com/drive/search?q=parent:1VmyDEdY-rZ9IfPP9oyBpoZpjcDWGggJR%20%22SP-059-Glicksman.pdf%22" TargetMode="External"/><Relationship Id="rId92" Type="http://schemas.openxmlformats.org/officeDocument/2006/relationships/hyperlink" Target="https://drive.google.com/drive/search?q=parent:1OkcpifbUiC1Y6G2u5ApzxEwKzOL1_kpP%20%22R1-256-01-104-In%20Re%20Long-Distance%20Tel%20Serv%20Fed%20Excise%20Tax%20Refund%20Litig.pdf%22" TargetMode="External"/><Relationship Id="rId118" Type="http://schemas.openxmlformats.org/officeDocument/2006/relationships/hyperlink" Target="https://drive.google.com/drive/search?q=parent:1OkcpifbUiC1Y6G2u5ApzxEwKzOL1_kpP%20%22R1-265-01-204-Sierra%20Forest%20Legacy%20v%20Sherman.pdf%22" TargetMode="External"/><Relationship Id="rId117" Type="http://schemas.openxmlformats.org/officeDocument/2006/relationships/hyperlink" Target="https://drive.google.com/drive/search?q=parent:1VmyDEdY-rZ9IfPP9oyBpoZpjcDWGggJR%20%22SP-204-Sierra%20Forest%20Legacy%20v%20Sherman.pdf%22" TargetMode="External"/><Relationship Id="rId116" Type="http://schemas.openxmlformats.org/officeDocument/2006/relationships/hyperlink" Target="https://drive.google.com/drive/search?q=parent:1OkcpifbUiC1Y6G2u5ApzxEwKzOL1_kpP%20%22R1-264-01-204-Sierra%20Forest%20Legacy%20v%20Sherman.pdf%22" TargetMode="External"/><Relationship Id="rId115" Type="http://schemas.openxmlformats.org/officeDocument/2006/relationships/hyperlink" Target="https://drive.google.com/drive/search?q=parent:1VmyDEdY-rZ9IfPP9oyBpoZpjcDWGggJR%20%22SP-204-Sierra%20Forest%20Legacy%20v%20Sherman.pdf%22" TargetMode="External"/><Relationship Id="rId119" Type="http://schemas.openxmlformats.org/officeDocument/2006/relationships/hyperlink" Target="https://drive.google.com/drive/search?q=parent:1VmyDEdY-rZ9IfPP9oyBpoZpjcDWGggJR%20%22SP-204-Sierra%20Forest%20Legacy%20v%20Sherman.pdf%22" TargetMode="External"/><Relationship Id="rId110" Type="http://schemas.openxmlformats.org/officeDocument/2006/relationships/hyperlink" Target="https://drive.google.com/drive/search?q=parent:1OkcpifbUiC1Y6G2u5ApzxEwKzOL1_kpP%20%22R1-261-03-277-Mont%20Wildlife%20Fed'n%20v%20Haaland.pdf%22" TargetMode="External"/><Relationship Id="rId114" Type="http://schemas.openxmlformats.org/officeDocument/2006/relationships/hyperlink" Target="https://drive.google.com/drive/search?q=parent:1OkcpifbUiC1Y6G2u5ApzxEwKzOL1_kpP%20%22R1-263-01-204-Sierra%20Forest%20Legacy%20v%20Sherman.pdf%22" TargetMode="External"/><Relationship Id="rId113" Type="http://schemas.openxmlformats.org/officeDocument/2006/relationships/hyperlink" Target="https://drive.google.com/drive/search?q=parent:1VmyDEdY-rZ9IfPP9oyBpoZpjcDWGggJR%20%22SP-204-Sierra%20Forest%20Legacy%20v%20Sherman.pdf%22" TargetMode="External"/><Relationship Id="rId112" Type="http://schemas.openxmlformats.org/officeDocument/2006/relationships/hyperlink" Target="https://drive.google.com/drive/search?q=parent:1OkcpifbUiC1Y6G2u5ApzxEwKzOL1_kpP%20%22R1-262-01-278-Supra%20Notes%20211-214%20and%20Accompanying%20Text.pdf%22" TargetMode="External"/><Relationship Id="rId111" Type="http://schemas.openxmlformats.org/officeDocument/2006/relationships/hyperlink" Target="https://drive.google.com/drive/search?q=parent:1VmyDEdY-rZ9IfPP9oyBpoZpjcDWGggJR%20%22SP-278-Supra%20Notes%20211-214%20and%20Accompanying%20Text.pdf%22" TargetMode="External"/></Relationships>
</file>

<file path=xl/worksheets/_rels/sheet14.xml.rels><?xml version="1.0" encoding="UTF-8" standalone="yes"?><Relationships xmlns="http://schemas.openxmlformats.org/package/2006/relationships"><Relationship Id="rId40" Type="http://schemas.openxmlformats.org/officeDocument/2006/relationships/hyperlink" Target="https://drive.google.com/drive/search?q=parent:1OkcpifbUiC1Y6G2u5ApzxEwKzOL1_kpP%20%22R1-285-01-301-Wild%20Rockies.pdf%22" TargetMode="External"/><Relationship Id="rId42" Type="http://schemas.openxmlformats.org/officeDocument/2006/relationships/hyperlink" Target="https://drive.google.com/drive/search?q=parent:1OkcpifbUiC1Y6G2u5ApzxEwKzOL1_kpP%20%22R1-286-01-152-Miami%20Tribe.pdf%22" TargetMode="External"/><Relationship Id="rId41" Type="http://schemas.openxmlformats.org/officeDocument/2006/relationships/hyperlink" Target="https://drive.google.com/drive/search?q=parent:1VmyDEdY-rZ9IfPP9oyBpoZpjcDWGggJR%20%22SP-152-Miami%20Tribe.pdf%22" TargetMode="External"/><Relationship Id="rId44" Type="http://schemas.openxmlformats.org/officeDocument/2006/relationships/hyperlink" Target="https://drive.google.com/drive/search?q=parent:1OkcpifbUiC1Y6G2u5ApzxEwKzOL1_kpP%20%22R1-286-02-304-Viraj.pdf%22" TargetMode="External"/><Relationship Id="rId43" Type="http://schemas.openxmlformats.org/officeDocument/2006/relationships/hyperlink" Target="https://drive.google.com/drive/search?q=parent:1VmyDEdY-rZ9IfPP9oyBpoZpjcDWGggJR%20%22SP-304-Viraj.pdf%22" TargetMode="External"/><Relationship Id="rId46" Type="http://schemas.openxmlformats.org/officeDocument/2006/relationships/hyperlink" Target="https://drive.google.com/drive/search?q=parent:1OkcpifbUiC1Y6G2u5ApzxEwKzOL1_kpP%20%22R1-286-03-025-Lynch.pdf%22" TargetMode="External"/><Relationship Id="rId45" Type="http://schemas.openxmlformats.org/officeDocument/2006/relationships/hyperlink" Target="https://drive.google.com/drive/search?q=parent:1VmyDEdY-rZ9IfPP9oyBpoZpjcDWGggJR%20%22SP-025-Lynch.pdf%22" TargetMode="External"/><Relationship Id="rId48" Type="http://schemas.openxmlformats.org/officeDocument/2006/relationships/hyperlink" Target="https://drive.google.com/drive/search?q=parent:1OkcpifbUiC1Y6G2u5ApzxEwKzOL1_kpP%20%22R1-287-01-026-Federal%20Practice%203914%2032.pdf%22" TargetMode="External"/><Relationship Id="rId47" Type="http://schemas.openxmlformats.org/officeDocument/2006/relationships/hyperlink" Target="https://drive.google.com/drive/search?q=parent:1VmyDEdY-rZ9IfPP9oyBpoZpjcDWGggJR%20%22SP-026-Federal%20Practice%203914%2032.pdf%22" TargetMode="External"/><Relationship Id="rId49" Type="http://schemas.openxmlformats.org/officeDocument/2006/relationships/hyperlink" Target="https://drive.google.com/drive/search?q=parent:1VmyDEdY-rZ9IfPP9oyBpoZpjcDWGggJR%20%22SP-250-Farber.pdf%22" TargetMode="External"/><Relationship Id="rId31" Type="http://schemas.openxmlformats.org/officeDocument/2006/relationships/hyperlink" Target="https://drive.google.com/drive/search?q=parent:1VmyDEdY-rZ9IfPP9oyBpoZpjcDWGggJR%20%22SP-152-Miami%20Tribe.pdf%22" TargetMode="External"/><Relationship Id="rId30" Type="http://schemas.openxmlformats.org/officeDocument/2006/relationships/hyperlink" Target="https://drive.google.com/drive/search?q=parent:1OkcpifbUiC1Y6G2u5ApzxEwKzOL1_kpP%20%22R1-282-02-204-Sierra%20Forest%20Legacy%20v%20Sherman.pdf%22" TargetMode="External"/><Relationship Id="rId33" Type="http://schemas.openxmlformats.org/officeDocument/2006/relationships/hyperlink" Target="https://drive.google.com/drive/search?q=parent:1VmyDEdY-rZ9IfPP9oyBpoZpjcDWGggJR%20%22SP-302-McBride%20v%20Citgo%20Petroleum%20Corp.pdf%22" TargetMode="External"/><Relationship Id="rId32" Type="http://schemas.openxmlformats.org/officeDocument/2006/relationships/hyperlink" Target="https://drive.google.com/drive/search?q=parent:1OkcpifbUiC1Y6G2u5ApzxEwKzOL1_kpP%20%22R1-283-01-152-Miami%20Tribe.pdf%22" TargetMode="External"/><Relationship Id="rId35" Type="http://schemas.openxmlformats.org/officeDocument/2006/relationships/hyperlink" Target="https://drive.google.com/drive/search?q=parent:1VmyDEdY-rZ9IfPP9oyBpoZpjcDWGggJR%20%22SP-303-Federal%20Practice%203949%204.pdf%22" TargetMode="External"/><Relationship Id="rId34" Type="http://schemas.openxmlformats.org/officeDocument/2006/relationships/hyperlink" Target="https://drive.google.com/drive/search?q=parent:1OkcpifbUiC1Y6G2u5ApzxEwKzOL1_kpP%20%22R1-283-02-302-McBride%20v%20Citgo%20Petroleum%20Corp.pdf%22" TargetMode="External"/><Relationship Id="rId37" Type="http://schemas.openxmlformats.org/officeDocument/2006/relationships/hyperlink" Target="https://drive.google.com/drive/search?q=parent:1VmyDEdY-rZ9IfPP9oyBpoZpjcDWGggJR%20%22SP-301-Wild%20Rockies.pdf%22" TargetMode="External"/><Relationship Id="rId36" Type="http://schemas.openxmlformats.org/officeDocument/2006/relationships/hyperlink" Target="https://drive.google.com/drive/search?q=parent:1OkcpifbUiC1Y6G2u5ApzxEwKzOL1_kpP%20%22R1-283-03-303-Federal%20Practice%203949%204.pdf%22" TargetMode="External"/><Relationship Id="rId39" Type="http://schemas.openxmlformats.org/officeDocument/2006/relationships/hyperlink" Target="https://drive.google.com/drive/search?q=parent:1VmyDEdY-rZ9IfPP9oyBpoZpjcDWGggJR%20%22SP-301-Wild%20Rockies.pdf%22" TargetMode="External"/><Relationship Id="rId38" Type="http://schemas.openxmlformats.org/officeDocument/2006/relationships/hyperlink" Target="https://drive.google.com/drive/search?q=parent:1OkcpifbUiC1Y6G2u5ApzxEwKzOL1_kpP%20%22R1-284-01-301-Wild%20Rockies.pdf%22" TargetMode="External"/><Relationship Id="rId20" Type="http://schemas.openxmlformats.org/officeDocument/2006/relationships/hyperlink" Target="https://drive.google.com/drive/search?q=parent:1OkcpifbUiC1Y6G2u5ApzxEwKzOL1_kpP%20%22R1-281-01-013-Dcor.pdf%22" TargetMode="External"/><Relationship Id="rId22" Type="http://schemas.openxmlformats.org/officeDocument/2006/relationships/hyperlink" Target="https://drive.google.com/drive/search?q=parent:1OkcpifbUiC1Y6G2u5ApzxEwKzOL1_kpP%20%22R1-281-02-298-Aaron%20P%20v%20Dep't%20of%20Educ.pdf%22" TargetMode="External"/><Relationship Id="rId21" Type="http://schemas.openxmlformats.org/officeDocument/2006/relationships/hyperlink" Target="https://drive.google.com/drive/search?q=parent:1VmyDEdY-rZ9IfPP9oyBpoZpjcDWGggJR%20%22SP-298-Aaron%20P%20v%20Dep't%20of%20Educ.pdf%22" TargetMode="External"/><Relationship Id="rId24" Type="http://schemas.openxmlformats.org/officeDocument/2006/relationships/hyperlink" Target="https://drive.google.com/drive/search?q=parent:1OkcpifbUiC1Y6G2u5ApzxEwKzOL1_kpP%20%22R1-281-03-299-Miami%20Tribe%20Distr.%20Ct..pdf%22" TargetMode="External"/><Relationship Id="rId23" Type="http://schemas.openxmlformats.org/officeDocument/2006/relationships/hyperlink" Target="https://drive.google.com/drive/search?q=parent:1VmyDEdY-rZ9IfPP9oyBpoZpjcDWGggJR%20%22SP-299-Miami%20Tribe%20Distr.%20Ct..pdf%22" TargetMode="External"/><Relationship Id="rId26" Type="http://schemas.openxmlformats.org/officeDocument/2006/relationships/hyperlink" Target="https://drive.google.com/drive/search?q=parent:1OkcpifbUiC1Y6G2u5ApzxEwKzOL1_kpP%20%22R1-281-04-300-Associated%20Mortg.pdf%22" TargetMode="External"/><Relationship Id="rId25" Type="http://schemas.openxmlformats.org/officeDocument/2006/relationships/hyperlink" Target="https://drive.google.com/drive/search?q=parent:1VmyDEdY-rZ9IfPP9oyBpoZpjcDWGggJR%20%22SP-300-Associated%20Mortg.pdf%22" TargetMode="External"/><Relationship Id="rId28" Type="http://schemas.openxmlformats.org/officeDocument/2006/relationships/hyperlink" Target="https://drive.google.com/drive/search?q=parent:1OkcpifbUiC1Y6G2u5ApzxEwKzOL1_kpP%20%22R1-282-01-301-Wild%20Rockies.pdf%22" TargetMode="External"/><Relationship Id="rId27" Type="http://schemas.openxmlformats.org/officeDocument/2006/relationships/hyperlink" Target="https://drive.google.com/drive/search?q=parent:1VmyDEdY-rZ9IfPP9oyBpoZpjcDWGggJR%20%22SP-301-Wild%20Rockies.pdf%22" TargetMode="External"/><Relationship Id="rId29" Type="http://schemas.openxmlformats.org/officeDocument/2006/relationships/hyperlink" Target="https://drive.google.com/drive/search?q=parent:1VmyDEdY-rZ9IfPP9oyBpoZpjcDWGggJR%20%22SP-204-Sierra%20Forest%20Legacy%20v%20Sherman.pdf%22" TargetMode="External"/><Relationship Id="rId11" Type="http://schemas.openxmlformats.org/officeDocument/2006/relationships/hyperlink" Target="https://drive.google.com/drive/search?q=parent:1VmyDEdY-rZ9IfPP9oyBpoZpjcDWGggJR%20%22SP-019-Finkelstein.pdf%22" TargetMode="External"/><Relationship Id="rId10" Type="http://schemas.openxmlformats.org/officeDocument/2006/relationships/hyperlink" Target="https://drive.google.com/drive/search?q=parent:1OkcpifbUiC1Y6G2u5ApzxEwKzOL1_kpP%20%22R1-280-05-130-McCoy%20v%20Schweiker.pdf%22" TargetMode="External"/><Relationship Id="rId13" Type="http://schemas.openxmlformats.org/officeDocument/2006/relationships/hyperlink" Target="https://drive.google.com/drive/search?q=parent:1VmyDEdY-rZ9IfPP9oyBpoZpjcDWGggJR%20%22SP-296-15a%20Wright.pdf%22" TargetMode="External"/><Relationship Id="rId12" Type="http://schemas.openxmlformats.org/officeDocument/2006/relationships/hyperlink" Target="https://drive.google.com/drive/search?q=parent:1OkcpifbUiC1Y6G2u5ApzxEwKzOL1_kpP%20%22R1-280-06-019-Finkelstein.pdf%22" TargetMode="External"/><Relationship Id="rId15" Type="http://schemas.openxmlformats.org/officeDocument/2006/relationships/hyperlink" Target="https://drive.google.com/drive/search?q=parent:1VmyDEdY-rZ9IfPP9oyBpoZpjcDWGggJR%20%22SP-297-Fed%2054(b.pdf%22" TargetMode="External"/><Relationship Id="rId14" Type="http://schemas.openxmlformats.org/officeDocument/2006/relationships/hyperlink" Target="https://drive.google.com/drive/search?q=parent:1OkcpifbUiC1Y6G2u5ApzxEwKzOL1_kpP%20%22R1-280-07-296-15a%20Wright.pdf%22" TargetMode="External"/><Relationship Id="rId17" Type="http://schemas.openxmlformats.org/officeDocument/2006/relationships/hyperlink" Target="https://drive.google.com/drive/search?q=parent:1VmyDEdY-rZ9IfPP9oyBpoZpjcDWGggJR%20%22SP-046-1292.pdf%22" TargetMode="External"/><Relationship Id="rId16" Type="http://schemas.openxmlformats.org/officeDocument/2006/relationships/hyperlink" Target="https://drive.google.com/drive/search?q=parent:1OkcpifbUiC1Y6G2u5ApzxEwKzOL1_kpP%20%22R1-280-08-297-Fed%2054(b.pdf%22" TargetMode="External"/><Relationship Id="rId19" Type="http://schemas.openxmlformats.org/officeDocument/2006/relationships/hyperlink" Target="https://drive.google.com/drive/search?q=parent:1VmyDEdY-rZ9IfPP9oyBpoZpjcDWGggJR%20%22SP-013-Dcor.pdf%22" TargetMode="External"/><Relationship Id="rId18" Type="http://schemas.openxmlformats.org/officeDocument/2006/relationships/hyperlink" Target="https://drive.google.com/drive/search?q=parent:1OkcpifbUiC1Y6G2u5ApzxEwKzOL1_kpP%20%22R1-280-09-046-1292.pdf%22" TargetMode="External"/><Relationship Id="rId84" Type="http://schemas.openxmlformats.org/officeDocument/2006/relationships/hyperlink" Target="https://drive.google.com/drive/search?q=parent:1OkcpifbUiC1Y6G2u5ApzxEwKzOL1_kpP%20%22R1-297-04-309-Supra%20Notes%2067.pdf%22" TargetMode="External"/><Relationship Id="rId83" Type="http://schemas.openxmlformats.org/officeDocument/2006/relationships/hyperlink" Target="https://drive.google.com/drive/search?q=parent:1VmyDEdY-rZ9IfPP9oyBpoZpjcDWGggJR%20%22SP-309-Supra%20Notes%2067.pdf%22" TargetMode="External"/><Relationship Id="rId86" Type="http://schemas.openxmlformats.org/officeDocument/2006/relationships/hyperlink" Target="https://drive.google.com/drive/search?q=parent:1OkcpifbUiC1Y6G2u5ApzxEwKzOL1_kpP%20%22R1-298-01-310-Supra%20Notes%20132-194%20and%20Accompanying%20Text.pdf%22" TargetMode="External"/><Relationship Id="rId85" Type="http://schemas.openxmlformats.org/officeDocument/2006/relationships/hyperlink" Target="https://drive.google.com/drive/search?q=parent:1VmyDEdY-rZ9IfPP9oyBpoZpjcDWGggJR%20%22SP-310-Supra%20Notes%20132-194%20and%20Accompanying%20Text.pdf%22" TargetMode="External"/><Relationship Id="rId88" Type="http://schemas.openxmlformats.org/officeDocument/2006/relationships/hyperlink" Target="https://drive.google.com/drive/search?q=parent:1OkcpifbUiC1Y6G2u5ApzxEwKzOL1_kpP%20%22R1-299-01-311-Supra%20Notes%20127.pdf%22" TargetMode="External"/><Relationship Id="rId150" Type="http://schemas.openxmlformats.org/officeDocument/2006/relationships/hyperlink" Target="https://drive.google.com/drive/search?q=parent:1OkcpifbUiC1Y6G2u5ApzxEwKzOL1_kpP%20%22R1-319-02-324-28%20USC%202702(c).pdf%22" TargetMode="External"/><Relationship Id="rId87" Type="http://schemas.openxmlformats.org/officeDocument/2006/relationships/hyperlink" Target="https://drive.google.com/drive/search?q=parent:1VmyDEdY-rZ9IfPP9oyBpoZpjcDWGggJR%20%22SP-311-Supra%20Notes%20127.pdf%22" TargetMode="External"/><Relationship Id="rId89" Type="http://schemas.openxmlformats.org/officeDocument/2006/relationships/hyperlink" Target="https://drive.google.com/drive/search?q=parent:1VmyDEdY-rZ9IfPP9oyBpoZpjcDWGggJR%20%22SP-021-Lammon%20Appealability.pdf%22" TargetMode="External"/><Relationship Id="rId80" Type="http://schemas.openxmlformats.org/officeDocument/2006/relationships/hyperlink" Target="https://drive.google.com/drive/search?q=parent:1OkcpifbUiC1Y6G2u5ApzxEwKzOL1_kpP%20%22R1-297-02-046-1292.pdf%22" TargetMode="External"/><Relationship Id="rId82" Type="http://schemas.openxmlformats.org/officeDocument/2006/relationships/hyperlink" Target="https://drive.google.com/drive/search?q=parent:1OkcpifbUiC1Y6G2u5ApzxEwKzOL1_kpP%20%22R1-297-03-141-Jeannette%20Sheet%20Glass%20Corp%20v%20United%20States.pdf%22" TargetMode="External"/><Relationship Id="rId81" Type="http://schemas.openxmlformats.org/officeDocument/2006/relationships/hyperlink" Target="https://drive.google.com/drive/search?q=parent:1VmyDEdY-rZ9IfPP9oyBpoZpjcDWGggJR%20%22SP-141-Jeannette%20Sheet%20Glass%20Corp%20v%20United%20States.pdf%22" TargetMode="External"/><Relationship Id="rId1" Type="http://schemas.openxmlformats.org/officeDocument/2006/relationships/hyperlink" Target="https://drive.google.com/drive/search?q=parent:1VmyDEdY-rZ9IfPP9oyBpoZpjcDWGggJR%20%22SP-206-Gallatin%20Wildlife%20Ass'n%20v%20US%20Forest%20Serv.pdf%22" TargetMode="External"/><Relationship Id="rId2" Type="http://schemas.openxmlformats.org/officeDocument/2006/relationships/hyperlink" Target="https://drive.google.com/drive/search?q=parent:1OkcpifbUiC1Y6G2u5ApzxEwKzOL1_kpP%20%22R1-280-01-206-Gallatin%20Wildlife%20Ass'n%20v%20US%20Forest%20Serv.pdf%22" TargetMode="External"/><Relationship Id="rId3" Type="http://schemas.openxmlformats.org/officeDocument/2006/relationships/hyperlink" Target="https://drive.google.com/drive/search?q=parent:1VmyDEdY-rZ9IfPP9oyBpoZpjcDWGggJR%20%22SP-152-Miami%20Tribe.pdf%22" TargetMode="External"/><Relationship Id="rId149" Type="http://schemas.openxmlformats.org/officeDocument/2006/relationships/hyperlink" Target="https://drive.google.com/drive/search?q=parent:1VmyDEdY-rZ9IfPP9oyBpoZpjcDWGggJR%20%22SP-324-28%20USC%202702(c).pdf%22" TargetMode="External"/><Relationship Id="rId4" Type="http://schemas.openxmlformats.org/officeDocument/2006/relationships/hyperlink" Target="https://drive.google.com/drive/search?q=parent:1OkcpifbUiC1Y6G2u5ApzxEwKzOL1_kpP%20%22R1-280-02-152-Miami%20Tribe.pdf%22" TargetMode="External"/><Relationship Id="rId148" Type="http://schemas.openxmlformats.org/officeDocument/2006/relationships/hyperlink" Target="https://drive.google.com/drive/search?q=parent:1OkcpifbUiC1Y6G2u5ApzxEwKzOL1_kpP%20%22R1-319-01-021-Lammon%20Appealability.pdf%22" TargetMode="External"/><Relationship Id="rId9" Type="http://schemas.openxmlformats.org/officeDocument/2006/relationships/hyperlink" Target="https://drive.google.com/drive/search?q=parent:1VmyDEdY-rZ9IfPP9oyBpoZpjcDWGggJR%20%22SP-130-McCoy%20v%20Schweiker.pdf%22" TargetMode="External"/><Relationship Id="rId143" Type="http://schemas.openxmlformats.org/officeDocument/2006/relationships/hyperlink" Target="https://drive.google.com/drive/search?q=parent:1VmyDEdY-rZ9IfPP9oyBpoZpjcDWGggJR%20%22SP-322-28%20USC%201295.pdf%22" TargetMode="External"/><Relationship Id="rId142" Type="http://schemas.openxmlformats.org/officeDocument/2006/relationships/hyperlink" Target="https://drive.google.com/drive/search?q=parent:1OkcpifbUiC1Y6G2u5ApzxEwKzOL1_kpP%20%22R1-318-02-321-28%20USC%202253.pdf%22" TargetMode="External"/><Relationship Id="rId141" Type="http://schemas.openxmlformats.org/officeDocument/2006/relationships/hyperlink" Target="https://drive.google.com/drive/search?q=parent:1VmyDEdY-rZ9IfPP9oyBpoZpjcDWGggJR%20%22SP-321-28%20USC%202253.pdf%22" TargetMode="External"/><Relationship Id="rId140" Type="http://schemas.openxmlformats.org/officeDocument/2006/relationships/hyperlink" Target="https://drive.google.com/drive/search?q=parent:1OkcpifbUiC1Y6G2u5ApzxEwKzOL1_kpP%20%22R1-318-01-320-28%20USC%20158(d.pdf%22" TargetMode="External"/><Relationship Id="rId5" Type="http://schemas.openxmlformats.org/officeDocument/2006/relationships/hyperlink" Target="https://drive.google.com/drive/search?q=parent:1VmyDEdY-rZ9IfPP9oyBpoZpjcDWGggJR%20%22SP-295-Utah%20State%20Dep't%20of%20Health%20v%20Kennecott%20Corp.pdf%22" TargetMode="External"/><Relationship Id="rId147" Type="http://schemas.openxmlformats.org/officeDocument/2006/relationships/hyperlink" Target="https://drive.google.com/drive/search?q=parent:1VmyDEdY-rZ9IfPP9oyBpoZpjcDWGggJR%20%22SP-021-Lammon%20Appealability.pdf%22" TargetMode="External"/><Relationship Id="rId6" Type="http://schemas.openxmlformats.org/officeDocument/2006/relationships/hyperlink" Target="https://drive.google.com/drive/search?q=parent:1OkcpifbUiC1Y6G2u5ApzxEwKzOL1_kpP%20%22R1-280-03-295-Utah%20State%20Dep't%20of%20Health%20v%20Kennecott%20Corp.pdf%22" TargetMode="External"/><Relationship Id="rId146" Type="http://schemas.openxmlformats.org/officeDocument/2006/relationships/hyperlink" Target="https://drive.google.com/drive/search?q=parent:1OkcpifbUiC1Y6G2u5ApzxEwKzOL1_kpP%20%22R1-318-04-323-38%20USC%207291.pdf%22" TargetMode="External"/><Relationship Id="rId7" Type="http://schemas.openxmlformats.org/officeDocument/2006/relationships/hyperlink" Target="https://drive.google.com/drive/search?q=parent:1VmyDEdY-rZ9IfPP9oyBpoZpjcDWGggJR%20%22SP-128-Cabot%20Corp%20v%20United%20States.pdf%22" TargetMode="External"/><Relationship Id="rId145" Type="http://schemas.openxmlformats.org/officeDocument/2006/relationships/hyperlink" Target="https://drive.google.com/drive/search?q=parent:1VmyDEdY-rZ9IfPP9oyBpoZpjcDWGggJR%20%22SP-323-38%20USC%207291.pdf%22" TargetMode="External"/><Relationship Id="rId8" Type="http://schemas.openxmlformats.org/officeDocument/2006/relationships/hyperlink" Target="https://drive.google.com/drive/search?q=parent:1OkcpifbUiC1Y6G2u5ApzxEwKzOL1_kpP%20%22R1-280-04-128-Cabot%20Corp%20v%20United%20States.pdf%22" TargetMode="External"/><Relationship Id="rId144" Type="http://schemas.openxmlformats.org/officeDocument/2006/relationships/hyperlink" Target="https://drive.google.com/drive/search?q=parent:1OkcpifbUiC1Y6G2u5ApzxEwKzOL1_kpP%20%22R1-318-03-322-28%20USC%201295.pdf%22" TargetMode="External"/><Relationship Id="rId73" Type="http://schemas.openxmlformats.org/officeDocument/2006/relationships/hyperlink" Target="https://drive.google.com/drive/search?q=parent:1VmyDEdY-rZ9IfPP9oyBpoZpjcDWGggJR%20%22SP-102-McGourkey%20v%20Toledo%20and%20Ohio%20CR%20Co.pdf%22" TargetMode="External"/><Relationship Id="rId72" Type="http://schemas.openxmlformats.org/officeDocument/2006/relationships/hyperlink" Target="https://drive.google.com/drive/search?q=parent:1OkcpifbUiC1Y6G2u5ApzxEwKzOL1_kpP%20%22R1-294-01-063-Revesz.pdf%22" TargetMode="External"/><Relationship Id="rId75" Type="http://schemas.openxmlformats.org/officeDocument/2006/relationships/hyperlink" Target="https://drive.google.com/drive/search?q=parent:1VmyDEdY-rZ9IfPP9oyBpoZpjcDWGggJR%20%22SP-102-McGourkey%20v%20Toledo%20and%20Ohio%20CR%20Co.pdf%22" TargetMode="External"/><Relationship Id="rId74" Type="http://schemas.openxmlformats.org/officeDocument/2006/relationships/hyperlink" Target="https://drive.google.com/drive/search?q=parent:1OkcpifbUiC1Y6G2u5ApzxEwKzOL1_kpP%20%22R1-295-01-102-McGourkey%20v%20Toledo%20and%20Ohio%20CR%20Co.pdf%22" TargetMode="External"/><Relationship Id="rId77" Type="http://schemas.openxmlformats.org/officeDocument/2006/relationships/hyperlink" Target="https://drive.google.com/drive/search?q=parent:1VmyDEdY-rZ9IfPP9oyBpoZpjcDWGggJR%20%22SP-308-Rule%2054(b).pdf%22" TargetMode="External"/><Relationship Id="rId76" Type="http://schemas.openxmlformats.org/officeDocument/2006/relationships/hyperlink" Target="https://drive.google.com/drive/search?q=parent:1OkcpifbUiC1Y6G2u5ApzxEwKzOL1_kpP%20%22R1-296-01-102-McGourkey%20v%20Toledo%20and%20Ohio%20CR%20Co.pdf%22" TargetMode="External"/><Relationship Id="rId79" Type="http://schemas.openxmlformats.org/officeDocument/2006/relationships/hyperlink" Target="https://drive.google.com/drive/search?q=parent:1VmyDEdY-rZ9IfPP9oyBpoZpjcDWGggJR%20%22SP-046-1292.pdf%22" TargetMode="External"/><Relationship Id="rId78" Type="http://schemas.openxmlformats.org/officeDocument/2006/relationships/hyperlink" Target="https://drive.google.com/drive/search?q=parent:1OkcpifbUiC1Y6G2u5ApzxEwKzOL1_kpP%20%22R1-297-01-308-Rule%2054(b).pdf%22" TargetMode="External"/><Relationship Id="rId71" Type="http://schemas.openxmlformats.org/officeDocument/2006/relationships/hyperlink" Target="https://drive.google.com/drive/search?q=parent:1VmyDEdY-rZ9IfPP9oyBpoZpjcDWGggJR%20%22SP-063-Revesz.pdf%22" TargetMode="External"/><Relationship Id="rId70" Type="http://schemas.openxmlformats.org/officeDocument/2006/relationships/hyperlink" Target="https://drive.google.com/drive/search?q=parent:1OkcpifbUiC1Y6G2u5ApzxEwKzOL1_kpP%20%22R1-293-02-307-Supra%20Notes%20272-277%20and%20Accompanying%20Text.pdf%22" TargetMode="External"/><Relationship Id="rId139" Type="http://schemas.openxmlformats.org/officeDocument/2006/relationships/hyperlink" Target="https://drive.google.com/drive/search?q=parent:1VmyDEdY-rZ9IfPP9oyBpoZpjcDWGggJR%20%22SP-320-28%20USC%20158(d.pdf%22" TargetMode="External"/><Relationship Id="rId138" Type="http://schemas.openxmlformats.org/officeDocument/2006/relationships/hyperlink" Target="https://drive.google.com/drive/search?q=parent:1OkcpifbUiC1Y6G2u5ApzxEwKzOL1_kpP%20%22R1-317-01-022-Lammon%20Dizzying.pdf%22" TargetMode="External"/><Relationship Id="rId137" Type="http://schemas.openxmlformats.org/officeDocument/2006/relationships/hyperlink" Target="https://drive.google.com/drive/search?q=parent:1VmyDEdY-rZ9IfPP9oyBpoZpjcDWGggJR%20%22SP-022-Lammon%20Dizzying.pdf%22" TargetMode="External"/><Relationship Id="rId132" Type="http://schemas.openxmlformats.org/officeDocument/2006/relationships/hyperlink" Target="https://drive.google.com/drive/search?q=parent:1OkcpifbUiC1Y6G2u5ApzxEwKzOL1_kpP%20%22R1-314-02-318-Supra%20Notes%20282-287%20and%20Accompanying%20Text.pdf%22" TargetMode="External"/><Relationship Id="rId131" Type="http://schemas.openxmlformats.org/officeDocument/2006/relationships/hyperlink" Target="https://drive.google.com/drive/search?q=parent:1VmyDEdY-rZ9IfPP9oyBpoZpjcDWGggJR%20%22SP-318-Supra%20Notes%20282-287%20and%20Accompanying%20Text.pdf%22" TargetMode="External"/><Relationship Id="rId130" Type="http://schemas.openxmlformats.org/officeDocument/2006/relationships/hyperlink" Target="https://drive.google.com/drive/search?q=parent:1OkcpifbUiC1Y6G2u5ApzxEwKzOL1_kpP%20%22R1-314-01-026-Federal%20Practice%203914%2032.pdf%22" TargetMode="External"/><Relationship Id="rId136" Type="http://schemas.openxmlformats.org/officeDocument/2006/relationships/hyperlink" Target="https://drive.google.com/drive/search?q=parent:1OkcpifbUiC1Y6G2u5ApzxEwKzOL1_kpP%20%22R1-316-01-022-Lammon%20Dizzying.pdf%22" TargetMode="External"/><Relationship Id="rId135" Type="http://schemas.openxmlformats.org/officeDocument/2006/relationships/hyperlink" Target="https://drive.google.com/drive/search?q=parent:1VmyDEdY-rZ9IfPP9oyBpoZpjcDWGggJR%20%22SP-022-Lammon%20Dizzying.pdf%22" TargetMode="External"/><Relationship Id="rId134" Type="http://schemas.openxmlformats.org/officeDocument/2006/relationships/hyperlink" Target="https://drive.google.com/drive/search?q=parent:1OkcpifbUiC1Y6G2u5ApzxEwKzOL1_kpP%20%22R1-315-01-319-Supra%20Notes%20280-281%20and%20Accompanying%20Text.pdf%22" TargetMode="External"/><Relationship Id="rId133" Type="http://schemas.openxmlformats.org/officeDocument/2006/relationships/hyperlink" Target="https://drive.google.com/drive/search?q=parent:1VmyDEdY-rZ9IfPP9oyBpoZpjcDWGggJR%20%22SP-319-Supra%20Notes%20280-281%20and%20Accompanying%20Text.pdf%22" TargetMode="External"/><Relationship Id="rId62" Type="http://schemas.openxmlformats.org/officeDocument/2006/relationships/hyperlink" Target="https://drive.google.com/drive/search?q=parent:1OkcpifbUiC1Y6G2u5ApzxEwKzOL1_kpP%20%22R1-291-03-059-Glicksman.pdf%22" TargetMode="External"/><Relationship Id="rId61" Type="http://schemas.openxmlformats.org/officeDocument/2006/relationships/hyperlink" Target="https://drive.google.com/drive/search?q=parent:1VmyDEdY-rZ9IfPP9oyBpoZpjcDWGggJR%20%22SP-059-Glicksman.pdf%22" TargetMode="External"/><Relationship Id="rId64" Type="http://schemas.openxmlformats.org/officeDocument/2006/relationships/hyperlink" Target="https://drive.google.com/drive/search?q=parent:1OkcpifbUiC1Y6G2u5ApzxEwKzOL1_kpP%20%22R1-292-01-037-Clopton.pdf%22" TargetMode="External"/><Relationship Id="rId63" Type="http://schemas.openxmlformats.org/officeDocument/2006/relationships/hyperlink" Target="https://drive.google.com/drive/search?q=parent:1VmyDEdY-rZ9IfPP9oyBpoZpjcDWGggJR%20%22SP-037-Clopton.pdf%22" TargetMode="External"/><Relationship Id="rId66" Type="http://schemas.openxmlformats.org/officeDocument/2006/relationships/hyperlink" Target="https://drive.google.com/drive/search?q=parent:1OkcpifbUiC1Y6G2u5ApzxEwKzOL1_kpP%20%22R1-292-02-250-Farber.pdf%22" TargetMode="External"/><Relationship Id="rId65" Type="http://schemas.openxmlformats.org/officeDocument/2006/relationships/hyperlink" Target="https://drive.google.com/drive/search?q=parent:1VmyDEdY-rZ9IfPP9oyBpoZpjcDWGggJR%20%22SP-250-Farber.pdf%22" TargetMode="External"/><Relationship Id="rId68" Type="http://schemas.openxmlformats.org/officeDocument/2006/relationships/hyperlink" Target="https://drive.google.com/drive/search?q=parent:1OkcpifbUiC1Y6G2u5ApzxEwKzOL1_kpP%20%22R1-293-01-250-Farber.pdf%22" TargetMode="External"/><Relationship Id="rId67" Type="http://schemas.openxmlformats.org/officeDocument/2006/relationships/hyperlink" Target="https://drive.google.com/drive/search?q=parent:1VmyDEdY-rZ9IfPP9oyBpoZpjcDWGggJR%20%22SP-250-Farber.pdf%22" TargetMode="External"/><Relationship Id="rId60" Type="http://schemas.openxmlformats.org/officeDocument/2006/relationships/hyperlink" Target="https://drive.google.com/drive/search?q=parent:1OkcpifbUiC1Y6G2u5ApzxEwKzOL1_kpP%20%22R1-291-02-063-Revesz.pdf%22" TargetMode="External"/><Relationship Id="rId165" Type="http://schemas.openxmlformats.org/officeDocument/2006/relationships/hyperlink" Target="https://drive.google.com/drive/search?q=parent:1VmyDEdY-rZ9IfPP9oyBpoZpjcDWGggJR%20%22SP-155-Cotton%20Petroleum%20Corp.pdf%22" TargetMode="External"/><Relationship Id="rId69" Type="http://schemas.openxmlformats.org/officeDocument/2006/relationships/hyperlink" Target="https://drive.google.com/drive/search?q=parent:1VmyDEdY-rZ9IfPP9oyBpoZpjcDWGggJR%20%22SP-307-Supra%20Notes%20272-277%20and%20Accompanying%20Text.pdf%22" TargetMode="External"/><Relationship Id="rId164" Type="http://schemas.openxmlformats.org/officeDocument/2006/relationships/hyperlink" Target="https://drive.google.com/drive/search?q=parent:1OkcpifbUiC1Y6G2u5ApzxEwKzOL1_kpP%20%22R1-324-01-327-Supra%20Note%20116.pdf%22" TargetMode="External"/><Relationship Id="rId163" Type="http://schemas.openxmlformats.org/officeDocument/2006/relationships/hyperlink" Target="https://drive.google.com/drive/search?q=parent:1VmyDEdY-rZ9IfPP9oyBpoZpjcDWGggJR%20%22SP-327-Supra%20Note%20116.pdf%22" TargetMode="External"/><Relationship Id="rId162" Type="http://schemas.openxmlformats.org/officeDocument/2006/relationships/hyperlink" Target="https://drive.google.com/drive/search?q=parent:1OkcpifbUiC1Y6G2u5ApzxEwKzOL1_kpP%20%22R1-323-01-326-Supra%20Notes%20299-301%20and%20Accompanying%20Text.pdf%22" TargetMode="External"/><Relationship Id="rId167" Type="http://schemas.openxmlformats.org/officeDocument/2006/relationships/drawing" Target="../drawings/drawing14.xml"/><Relationship Id="rId166" Type="http://schemas.openxmlformats.org/officeDocument/2006/relationships/hyperlink" Target="https://drive.google.com/drive/search?q=parent:1OkcpifbUiC1Y6G2u5ApzxEwKzOL1_kpP%20%22R1-324-02-155-Cotton%20Petroleum%20Corp.pdf%22" TargetMode="External"/><Relationship Id="rId51" Type="http://schemas.openxmlformats.org/officeDocument/2006/relationships/hyperlink" Target="https://drive.google.com/drive/search?q=parent:1VmyDEdY-rZ9IfPP9oyBpoZpjcDWGggJR%20%22SP-305-O'Connell%20Agency.pdf%22" TargetMode="External"/><Relationship Id="rId50" Type="http://schemas.openxmlformats.org/officeDocument/2006/relationships/hyperlink" Target="https://drive.google.com/drive/search?q=parent:1OkcpifbUiC1Y6G2u5ApzxEwKzOL1_kpP%20%22R1-288-01-250-Farber.pdf%22" TargetMode="External"/><Relationship Id="rId53" Type="http://schemas.openxmlformats.org/officeDocument/2006/relationships/hyperlink" Target="https://drive.google.com/drive/search?q=parent:1VmyDEdY-rZ9IfPP9oyBpoZpjcDWGggJR%20%22SP-306-O'Connell%20Cycles.pdf%22" TargetMode="External"/><Relationship Id="rId52" Type="http://schemas.openxmlformats.org/officeDocument/2006/relationships/hyperlink" Target="https://drive.google.com/drive/search?q=parent:1OkcpifbUiC1Y6G2u5ApzxEwKzOL1_kpP%20%22R1-289-01-305-O'Connell%20Agency.pdf%22" TargetMode="External"/><Relationship Id="rId55" Type="http://schemas.openxmlformats.org/officeDocument/2006/relationships/hyperlink" Target="https://drive.google.com/drive/search?q=parent:1VmyDEdY-rZ9IfPP9oyBpoZpjcDWGggJR%20%22SP-037-Clopton.pdf%22" TargetMode="External"/><Relationship Id="rId161" Type="http://schemas.openxmlformats.org/officeDocument/2006/relationships/hyperlink" Target="https://drive.google.com/drive/search?q=parent:1VmyDEdY-rZ9IfPP9oyBpoZpjcDWGggJR%20%22SP-326-Supra%20Notes%20299-301%20and%20Accompanying%20Text.pdf%22" TargetMode="External"/><Relationship Id="rId54" Type="http://schemas.openxmlformats.org/officeDocument/2006/relationships/hyperlink" Target="https://drive.google.com/drive/search?q=parent:1OkcpifbUiC1Y6G2u5ApzxEwKzOL1_kpP%20%22R1-289-02-306-O'Connell%20Cycles.pdf%22" TargetMode="External"/><Relationship Id="rId160" Type="http://schemas.openxmlformats.org/officeDocument/2006/relationships/hyperlink" Target="https://drive.google.com/drive/search?q=parent:1OkcpifbUiC1Y6G2u5ApzxEwKzOL1_kpP%20%22R1-322-01-055-Bagley.pdf%22" TargetMode="External"/><Relationship Id="rId57" Type="http://schemas.openxmlformats.org/officeDocument/2006/relationships/hyperlink" Target="https://drive.google.com/drive/search?q=parent:1VmyDEdY-rZ9IfPP9oyBpoZpjcDWGggJR%20%22SP-033-CTR%20for%20Biological%20Diversity%20v%20Bureau%20of%20Land%20MGMT.pdf%22" TargetMode="External"/><Relationship Id="rId56" Type="http://schemas.openxmlformats.org/officeDocument/2006/relationships/hyperlink" Target="https://drive.google.com/drive/search?q=parent:1OkcpifbUiC1Y6G2u5ApzxEwKzOL1_kpP%20%22R1-290-01-037-Clopton.pdf%22" TargetMode="External"/><Relationship Id="rId159" Type="http://schemas.openxmlformats.org/officeDocument/2006/relationships/hyperlink" Target="https://drive.google.com/drive/search?q=parent:1VmyDEdY-rZ9IfPP9oyBpoZpjcDWGggJR%20%22SP-055-Bagley.pdf%22" TargetMode="External"/><Relationship Id="rId59" Type="http://schemas.openxmlformats.org/officeDocument/2006/relationships/hyperlink" Target="https://drive.google.com/drive/search?q=parent:1VmyDEdY-rZ9IfPP9oyBpoZpjcDWGggJR%20%22SP-063-Revesz.pdf%22" TargetMode="External"/><Relationship Id="rId154" Type="http://schemas.openxmlformats.org/officeDocument/2006/relationships/hyperlink" Target="https://drive.google.com/drive/search?q=parent:1OkcpifbUiC1Y6G2u5ApzxEwKzOL1_kpP%20%22R1-320-02-046-1292.pdf%22" TargetMode="External"/><Relationship Id="rId58" Type="http://schemas.openxmlformats.org/officeDocument/2006/relationships/hyperlink" Target="https://drive.google.com/drive/search?q=parent:1OkcpifbUiC1Y6G2u5ApzxEwKzOL1_kpP%20%22R1-291-01-033-CTR%20for%20Biological%20Diversity%20v%20Bureau%20of%20Land%20MGMT.pdf%22" TargetMode="External"/><Relationship Id="rId153" Type="http://schemas.openxmlformats.org/officeDocument/2006/relationships/hyperlink" Target="https://drive.google.com/drive/search?q=parent:1VmyDEdY-rZ9IfPP9oyBpoZpjcDWGggJR%20%22SP-046-1292.pdf%22" TargetMode="External"/><Relationship Id="rId152" Type="http://schemas.openxmlformats.org/officeDocument/2006/relationships/hyperlink" Target="https://drive.google.com/drive/search?q=parent:1OkcpifbUiC1Y6G2u5ApzxEwKzOL1_kpP%20%22R1-320-01-324-28%20USC%202702(c).pdf%22" TargetMode="External"/><Relationship Id="rId151" Type="http://schemas.openxmlformats.org/officeDocument/2006/relationships/hyperlink" Target="https://drive.google.com/drive/search?q=parent:1VmyDEdY-rZ9IfPP9oyBpoZpjcDWGggJR%20%22SP-324-28%20USC%202702(c).pdf%22" TargetMode="External"/><Relationship Id="rId158" Type="http://schemas.openxmlformats.org/officeDocument/2006/relationships/hyperlink" Target="https://drive.google.com/drive/search?q=parent:1OkcpifbUiC1Y6G2u5ApzxEwKzOL1_kpP%20%22R1-321-02-060-Walker%20Referral.pdf%22" TargetMode="External"/><Relationship Id="rId157" Type="http://schemas.openxmlformats.org/officeDocument/2006/relationships/hyperlink" Target="https://drive.google.com/drive/search?q=parent:1VmyDEdY-rZ9IfPP9oyBpoZpjcDWGggJR%20%22SP-060-Walker%20Referral.pdf%22" TargetMode="External"/><Relationship Id="rId156" Type="http://schemas.openxmlformats.org/officeDocument/2006/relationships/hyperlink" Target="https://drive.google.com/drive/search?q=parent:1OkcpifbUiC1Y6G2u5ApzxEwKzOL1_kpP%20%22R1-321-01-325-Walker%20James.pdf%22" TargetMode="External"/><Relationship Id="rId155" Type="http://schemas.openxmlformats.org/officeDocument/2006/relationships/hyperlink" Target="https://drive.google.com/drive/search?q=parent:1VmyDEdY-rZ9IfPP9oyBpoZpjcDWGggJR%20%22SP-325-Walker%20James.pdf%22" TargetMode="External"/><Relationship Id="rId107" Type="http://schemas.openxmlformats.org/officeDocument/2006/relationships/hyperlink" Target="https://drive.google.com/drive/search?q=parent:1VmyDEdY-rZ9IfPP9oyBpoZpjcDWGggJR%20%22SP-176-Littlefield%20v%20Mashpee%20Wampanoag%20Indian%20Tribe.pdf%22" TargetMode="External"/><Relationship Id="rId106" Type="http://schemas.openxmlformats.org/officeDocument/2006/relationships/hyperlink" Target="https://drive.google.com/drive/search?q=parent:1OkcpifbUiC1Y6G2u5ApzxEwKzOL1_kpP%20%22R1-306-01-137-Bender%20v%20Clark.pdf%22" TargetMode="External"/><Relationship Id="rId105" Type="http://schemas.openxmlformats.org/officeDocument/2006/relationships/hyperlink" Target="https://drive.google.com/drive/search?q=parent:1VmyDEdY-rZ9IfPP9oyBpoZpjcDWGggJR%20%22SP-137-Bender%20v%20Clark.pdf%22" TargetMode="External"/><Relationship Id="rId104" Type="http://schemas.openxmlformats.org/officeDocument/2006/relationships/hyperlink" Target="https://drive.google.com/drive/search?q=parent:1OkcpifbUiC1Y6G2u5ApzxEwKzOL1_kpP%20%22R1-305-01-223-S%20Utah%20Wilderness%20Alliance%20v%20Kempthorne.pdf%22" TargetMode="External"/><Relationship Id="rId109" Type="http://schemas.openxmlformats.org/officeDocument/2006/relationships/hyperlink" Target="https://drive.google.com/drive/search?q=parent:1VmyDEdY-rZ9IfPP9oyBpoZpjcDWGggJR%20%22SP-316-Supra%20Notes%20115.pdf%22" TargetMode="External"/><Relationship Id="rId108" Type="http://schemas.openxmlformats.org/officeDocument/2006/relationships/hyperlink" Target="https://drive.google.com/drive/search?q=parent:1OkcpifbUiC1Y6G2u5ApzxEwKzOL1_kpP%20%22R1-306-02-176-Littlefield%20v%20Mashpee%20Wampanoag%20Indian%20Tribe.pdf%22" TargetMode="External"/><Relationship Id="rId103" Type="http://schemas.openxmlformats.org/officeDocument/2006/relationships/hyperlink" Target="https://drive.google.com/drive/search?q=parent:1VmyDEdY-rZ9IfPP9oyBpoZpjcDWGggJR%20%22SP-223-S%20Utah%20Wilderness%20Alliance%20v%20Kempthorne.pdf%22" TargetMode="External"/><Relationship Id="rId102" Type="http://schemas.openxmlformats.org/officeDocument/2006/relationships/hyperlink" Target="https://drive.google.com/drive/search?q=parent:1OkcpifbUiC1Y6G2u5ApzxEwKzOL1_kpP%20%22R1-304-02-315-Supra%20Note%20174%20and%20Accompanying%20Text.pdf%22" TargetMode="External"/><Relationship Id="rId101" Type="http://schemas.openxmlformats.org/officeDocument/2006/relationships/hyperlink" Target="https://drive.google.com/drive/search?q=parent:1VmyDEdY-rZ9IfPP9oyBpoZpjcDWGggJR%20%22SP-315-Supra%20Note%20174%20and%20Accompanying%20Text.pdf%22" TargetMode="External"/><Relationship Id="rId100" Type="http://schemas.openxmlformats.org/officeDocument/2006/relationships/hyperlink" Target="https://drive.google.com/drive/search?q=parent:1OkcpifbUiC1Y6G2u5ApzxEwKzOL1_kpP%20%22R1-304-01-314-Supra%20Note%20175%20and%20Accompanying%20Text.pdf%22" TargetMode="External"/><Relationship Id="rId129" Type="http://schemas.openxmlformats.org/officeDocument/2006/relationships/hyperlink" Target="https://drive.google.com/drive/search?q=parent:1VmyDEdY-rZ9IfPP9oyBpoZpjcDWGggJR%20%22SP-026-Federal%20Practice%203914%2032.pdf%22" TargetMode="External"/><Relationship Id="rId128" Type="http://schemas.openxmlformats.org/officeDocument/2006/relationships/hyperlink" Target="https://drive.google.com/drive/search?q=parent:1OkcpifbUiC1Y6G2u5ApzxEwKzOL1_kpP%20%22R1-313-01-317-Supra%20Note%20269%20and%20Accompanying%20Text.pdf%22" TargetMode="External"/><Relationship Id="rId127" Type="http://schemas.openxmlformats.org/officeDocument/2006/relationships/hyperlink" Target="https://drive.google.com/drive/search?q=parent:1VmyDEdY-rZ9IfPP9oyBpoZpjcDWGggJR%20%22SP-317-Supra%20Note%20269%20and%20Accompanying%20Text.pdf%22" TargetMode="External"/><Relationship Id="rId126" Type="http://schemas.openxmlformats.org/officeDocument/2006/relationships/hyperlink" Target="https://drive.google.com/drive/search?q=parent:1OkcpifbUiC1Y6G2u5ApzxEwKzOL1_kpP%20%22R1-312-01-091-Heppner.pdf%22" TargetMode="External"/><Relationship Id="rId121" Type="http://schemas.openxmlformats.org/officeDocument/2006/relationships/hyperlink" Target="https://drive.google.com/drive/search?q=parent:1VmyDEdY-rZ9IfPP9oyBpoZpjcDWGggJR%20%22SP-116-Travelstead%20v%20Derwinski.pdf%22" TargetMode="External"/><Relationship Id="rId120" Type="http://schemas.openxmlformats.org/officeDocument/2006/relationships/hyperlink" Target="https://drive.google.com/drive/search?q=parent:1OkcpifbUiC1Y6G2u5ApzxEwKzOL1_kpP%20%22R1-310-01-116-Travelstead%20v%20Derwinski.pdf%22" TargetMode="External"/><Relationship Id="rId125" Type="http://schemas.openxmlformats.org/officeDocument/2006/relationships/hyperlink" Target="https://drive.google.com/drive/search?q=parent:1VmyDEdY-rZ9IfPP9oyBpoZpjcDWGggJR%20%22SP-091-Heppner.pdf%22" TargetMode="External"/><Relationship Id="rId124" Type="http://schemas.openxmlformats.org/officeDocument/2006/relationships/hyperlink" Target="https://drive.google.com/drive/search?q=parent:1OkcpifbUiC1Y6G2u5ApzxEwKzOL1_kpP%20%22R1-311-01-091-Heppner.pdf%22" TargetMode="External"/><Relationship Id="rId123" Type="http://schemas.openxmlformats.org/officeDocument/2006/relationships/hyperlink" Target="https://drive.google.com/drive/search?q=parent:1VmyDEdY-rZ9IfPP9oyBpoZpjcDWGggJR%20%22SP-091-Heppner.pdf%22" TargetMode="External"/><Relationship Id="rId122" Type="http://schemas.openxmlformats.org/officeDocument/2006/relationships/hyperlink" Target="https://drive.google.com/drive/search?q=parent:1OkcpifbUiC1Y6G2u5ApzxEwKzOL1_kpP%20%22R1-310-02-116-Travelstead%20v%20Derwinski.pdf%22" TargetMode="External"/><Relationship Id="rId95" Type="http://schemas.openxmlformats.org/officeDocument/2006/relationships/hyperlink" Target="https://drive.google.com/drive/search?q=parent:1VmyDEdY-rZ9IfPP9oyBpoZpjcDWGggJR%20%22SP-266-Supra%20Notes%20136-137%20and%20Accompanying%20Text.pdf%22" TargetMode="External"/><Relationship Id="rId94" Type="http://schemas.openxmlformats.org/officeDocument/2006/relationships/hyperlink" Target="https://drive.google.com/drive/search?q=parent:1OkcpifbUiC1Y6G2u5ApzxEwKzOL1_kpP%20%22R1-302-01-313-Supra%20Note%20136%20and%20Accompanying%20Text.pdf%22" TargetMode="External"/><Relationship Id="rId97" Type="http://schemas.openxmlformats.org/officeDocument/2006/relationships/hyperlink" Target="https://drive.google.com/drive/search?q=parent:1VmyDEdY-rZ9IfPP9oyBpoZpjcDWGggJR%20%22SP-084-Lammon%20Disarming.pdf%22" TargetMode="External"/><Relationship Id="rId96" Type="http://schemas.openxmlformats.org/officeDocument/2006/relationships/hyperlink" Target="https://drive.google.com/drive/search?q=parent:1OkcpifbUiC1Y6G2u5ApzxEwKzOL1_kpP%20%22R1-303-01-266-Supra%20Notes%20136-137%20and%20Accompanying%20Text.pdf%22" TargetMode="External"/><Relationship Id="rId99" Type="http://schemas.openxmlformats.org/officeDocument/2006/relationships/hyperlink" Target="https://drive.google.com/drive/search?q=parent:1VmyDEdY-rZ9IfPP9oyBpoZpjcDWGggJR%20%22SP-314-Supra%20Note%20175%20and%20Accompanying%20Text.pdf%22" TargetMode="External"/><Relationship Id="rId98" Type="http://schemas.openxmlformats.org/officeDocument/2006/relationships/hyperlink" Target="https://drive.google.com/drive/search?q=parent:1OkcpifbUiC1Y6G2u5ApzxEwKzOL1_kpP%20%22R1-303-02-084-Lammon%20Disarming.pdf%22" TargetMode="External"/><Relationship Id="rId91" Type="http://schemas.openxmlformats.org/officeDocument/2006/relationships/hyperlink" Target="https://drive.google.com/drive/search?q=parent:1VmyDEdY-rZ9IfPP9oyBpoZpjcDWGggJR%20%22SP-312-Supra%20Note%20163%20and%20Accompanying%20Text.pdf%22" TargetMode="External"/><Relationship Id="rId90" Type="http://schemas.openxmlformats.org/officeDocument/2006/relationships/hyperlink" Target="https://drive.google.com/drive/search?q=parent:1OkcpifbUiC1Y6G2u5ApzxEwKzOL1_kpP%20%22R1-300-01-021-Lammon%20Appealability.pdf%22" TargetMode="External"/><Relationship Id="rId93" Type="http://schemas.openxmlformats.org/officeDocument/2006/relationships/hyperlink" Target="https://drive.google.com/drive/search?q=parent:1VmyDEdY-rZ9IfPP9oyBpoZpjcDWGggJR%20%22SP-313-Supra%20Note%20136%20and%20Accompanying%20Text.pdf%22" TargetMode="External"/><Relationship Id="rId92" Type="http://schemas.openxmlformats.org/officeDocument/2006/relationships/hyperlink" Target="https://drive.google.com/drive/search?q=parent:1OkcpifbUiC1Y6G2u5ApzxEwKzOL1_kpP%20%22R1-301-01-312-Supra%20Note%20163%20and%20Accompanying%20Text.pdf%22" TargetMode="External"/><Relationship Id="rId118" Type="http://schemas.openxmlformats.org/officeDocument/2006/relationships/hyperlink" Target="https://drive.google.com/drive/search?q=parent:1OkcpifbUiC1Y6G2u5ApzxEwKzOL1_kpP%20%22R1-309-02-027-Federal%20Practice%203903.pdf%22" TargetMode="External"/><Relationship Id="rId117" Type="http://schemas.openxmlformats.org/officeDocument/2006/relationships/hyperlink" Target="https://drive.google.com/drive/search?q=parent:1VmyDEdY-rZ9IfPP9oyBpoZpjcDWGggJR%20%22SP-027-Federal%20Practice%203903.pdf%22" TargetMode="External"/><Relationship Id="rId116" Type="http://schemas.openxmlformats.org/officeDocument/2006/relationships/hyperlink" Target="https://drive.google.com/drive/search?q=parent:1OkcpifbUiC1Y6G2u5ApzxEwKzOL1_kpP%20%22R1-309-01-026-Federal%20Practice%203914%2032.pdf%22" TargetMode="External"/><Relationship Id="rId115" Type="http://schemas.openxmlformats.org/officeDocument/2006/relationships/hyperlink" Target="https://drive.google.com/drive/search?q=parent:1VmyDEdY-rZ9IfPP9oyBpoZpjcDWGggJR%20%22SP-026-Federal%20Practice%203914%2032.pdf%22" TargetMode="External"/><Relationship Id="rId119" Type="http://schemas.openxmlformats.org/officeDocument/2006/relationships/hyperlink" Target="https://drive.google.com/drive/search?q=parent:1VmyDEdY-rZ9IfPP9oyBpoZpjcDWGggJR%20%22SP-116-Travelstead%20v%20Derwinski.pdf%22" TargetMode="External"/><Relationship Id="rId110" Type="http://schemas.openxmlformats.org/officeDocument/2006/relationships/hyperlink" Target="https://drive.google.com/drive/search?q=parent:1OkcpifbUiC1Y6G2u5ApzxEwKzOL1_kpP%20%22R1-307-01-316-Supra%20Notes%20115.pdf%22" TargetMode="External"/><Relationship Id="rId114" Type="http://schemas.openxmlformats.org/officeDocument/2006/relationships/hyperlink" Target="https://drive.google.com/drive/search?q=parent:1OkcpifbUiC1Y6G2u5ApzxEwKzOL1_kpP%20%22R1-308-02-054-Digital%20Equip%20Corp.pdf%22" TargetMode="External"/><Relationship Id="rId113" Type="http://schemas.openxmlformats.org/officeDocument/2006/relationships/hyperlink" Target="https://drive.google.com/drive/search?q=parent:1VmyDEdY-rZ9IfPP9oyBpoZpjcDWGggJR%20%22SP-054-Digital%20Equip%20Corp.pdf%22" TargetMode="External"/><Relationship Id="rId112" Type="http://schemas.openxmlformats.org/officeDocument/2006/relationships/hyperlink" Target="https://drive.google.com/drive/search?q=parent:1OkcpifbUiC1Y6G2u5ApzxEwKzOL1_kpP%20%22R1-308-01-081-Mohawk.pdf%22" TargetMode="External"/><Relationship Id="rId111" Type="http://schemas.openxmlformats.org/officeDocument/2006/relationships/hyperlink" Target="https://drive.google.com/drive/search?q=parent:1VmyDEdY-rZ9IfPP9oyBpoZpjcDWGggJR%20%22SP-081-Mohawk.pdf%2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8.13"/>
    <col customWidth="1" min="3" max="3" width="36.38"/>
  </cols>
  <sheetData>
    <row r="1" ht="38.25" customHeight="1">
      <c r="A1" s="1"/>
      <c r="B1" s="2"/>
      <c r="C1" s="2"/>
      <c r="D1" s="1"/>
      <c r="E1" s="1"/>
      <c r="F1" s="1"/>
      <c r="G1" s="1"/>
      <c r="H1" s="1"/>
      <c r="I1" s="1"/>
      <c r="J1" s="1"/>
      <c r="K1" s="1"/>
      <c r="L1" s="1"/>
      <c r="M1" s="1"/>
      <c r="N1" s="1"/>
      <c r="O1" s="1"/>
      <c r="P1" s="1"/>
      <c r="Q1" s="1"/>
      <c r="R1" s="1"/>
      <c r="S1" s="1"/>
      <c r="T1" s="1"/>
      <c r="U1" s="1"/>
      <c r="V1" s="1"/>
      <c r="W1" s="1"/>
      <c r="X1" s="1"/>
      <c r="Y1" s="1"/>
    </row>
    <row r="2">
      <c r="A2" s="3"/>
      <c r="B2" s="4" t="s">
        <v>0</v>
      </c>
      <c r="C2" s="5">
        <v>78.0</v>
      </c>
      <c r="D2" s="6"/>
      <c r="E2" s="1"/>
      <c r="F2" s="1"/>
      <c r="G2" s="1"/>
      <c r="H2" s="1"/>
      <c r="I2" s="1"/>
      <c r="J2" s="1"/>
      <c r="K2" s="1"/>
      <c r="L2" s="1"/>
      <c r="M2" s="1"/>
      <c r="N2" s="1"/>
      <c r="O2" s="1"/>
      <c r="P2" s="1"/>
      <c r="Q2" s="1"/>
      <c r="R2" s="1"/>
      <c r="S2" s="1"/>
      <c r="T2" s="1"/>
      <c r="U2" s="1"/>
      <c r="V2" s="1"/>
      <c r="W2" s="1"/>
      <c r="X2" s="1"/>
      <c r="Y2" s="1"/>
    </row>
    <row r="3">
      <c r="A3" s="3"/>
      <c r="B3" s="4" t="s">
        <v>1</v>
      </c>
      <c r="C3" s="5">
        <v>6.0</v>
      </c>
      <c r="D3" s="6"/>
      <c r="E3" s="1"/>
      <c r="F3" s="1"/>
      <c r="G3" s="1"/>
      <c r="H3" s="1"/>
      <c r="I3" s="1"/>
      <c r="J3" s="1"/>
      <c r="K3" s="1"/>
      <c r="L3" s="1"/>
      <c r="M3" s="1"/>
      <c r="N3" s="1"/>
      <c r="O3" s="1"/>
      <c r="P3" s="1"/>
      <c r="Q3" s="1"/>
      <c r="R3" s="1"/>
      <c r="S3" s="1"/>
      <c r="T3" s="1"/>
      <c r="U3" s="1"/>
      <c r="V3" s="1"/>
      <c r="W3" s="1"/>
      <c r="X3" s="1"/>
      <c r="Y3" s="1"/>
    </row>
    <row r="4">
      <c r="A4" s="3"/>
      <c r="B4" s="4" t="s">
        <v>2</v>
      </c>
      <c r="C4" s="7" t="s">
        <v>3</v>
      </c>
      <c r="D4" s="8"/>
      <c r="E4" s="1"/>
      <c r="F4" s="1"/>
      <c r="G4" s="1"/>
      <c r="H4" s="1"/>
      <c r="I4" s="1"/>
      <c r="J4" s="1"/>
      <c r="K4" s="1"/>
      <c r="L4" s="1"/>
      <c r="M4" s="1"/>
      <c r="N4" s="1"/>
      <c r="O4" s="1"/>
      <c r="P4" s="1"/>
      <c r="Q4" s="1"/>
      <c r="R4" s="1"/>
      <c r="S4" s="1"/>
      <c r="T4" s="1"/>
      <c r="U4" s="1"/>
      <c r="V4" s="1"/>
      <c r="W4" s="1"/>
      <c r="X4" s="1"/>
      <c r="Y4" s="1"/>
    </row>
    <row r="5">
      <c r="A5" s="3"/>
      <c r="B5" s="4" t="s">
        <v>4</v>
      </c>
      <c r="C5" s="9" t="s">
        <v>5</v>
      </c>
      <c r="D5" s="8"/>
      <c r="E5" s="1"/>
      <c r="F5" s="1"/>
      <c r="G5" s="1"/>
      <c r="H5" s="1"/>
      <c r="I5" s="1"/>
      <c r="J5" s="1"/>
      <c r="K5" s="1"/>
      <c r="L5" s="1"/>
      <c r="M5" s="1"/>
      <c r="N5" s="1"/>
      <c r="O5" s="1"/>
      <c r="P5" s="1"/>
      <c r="Q5" s="1"/>
      <c r="R5" s="1"/>
      <c r="S5" s="1"/>
      <c r="T5" s="1"/>
      <c r="U5" s="1"/>
      <c r="V5" s="1"/>
      <c r="W5" s="1"/>
      <c r="X5" s="1"/>
      <c r="Y5" s="1"/>
    </row>
    <row r="6">
      <c r="A6" s="3"/>
      <c r="B6" s="4" t="s">
        <v>6</v>
      </c>
      <c r="C6" s="10" t="s">
        <v>7</v>
      </c>
      <c r="D6" s="8"/>
      <c r="E6" s="1"/>
      <c r="F6" s="1"/>
      <c r="G6" s="1"/>
      <c r="H6" s="1"/>
      <c r="I6" s="1"/>
      <c r="J6" s="1"/>
      <c r="K6" s="1"/>
      <c r="L6" s="1"/>
      <c r="M6" s="1"/>
      <c r="N6" s="1"/>
      <c r="O6" s="1"/>
      <c r="P6" s="1"/>
      <c r="Q6" s="1"/>
      <c r="R6" s="1"/>
      <c r="S6" s="1"/>
      <c r="T6" s="1"/>
      <c r="U6" s="1"/>
      <c r="V6" s="1"/>
      <c r="W6" s="1"/>
      <c r="X6" s="1"/>
      <c r="Y6" s="1"/>
    </row>
    <row r="7">
      <c r="A7" s="3"/>
      <c r="B7" s="4" t="s">
        <v>8</v>
      </c>
      <c r="C7" s="10" t="s">
        <v>9</v>
      </c>
      <c r="D7" s="8"/>
      <c r="E7" s="1"/>
      <c r="F7" s="1"/>
      <c r="G7" s="1"/>
      <c r="H7" s="1"/>
      <c r="I7" s="1"/>
      <c r="J7" s="1"/>
      <c r="K7" s="1"/>
      <c r="L7" s="1"/>
      <c r="M7" s="1"/>
      <c r="N7" s="1"/>
      <c r="O7" s="1"/>
      <c r="P7" s="1"/>
      <c r="Q7" s="1"/>
      <c r="R7" s="1"/>
      <c r="S7" s="1"/>
      <c r="T7" s="1"/>
      <c r="U7" s="1"/>
      <c r="V7" s="1"/>
      <c r="W7" s="1"/>
      <c r="X7" s="1"/>
      <c r="Y7" s="1"/>
    </row>
    <row r="8">
      <c r="A8" s="3"/>
      <c r="B8" s="4" t="s">
        <v>10</v>
      </c>
      <c r="C8" s="10" t="s">
        <v>11</v>
      </c>
      <c r="D8" s="8"/>
      <c r="E8" s="1"/>
      <c r="F8" s="1"/>
      <c r="G8" s="1"/>
      <c r="H8" s="1"/>
      <c r="I8" s="1"/>
      <c r="J8" s="1"/>
      <c r="K8" s="1"/>
      <c r="L8" s="1"/>
      <c r="M8" s="1"/>
      <c r="N8" s="1"/>
      <c r="O8" s="1"/>
      <c r="P8" s="1"/>
      <c r="Q8" s="1"/>
      <c r="R8" s="1"/>
      <c r="S8" s="1"/>
      <c r="T8" s="1"/>
      <c r="U8" s="1"/>
      <c r="V8" s="1"/>
      <c r="W8" s="1"/>
      <c r="X8" s="1"/>
      <c r="Y8" s="1"/>
    </row>
    <row r="9">
      <c r="A9" s="3"/>
      <c r="B9" s="4" t="s">
        <v>12</v>
      </c>
      <c r="C9" s="10" t="s">
        <v>13</v>
      </c>
      <c r="D9" s="8"/>
      <c r="E9" s="1"/>
      <c r="F9" s="1"/>
      <c r="G9" s="1"/>
      <c r="H9" s="1"/>
      <c r="I9" s="1"/>
      <c r="J9" s="1"/>
      <c r="K9" s="1"/>
      <c r="L9" s="1"/>
      <c r="M9" s="1"/>
      <c r="N9" s="1"/>
      <c r="O9" s="1"/>
      <c r="P9" s="1"/>
      <c r="Q9" s="1"/>
      <c r="R9" s="1"/>
      <c r="S9" s="1"/>
      <c r="T9" s="1"/>
      <c r="U9" s="1"/>
      <c r="V9" s="1"/>
      <c r="W9" s="1"/>
      <c r="X9" s="1"/>
      <c r="Y9" s="1"/>
    </row>
    <row r="10">
      <c r="A10" s="3"/>
      <c r="B10" s="4" t="s">
        <v>14</v>
      </c>
      <c r="C10" s="10" t="s">
        <v>15</v>
      </c>
      <c r="D10" s="8"/>
      <c r="E10" s="1"/>
      <c r="F10" s="1"/>
      <c r="G10" s="1"/>
      <c r="H10" s="1"/>
      <c r="I10" s="1"/>
      <c r="J10" s="1"/>
      <c r="K10" s="1"/>
      <c r="L10" s="1"/>
      <c r="M10" s="1"/>
      <c r="N10" s="1"/>
      <c r="O10" s="1"/>
      <c r="P10" s="1"/>
      <c r="Q10" s="1"/>
      <c r="R10" s="1"/>
      <c r="S10" s="1"/>
      <c r="T10" s="1"/>
      <c r="U10" s="1"/>
      <c r="V10" s="1"/>
      <c r="W10" s="1"/>
      <c r="X10" s="1"/>
      <c r="Y10" s="1"/>
    </row>
    <row r="11">
      <c r="A11" s="3"/>
      <c r="B11" s="4" t="s">
        <v>16</v>
      </c>
      <c r="C11" s="11" t="s">
        <v>17</v>
      </c>
      <c r="D11" s="8"/>
      <c r="E11" s="1"/>
      <c r="F11" s="1"/>
      <c r="G11" s="1"/>
      <c r="H11" s="1"/>
      <c r="I11" s="1"/>
      <c r="J11" s="1"/>
      <c r="K11" s="1"/>
      <c r="L11" s="1"/>
      <c r="M11" s="1"/>
      <c r="N11" s="1"/>
      <c r="O11" s="1"/>
      <c r="P11" s="1"/>
      <c r="Q11" s="1"/>
      <c r="R11" s="1"/>
      <c r="S11" s="1"/>
      <c r="T11" s="1"/>
      <c r="U11" s="1"/>
      <c r="V11" s="1"/>
      <c r="W11" s="1"/>
      <c r="X11" s="1"/>
      <c r="Y11" s="1"/>
    </row>
    <row r="12">
      <c r="A12" s="3"/>
      <c r="B12" s="12" t="s">
        <v>18</v>
      </c>
      <c r="C12" s="13" t="s">
        <v>19</v>
      </c>
      <c r="D12" s="8"/>
      <c r="E12" s="1"/>
      <c r="F12" s="1"/>
      <c r="G12" s="1"/>
      <c r="H12" s="1"/>
      <c r="I12" s="1"/>
      <c r="J12" s="1"/>
      <c r="K12" s="1"/>
      <c r="L12" s="1"/>
      <c r="M12" s="1"/>
      <c r="N12" s="1"/>
      <c r="O12" s="1"/>
      <c r="P12" s="1"/>
      <c r="Q12" s="1"/>
      <c r="R12" s="1"/>
      <c r="S12" s="1"/>
      <c r="T12" s="1"/>
      <c r="U12" s="1"/>
      <c r="V12" s="1"/>
      <c r="W12" s="1"/>
      <c r="X12" s="1"/>
      <c r="Y12" s="1"/>
    </row>
    <row r="13">
      <c r="A13" s="3"/>
      <c r="B13" s="14"/>
      <c r="C13" s="15" t="s">
        <v>20</v>
      </c>
      <c r="D13" s="8"/>
      <c r="E13" s="1"/>
      <c r="F13" s="1"/>
      <c r="G13" s="1"/>
      <c r="H13" s="1"/>
      <c r="I13" s="1"/>
      <c r="J13" s="1"/>
      <c r="K13" s="1"/>
      <c r="L13" s="1"/>
      <c r="M13" s="1"/>
      <c r="N13" s="1"/>
      <c r="O13" s="1"/>
      <c r="P13" s="1"/>
      <c r="Q13" s="1"/>
      <c r="R13" s="1"/>
      <c r="S13" s="1"/>
      <c r="T13" s="1"/>
      <c r="U13" s="1"/>
      <c r="V13" s="1"/>
      <c r="W13" s="1"/>
      <c r="X13" s="1"/>
      <c r="Y13" s="1"/>
    </row>
    <row r="14">
      <c r="A14" s="3"/>
      <c r="B14" s="14"/>
      <c r="C14" s="15" t="s">
        <v>21</v>
      </c>
      <c r="D14" s="8"/>
      <c r="E14" s="1"/>
      <c r="F14" s="1"/>
      <c r="G14" s="1"/>
      <c r="H14" s="1"/>
      <c r="I14" s="1"/>
      <c r="J14" s="1"/>
      <c r="K14" s="1"/>
      <c r="L14" s="1"/>
      <c r="M14" s="1"/>
      <c r="N14" s="1"/>
      <c r="O14" s="1"/>
      <c r="P14" s="1"/>
      <c r="Q14" s="1"/>
      <c r="R14" s="1"/>
      <c r="S14" s="1"/>
      <c r="T14" s="1"/>
      <c r="U14" s="1"/>
      <c r="V14" s="1"/>
      <c r="W14" s="1"/>
      <c r="X14" s="1"/>
      <c r="Y14" s="1"/>
    </row>
    <row r="15">
      <c r="A15" s="3"/>
      <c r="B15" s="14"/>
      <c r="C15" s="15" t="s">
        <v>22</v>
      </c>
      <c r="D15" s="8"/>
      <c r="E15" s="1"/>
      <c r="F15" s="1"/>
      <c r="G15" s="1"/>
      <c r="H15" s="1"/>
      <c r="I15" s="1"/>
      <c r="J15" s="1"/>
      <c r="K15" s="1"/>
      <c r="L15" s="1"/>
      <c r="M15" s="1"/>
      <c r="N15" s="1"/>
      <c r="O15" s="1"/>
      <c r="P15" s="1"/>
      <c r="Q15" s="1"/>
      <c r="R15" s="1"/>
      <c r="S15" s="1"/>
      <c r="T15" s="1"/>
      <c r="U15" s="1"/>
      <c r="V15" s="1"/>
      <c r="W15" s="1"/>
      <c r="X15" s="1"/>
      <c r="Y15" s="1"/>
    </row>
    <row r="16">
      <c r="A16" s="3"/>
      <c r="B16" s="14"/>
      <c r="C16" s="15" t="s">
        <v>23</v>
      </c>
      <c r="D16" s="8"/>
      <c r="E16" s="1"/>
      <c r="F16" s="1"/>
      <c r="G16" s="1"/>
      <c r="H16" s="1"/>
      <c r="I16" s="1"/>
      <c r="J16" s="1"/>
      <c r="K16" s="1"/>
      <c r="L16" s="1"/>
      <c r="M16" s="1"/>
      <c r="N16" s="1"/>
      <c r="O16" s="1"/>
      <c r="P16" s="1"/>
      <c r="Q16" s="1"/>
      <c r="R16" s="1"/>
      <c r="S16" s="1"/>
      <c r="T16" s="1"/>
      <c r="U16" s="1"/>
      <c r="V16" s="1"/>
      <c r="W16" s="1"/>
      <c r="X16" s="1"/>
      <c r="Y16" s="1"/>
    </row>
    <row r="17">
      <c r="A17" s="3"/>
      <c r="B17" s="14"/>
      <c r="C17" s="15" t="s">
        <v>24</v>
      </c>
      <c r="D17" s="8"/>
      <c r="E17" s="1"/>
      <c r="F17" s="1"/>
      <c r="G17" s="1"/>
      <c r="H17" s="1"/>
      <c r="I17" s="1"/>
      <c r="J17" s="1"/>
      <c r="K17" s="1"/>
      <c r="L17" s="1"/>
      <c r="M17" s="1"/>
      <c r="N17" s="1"/>
      <c r="O17" s="1"/>
      <c r="P17" s="1"/>
      <c r="Q17" s="1"/>
      <c r="R17" s="1"/>
      <c r="S17" s="1"/>
      <c r="T17" s="1"/>
      <c r="U17" s="1"/>
      <c r="V17" s="1"/>
      <c r="W17" s="1"/>
      <c r="X17" s="1"/>
      <c r="Y17" s="1"/>
    </row>
    <row r="18">
      <c r="A18" s="16"/>
      <c r="B18" s="14"/>
      <c r="C18" s="15" t="s">
        <v>25</v>
      </c>
      <c r="D18" s="8"/>
      <c r="E18" s="1"/>
      <c r="F18" s="1"/>
      <c r="G18" s="1"/>
      <c r="H18" s="1"/>
      <c r="I18" s="1"/>
      <c r="J18" s="1"/>
      <c r="K18" s="1"/>
      <c r="L18" s="1"/>
      <c r="M18" s="1"/>
      <c r="N18" s="1"/>
      <c r="O18" s="1"/>
      <c r="P18" s="1"/>
      <c r="Q18" s="1"/>
      <c r="R18" s="1"/>
      <c r="S18" s="1"/>
      <c r="T18" s="1"/>
      <c r="U18" s="1"/>
      <c r="V18" s="1"/>
      <c r="W18" s="1"/>
      <c r="X18" s="1"/>
      <c r="Y18" s="1"/>
    </row>
    <row r="19">
      <c r="A19" s="16"/>
      <c r="B19" s="14"/>
      <c r="C19" s="15" t="s">
        <v>26</v>
      </c>
      <c r="D19" s="8"/>
      <c r="E19" s="1"/>
      <c r="F19" s="1"/>
      <c r="G19" s="1"/>
      <c r="H19" s="1"/>
      <c r="I19" s="1"/>
      <c r="J19" s="1"/>
      <c r="K19" s="1"/>
      <c r="L19" s="1"/>
      <c r="M19" s="1"/>
      <c r="N19" s="1"/>
      <c r="O19" s="1"/>
      <c r="P19" s="1"/>
      <c r="Q19" s="1"/>
      <c r="R19" s="1"/>
      <c r="S19" s="1"/>
      <c r="T19" s="1"/>
      <c r="U19" s="1"/>
      <c r="V19" s="1"/>
      <c r="W19" s="1"/>
      <c r="X19" s="1"/>
      <c r="Y19" s="1"/>
    </row>
    <row r="20">
      <c r="A20" s="16"/>
      <c r="B20" s="14"/>
      <c r="C20" s="15"/>
      <c r="D20" s="8"/>
      <c r="E20" s="1"/>
      <c r="F20" s="1"/>
      <c r="G20" s="1"/>
      <c r="H20" s="1"/>
      <c r="I20" s="1"/>
      <c r="J20" s="1"/>
      <c r="K20" s="1"/>
      <c r="L20" s="1"/>
      <c r="M20" s="1"/>
      <c r="N20" s="1"/>
      <c r="O20" s="1"/>
      <c r="P20" s="1"/>
      <c r="Q20" s="1"/>
      <c r="R20" s="1"/>
      <c r="S20" s="1"/>
      <c r="T20" s="1"/>
      <c r="U20" s="1"/>
      <c r="V20" s="1"/>
      <c r="W20" s="1"/>
      <c r="X20" s="1"/>
      <c r="Y20" s="1"/>
    </row>
    <row r="21">
      <c r="A21" s="16"/>
      <c r="B21" s="14"/>
      <c r="C21" s="15"/>
      <c r="D21" s="8"/>
      <c r="E21" s="1"/>
      <c r="F21" s="1"/>
      <c r="G21" s="1"/>
      <c r="H21" s="1"/>
      <c r="I21" s="1"/>
      <c r="J21" s="1"/>
      <c r="K21" s="1"/>
      <c r="L21" s="1"/>
      <c r="M21" s="1"/>
      <c r="N21" s="1"/>
      <c r="O21" s="1"/>
      <c r="P21" s="1"/>
      <c r="Q21" s="1"/>
      <c r="R21" s="1"/>
      <c r="S21" s="1"/>
      <c r="T21" s="1"/>
      <c r="U21" s="1"/>
      <c r="V21" s="1"/>
      <c r="W21" s="1"/>
      <c r="X21" s="1"/>
      <c r="Y21" s="1"/>
    </row>
    <row r="22">
      <c r="A22" s="17"/>
      <c r="B22" s="14"/>
      <c r="C22" s="15"/>
      <c r="D22" s="18"/>
      <c r="E22" s="1"/>
      <c r="F22" s="1"/>
      <c r="G22" s="1"/>
      <c r="H22" s="1"/>
      <c r="I22" s="1"/>
      <c r="J22" s="1"/>
      <c r="K22" s="1"/>
      <c r="L22" s="1"/>
      <c r="M22" s="1"/>
      <c r="N22" s="1"/>
      <c r="O22" s="1"/>
      <c r="P22" s="1"/>
      <c r="Q22" s="1"/>
      <c r="R22" s="1"/>
      <c r="S22" s="1"/>
      <c r="T22" s="1"/>
      <c r="U22" s="1"/>
      <c r="V22" s="1"/>
      <c r="W22" s="1"/>
      <c r="X22" s="1"/>
      <c r="Y22" s="1"/>
    </row>
    <row r="23">
      <c r="A23" s="17"/>
      <c r="B23" s="19"/>
      <c r="C23" s="20"/>
      <c r="D23" s="18"/>
      <c r="E23" s="1"/>
      <c r="F23" s="1"/>
      <c r="G23" s="1"/>
      <c r="H23" s="1"/>
      <c r="I23" s="1"/>
      <c r="J23" s="1"/>
      <c r="K23" s="1"/>
      <c r="L23" s="1"/>
      <c r="M23" s="1"/>
      <c r="N23" s="1"/>
      <c r="O23" s="1"/>
      <c r="P23" s="1"/>
      <c r="Q23" s="1"/>
      <c r="R23" s="1"/>
      <c r="S23" s="1"/>
      <c r="T23" s="1"/>
      <c r="U23" s="1"/>
      <c r="V23" s="1"/>
      <c r="W23" s="1"/>
      <c r="X23" s="1"/>
      <c r="Y23" s="1"/>
    </row>
    <row r="24">
      <c r="A24" s="17"/>
      <c r="B24" s="21"/>
      <c r="C24" s="22"/>
      <c r="D24" s="1"/>
      <c r="E24" s="1"/>
      <c r="F24" s="1"/>
      <c r="G24" s="1"/>
      <c r="H24" s="1"/>
      <c r="I24" s="1"/>
      <c r="J24" s="1"/>
      <c r="K24" s="1"/>
      <c r="L24" s="1"/>
      <c r="M24" s="1"/>
      <c r="N24" s="1"/>
      <c r="O24" s="1"/>
      <c r="P24" s="1"/>
      <c r="Q24" s="1"/>
      <c r="R24" s="1"/>
      <c r="S24" s="1"/>
      <c r="T24" s="1"/>
      <c r="U24" s="1"/>
      <c r="V24" s="1"/>
      <c r="W24" s="1"/>
      <c r="X24" s="1"/>
      <c r="Y24" s="1"/>
    </row>
    <row r="25">
      <c r="A25" s="17"/>
      <c r="B25" s="23"/>
      <c r="C25" s="1"/>
      <c r="D25" s="1"/>
      <c r="E25" s="1"/>
      <c r="F25" s="1"/>
      <c r="G25" s="1"/>
      <c r="H25" s="1"/>
      <c r="I25" s="1"/>
      <c r="J25" s="1"/>
      <c r="K25" s="1"/>
      <c r="L25" s="1"/>
      <c r="M25" s="1"/>
      <c r="N25" s="1"/>
      <c r="O25" s="1"/>
      <c r="P25" s="1"/>
      <c r="Q25" s="1"/>
      <c r="R25" s="1"/>
      <c r="S25" s="1"/>
      <c r="T25" s="1"/>
      <c r="U25" s="1"/>
      <c r="V25" s="1"/>
      <c r="W25" s="1"/>
      <c r="X25" s="1"/>
      <c r="Y25" s="1"/>
    </row>
    <row r="26">
      <c r="A26" s="17"/>
      <c r="B26" s="23"/>
      <c r="C26" s="1"/>
      <c r="D26" s="1"/>
      <c r="E26" s="1"/>
      <c r="F26" s="1"/>
      <c r="G26" s="1"/>
      <c r="H26" s="1"/>
      <c r="I26" s="1"/>
      <c r="J26" s="1"/>
      <c r="K26" s="1"/>
      <c r="L26" s="1"/>
      <c r="M26" s="1"/>
      <c r="N26" s="1"/>
      <c r="O26" s="1"/>
      <c r="P26" s="1"/>
      <c r="Q26" s="1"/>
      <c r="R26" s="1"/>
      <c r="S26" s="1"/>
      <c r="T26" s="1"/>
      <c r="U26" s="1"/>
      <c r="V26" s="1"/>
      <c r="W26" s="1"/>
      <c r="X26" s="1"/>
      <c r="Y26" s="1"/>
    </row>
    <row r="27">
      <c r="A27" s="17"/>
      <c r="B27" s="23"/>
      <c r="C27" s="1"/>
      <c r="D27" s="1"/>
      <c r="E27" s="1"/>
      <c r="F27" s="1"/>
      <c r="G27" s="1"/>
      <c r="H27" s="1"/>
      <c r="I27" s="1"/>
      <c r="J27" s="1"/>
      <c r="K27" s="1"/>
      <c r="L27" s="1"/>
      <c r="M27" s="1"/>
      <c r="N27" s="1"/>
      <c r="O27" s="1"/>
      <c r="P27" s="1"/>
      <c r="Q27" s="1"/>
      <c r="R27" s="1"/>
      <c r="S27" s="1"/>
      <c r="T27" s="1"/>
      <c r="U27" s="1"/>
      <c r="V27" s="1"/>
      <c r="W27" s="1"/>
      <c r="X27" s="1"/>
      <c r="Y27" s="1"/>
    </row>
    <row r="28">
      <c r="A28" s="17"/>
      <c r="B28" s="23"/>
      <c r="C28" s="1"/>
      <c r="D28" s="1"/>
      <c r="E28" s="1"/>
      <c r="F28" s="1"/>
      <c r="G28" s="1"/>
      <c r="H28" s="1"/>
      <c r="I28" s="1"/>
      <c r="J28" s="1"/>
      <c r="K28" s="1"/>
      <c r="L28" s="1"/>
      <c r="M28" s="1"/>
      <c r="N28" s="1"/>
      <c r="O28" s="1"/>
      <c r="P28" s="1"/>
      <c r="Q28" s="1"/>
      <c r="R28" s="1"/>
      <c r="S28" s="1"/>
      <c r="T28" s="1"/>
      <c r="U28" s="1"/>
      <c r="V28" s="1"/>
      <c r="W28" s="1"/>
      <c r="X28" s="1"/>
      <c r="Y28" s="1"/>
    </row>
    <row r="29">
      <c r="A29" s="17"/>
      <c r="B29" s="23"/>
      <c r="C29" s="1"/>
      <c r="D29" s="1"/>
      <c r="E29" s="1"/>
      <c r="F29" s="1"/>
      <c r="G29" s="1"/>
      <c r="H29" s="1"/>
      <c r="I29" s="1"/>
      <c r="J29" s="1"/>
      <c r="K29" s="1"/>
      <c r="L29" s="1"/>
      <c r="M29" s="1"/>
      <c r="N29" s="1"/>
      <c r="O29" s="1"/>
      <c r="P29" s="1"/>
      <c r="Q29" s="1"/>
      <c r="R29" s="1"/>
      <c r="S29" s="1"/>
      <c r="T29" s="1"/>
      <c r="U29" s="1"/>
      <c r="V29" s="1"/>
      <c r="W29" s="1"/>
      <c r="X29" s="1"/>
      <c r="Y29" s="1"/>
    </row>
    <row r="30">
      <c r="A30" s="17"/>
      <c r="B30" s="23"/>
      <c r="C30" s="1"/>
      <c r="D30" s="1"/>
      <c r="E30" s="1"/>
      <c r="F30" s="1"/>
      <c r="G30" s="1"/>
      <c r="H30" s="1"/>
      <c r="I30" s="1"/>
      <c r="J30" s="1"/>
      <c r="K30" s="1"/>
      <c r="L30" s="1"/>
      <c r="M30" s="1"/>
      <c r="N30" s="1"/>
      <c r="O30" s="1"/>
      <c r="P30" s="1"/>
      <c r="Q30" s="1"/>
      <c r="R30" s="1"/>
      <c r="S30" s="1"/>
      <c r="T30" s="1"/>
      <c r="U30" s="1"/>
      <c r="V30" s="1"/>
      <c r="W30" s="1"/>
      <c r="X30" s="1"/>
      <c r="Y30" s="1"/>
    </row>
    <row r="31">
      <c r="A31" s="17"/>
      <c r="B31" s="23"/>
      <c r="C31" s="1"/>
      <c r="D31" s="1"/>
      <c r="E31" s="1"/>
      <c r="F31" s="1"/>
      <c r="G31" s="1"/>
      <c r="H31" s="1"/>
      <c r="I31" s="1"/>
      <c r="J31" s="1"/>
      <c r="K31" s="1"/>
      <c r="L31" s="1"/>
      <c r="M31" s="1"/>
      <c r="N31" s="1"/>
      <c r="O31" s="1"/>
      <c r="P31" s="1"/>
      <c r="Q31" s="1"/>
      <c r="R31" s="1"/>
      <c r="S31" s="1"/>
      <c r="T31" s="1"/>
      <c r="U31" s="1"/>
      <c r="V31" s="1"/>
      <c r="W31" s="1"/>
      <c r="X31" s="1"/>
      <c r="Y31" s="1"/>
    </row>
    <row r="32">
      <c r="A32" s="17"/>
      <c r="B32" s="23"/>
      <c r="C32" s="1"/>
      <c r="D32" s="1"/>
      <c r="E32" s="1"/>
      <c r="F32" s="1"/>
      <c r="G32" s="1"/>
      <c r="H32" s="1"/>
      <c r="I32" s="1"/>
      <c r="J32" s="1"/>
      <c r="K32" s="1"/>
      <c r="L32" s="1"/>
      <c r="M32" s="1"/>
      <c r="N32" s="1"/>
      <c r="O32" s="1"/>
      <c r="P32" s="1"/>
      <c r="Q32" s="1"/>
      <c r="R32" s="1"/>
      <c r="S32" s="1"/>
      <c r="T32" s="1"/>
      <c r="U32" s="1"/>
      <c r="V32" s="1"/>
      <c r="W32" s="1"/>
      <c r="X32" s="1"/>
      <c r="Y32" s="1"/>
    </row>
    <row r="33">
      <c r="A33" s="17"/>
      <c r="B33" s="23"/>
      <c r="C33" s="1"/>
      <c r="D33" s="1"/>
      <c r="E33" s="1"/>
      <c r="F33" s="1"/>
      <c r="G33" s="1"/>
      <c r="H33" s="1"/>
      <c r="I33" s="1"/>
      <c r="J33" s="1"/>
      <c r="K33" s="1"/>
      <c r="L33" s="1"/>
      <c r="M33" s="1"/>
      <c r="N33" s="1"/>
      <c r="O33" s="1"/>
      <c r="P33" s="1"/>
      <c r="Q33" s="1"/>
      <c r="R33" s="1"/>
      <c r="S33" s="1"/>
      <c r="T33" s="1"/>
      <c r="U33" s="1"/>
      <c r="V33" s="1"/>
      <c r="W33" s="1"/>
      <c r="X33" s="1"/>
      <c r="Y33" s="1"/>
    </row>
    <row r="34">
      <c r="A34" s="17"/>
      <c r="B34" s="23"/>
      <c r="C34" s="1"/>
      <c r="D34" s="1"/>
      <c r="E34" s="1"/>
      <c r="F34" s="1"/>
      <c r="G34" s="1"/>
      <c r="H34" s="1"/>
      <c r="I34" s="1"/>
      <c r="J34" s="1"/>
      <c r="K34" s="1"/>
      <c r="L34" s="1"/>
      <c r="M34" s="1"/>
      <c r="N34" s="1"/>
      <c r="O34" s="1"/>
      <c r="P34" s="1"/>
      <c r="Q34" s="1"/>
      <c r="R34" s="1"/>
      <c r="S34" s="1"/>
      <c r="T34" s="1"/>
      <c r="U34" s="1"/>
      <c r="V34" s="1"/>
      <c r="W34" s="1"/>
      <c r="X34" s="1"/>
      <c r="Y34" s="1"/>
    </row>
    <row r="35">
      <c r="A35" s="17"/>
      <c r="B35" s="23"/>
      <c r="C35" s="1"/>
      <c r="D35" s="1"/>
      <c r="E35" s="1"/>
      <c r="F35" s="1"/>
      <c r="G35" s="1"/>
      <c r="H35" s="1"/>
      <c r="I35" s="1"/>
      <c r="J35" s="1"/>
      <c r="K35" s="1"/>
      <c r="L35" s="1"/>
      <c r="M35" s="1"/>
      <c r="N35" s="1"/>
      <c r="O35" s="1"/>
      <c r="P35" s="1"/>
      <c r="Q35" s="1"/>
      <c r="R35" s="1"/>
      <c r="S35" s="1"/>
      <c r="T35" s="1"/>
      <c r="U35" s="1"/>
      <c r="V35" s="1"/>
      <c r="W35" s="1"/>
      <c r="X35" s="1"/>
      <c r="Y35" s="1"/>
    </row>
    <row r="36">
      <c r="A36" s="17"/>
      <c r="B36" s="23"/>
      <c r="C36" s="1"/>
      <c r="D36" s="1"/>
      <c r="E36" s="1"/>
      <c r="F36" s="1"/>
      <c r="G36" s="1"/>
      <c r="H36" s="1"/>
      <c r="I36" s="1"/>
      <c r="J36" s="1"/>
      <c r="K36" s="1"/>
      <c r="L36" s="1"/>
      <c r="M36" s="1"/>
      <c r="N36" s="1"/>
      <c r="O36" s="1"/>
      <c r="P36" s="1"/>
      <c r="Q36" s="1"/>
      <c r="R36" s="1"/>
      <c r="S36" s="1"/>
      <c r="T36" s="1"/>
      <c r="U36" s="1"/>
      <c r="V36" s="1"/>
      <c r="W36" s="1"/>
      <c r="X36" s="1"/>
      <c r="Y36" s="1"/>
    </row>
    <row r="37">
      <c r="A37" s="17"/>
      <c r="B37" s="23"/>
      <c r="C37" s="1"/>
      <c r="D37" s="1"/>
      <c r="E37" s="1"/>
      <c r="F37" s="1"/>
      <c r="G37" s="1"/>
      <c r="H37" s="1"/>
      <c r="I37" s="1"/>
      <c r="J37" s="1"/>
      <c r="K37" s="1"/>
      <c r="L37" s="1"/>
      <c r="M37" s="1"/>
      <c r="N37" s="1"/>
      <c r="O37" s="1"/>
      <c r="P37" s="1"/>
      <c r="Q37" s="1"/>
      <c r="R37" s="1"/>
      <c r="S37" s="1"/>
      <c r="T37" s="1"/>
      <c r="U37" s="1"/>
      <c r="V37" s="1"/>
      <c r="W37" s="1"/>
      <c r="X37" s="1"/>
      <c r="Y37" s="1"/>
    </row>
    <row r="38">
      <c r="A38" s="17"/>
      <c r="B38" s="23"/>
      <c r="C38" s="1"/>
      <c r="D38" s="1"/>
      <c r="E38" s="1"/>
      <c r="F38" s="1"/>
      <c r="G38" s="1"/>
      <c r="H38" s="1"/>
      <c r="I38" s="1"/>
      <c r="J38" s="1"/>
      <c r="K38" s="1"/>
      <c r="L38" s="1"/>
      <c r="M38" s="1"/>
      <c r="N38" s="1"/>
      <c r="O38" s="1"/>
      <c r="P38" s="1"/>
      <c r="Q38" s="1"/>
      <c r="R38" s="1"/>
      <c r="S38" s="1"/>
      <c r="T38" s="1"/>
      <c r="U38" s="1"/>
      <c r="V38" s="1"/>
      <c r="W38" s="1"/>
      <c r="X38" s="1"/>
      <c r="Y38" s="1"/>
    </row>
    <row r="39">
      <c r="A39" s="17"/>
      <c r="B39" s="23"/>
      <c r="C39" s="1"/>
      <c r="D39" s="1"/>
      <c r="E39" s="1"/>
      <c r="F39" s="1"/>
      <c r="G39" s="1"/>
      <c r="H39" s="1"/>
      <c r="I39" s="1"/>
      <c r="J39" s="1"/>
      <c r="K39" s="1"/>
      <c r="L39" s="1"/>
      <c r="M39" s="1"/>
      <c r="N39" s="1"/>
      <c r="O39" s="1"/>
      <c r="P39" s="1"/>
      <c r="Q39" s="1"/>
      <c r="R39" s="1"/>
      <c r="S39" s="1"/>
      <c r="T39" s="1"/>
      <c r="U39" s="1"/>
      <c r="V39" s="1"/>
      <c r="W39" s="1"/>
      <c r="X39" s="1"/>
      <c r="Y39" s="1"/>
    </row>
    <row r="40">
      <c r="A40" s="17"/>
      <c r="B40" s="23"/>
      <c r="C40" s="1"/>
      <c r="D40" s="1"/>
      <c r="E40" s="1"/>
      <c r="F40" s="1"/>
      <c r="G40" s="1"/>
      <c r="H40" s="1"/>
      <c r="I40" s="1"/>
      <c r="J40" s="1"/>
      <c r="K40" s="1"/>
      <c r="L40" s="1"/>
      <c r="M40" s="1"/>
      <c r="N40" s="1"/>
      <c r="O40" s="1"/>
      <c r="P40" s="1"/>
      <c r="Q40" s="1"/>
      <c r="R40" s="1"/>
      <c r="S40" s="1"/>
      <c r="T40" s="1"/>
      <c r="U40" s="1"/>
      <c r="V40" s="1"/>
      <c r="W40" s="1"/>
      <c r="X40" s="1"/>
      <c r="Y40" s="1"/>
    </row>
    <row r="41">
      <c r="A41" s="17"/>
      <c r="B41" s="23"/>
      <c r="C41" s="1"/>
      <c r="D41" s="1"/>
      <c r="E41" s="1"/>
      <c r="F41" s="1"/>
      <c r="G41" s="1"/>
      <c r="H41" s="1"/>
      <c r="I41" s="1"/>
      <c r="J41" s="1"/>
      <c r="K41" s="1"/>
      <c r="L41" s="1"/>
      <c r="M41" s="1"/>
      <c r="N41" s="1"/>
      <c r="O41" s="1"/>
      <c r="P41" s="1"/>
      <c r="Q41" s="1"/>
      <c r="R41" s="1"/>
      <c r="S41" s="1"/>
      <c r="T41" s="1"/>
      <c r="U41" s="1"/>
      <c r="V41" s="1"/>
      <c r="W41" s="1"/>
      <c r="X41" s="1"/>
      <c r="Y41" s="1"/>
    </row>
    <row r="42">
      <c r="A42" s="17"/>
      <c r="B42" s="23"/>
      <c r="C42" s="1"/>
      <c r="D42" s="1"/>
      <c r="E42" s="1"/>
      <c r="F42" s="1"/>
      <c r="G42" s="1"/>
      <c r="H42" s="1"/>
      <c r="I42" s="1"/>
      <c r="J42" s="1"/>
      <c r="K42" s="1"/>
      <c r="L42" s="1"/>
      <c r="M42" s="1"/>
      <c r="N42" s="1"/>
      <c r="O42" s="1"/>
      <c r="P42" s="1"/>
      <c r="Q42" s="1"/>
      <c r="R42" s="1"/>
      <c r="S42" s="1"/>
      <c r="T42" s="1"/>
      <c r="U42" s="1"/>
      <c r="V42" s="1"/>
      <c r="W42" s="1"/>
      <c r="X42" s="1"/>
      <c r="Y42" s="1"/>
    </row>
    <row r="43">
      <c r="A43" s="17"/>
      <c r="B43" s="23"/>
      <c r="C43" s="1"/>
      <c r="D43" s="1"/>
      <c r="E43" s="1"/>
      <c r="F43" s="1"/>
      <c r="G43" s="1"/>
      <c r="H43" s="1"/>
      <c r="I43" s="1"/>
      <c r="J43" s="1"/>
      <c r="K43" s="1"/>
      <c r="L43" s="1"/>
      <c r="M43" s="1"/>
      <c r="N43" s="1"/>
      <c r="O43" s="1"/>
      <c r="P43" s="1"/>
      <c r="Q43" s="1"/>
      <c r="R43" s="1"/>
      <c r="S43" s="1"/>
      <c r="T43" s="1"/>
      <c r="U43" s="1"/>
      <c r="V43" s="1"/>
      <c r="W43" s="1"/>
      <c r="X43" s="1"/>
      <c r="Y43" s="1"/>
    </row>
    <row r="44">
      <c r="A44" s="17"/>
      <c r="B44" s="23"/>
      <c r="C44" s="1"/>
      <c r="D44" s="1"/>
      <c r="E44" s="1"/>
      <c r="F44" s="1"/>
      <c r="G44" s="1"/>
      <c r="H44" s="1"/>
      <c r="I44" s="1"/>
      <c r="J44" s="1"/>
      <c r="K44" s="1"/>
      <c r="L44" s="1"/>
      <c r="M44" s="1"/>
      <c r="N44" s="1"/>
      <c r="O44" s="1"/>
      <c r="P44" s="1"/>
      <c r="Q44" s="1"/>
      <c r="R44" s="1"/>
      <c r="S44" s="1"/>
      <c r="T44" s="1"/>
      <c r="U44" s="1"/>
      <c r="V44" s="1"/>
      <c r="W44" s="1"/>
      <c r="X44" s="1"/>
      <c r="Y44" s="1"/>
    </row>
    <row r="45">
      <c r="A45" s="17"/>
      <c r="B45" s="23"/>
      <c r="C45" s="1"/>
      <c r="D45" s="1"/>
      <c r="E45" s="1"/>
      <c r="F45" s="1"/>
      <c r="G45" s="1"/>
      <c r="H45" s="1"/>
      <c r="I45" s="1"/>
      <c r="J45" s="1"/>
      <c r="K45" s="1"/>
      <c r="L45" s="1"/>
      <c r="M45" s="1"/>
      <c r="N45" s="1"/>
      <c r="O45" s="1"/>
      <c r="P45" s="1"/>
      <c r="Q45" s="1"/>
      <c r="R45" s="1"/>
      <c r="S45" s="1"/>
      <c r="T45" s="1"/>
      <c r="U45" s="1"/>
      <c r="V45" s="1"/>
      <c r="W45" s="1"/>
      <c r="X45" s="1"/>
      <c r="Y45" s="1"/>
    </row>
    <row r="46">
      <c r="A46" s="17"/>
      <c r="B46" s="23"/>
      <c r="C46" s="1"/>
      <c r="D46" s="1"/>
      <c r="E46" s="1"/>
      <c r="F46" s="1"/>
      <c r="G46" s="1"/>
      <c r="H46" s="1"/>
      <c r="I46" s="1"/>
      <c r="J46" s="1"/>
      <c r="K46" s="1"/>
      <c r="L46" s="1"/>
      <c r="M46" s="1"/>
      <c r="N46" s="1"/>
      <c r="O46" s="1"/>
      <c r="P46" s="1"/>
      <c r="Q46" s="1"/>
      <c r="R46" s="1"/>
      <c r="S46" s="1"/>
      <c r="T46" s="1"/>
      <c r="U46" s="1"/>
      <c r="V46" s="1"/>
      <c r="W46" s="1"/>
      <c r="X46" s="1"/>
      <c r="Y46" s="1"/>
    </row>
    <row r="47">
      <c r="A47" s="17"/>
      <c r="B47" s="23"/>
      <c r="C47" s="1"/>
      <c r="D47" s="1"/>
      <c r="E47" s="1"/>
      <c r="F47" s="1"/>
      <c r="G47" s="1"/>
      <c r="H47" s="1"/>
      <c r="I47" s="1"/>
      <c r="J47" s="1"/>
      <c r="K47" s="1"/>
      <c r="L47" s="1"/>
      <c r="M47" s="1"/>
      <c r="N47" s="1"/>
      <c r="O47" s="1"/>
      <c r="P47" s="1"/>
      <c r="Q47" s="1"/>
      <c r="R47" s="1"/>
      <c r="S47" s="1"/>
      <c r="T47" s="1"/>
      <c r="U47" s="1"/>
      <c r="V47" s="1"/>
      <c r="W47" s="1"/>
      <c r="X47" s="1"/>
      <c r="Y47" s="1"/>
    </row>
    <row r="48">
      <c r="A48" s="17"/>
      <c r="B48" s="23"/>
      <c r="C48" s="1"/>
      <c r="D48" s="1"/>
      <c r="E48" s="1"/>
      <c r="F48" s="1"/>
      <c r="G48" s="1"/>
      <c r="H48" s="1"/>
      <c r="I48" s="1"/>
      <c r="J48" s="1"/>
      <c r="K48" s="1"/>
      <c r="L48" s="1"/>
      <c r="M48" s="1"/>
      <c r="N48" s="1"/>
      <c r="O48" s="1"/>
      <c r="P48" s="1"/>
      <c r="Q48" s="1"/>
      <c r="R48" s="1"/>
      <c r="S48" s="1"/>
      <c r="T48" s="1"/>
      <c r="U48" s="1"/>
      <c r="V48" s="1"/>
      <c r="W48" s="1"/>
      <c r="X48" s="1"/>
      <c r="Y48" s="1"/>
    </row>
    <row r="49">
      <c r="A49" s="17"/>
      <c r="B49" s="23"/>
      <c r="C49" s="1"/>
      <c r="D49" s="1"/>
      <c r="E49" s="1"/>
      <c r="F49" s="1"/>
      <c r="G49" s="1"/>
      <c r="H49" s="1"/>
      <c r="I49" s="1"/>
      <c r="J49" s="1"/>
      <c r="K49" s="1"/>
      <c r="L49" s="1"/>
      <c r="M49" s="1"/>
      <c r="N49" s="1"/>
      <c r="O49" s="1"/>
      <c r="P49" s="1"/>
      <c r="Q49" s="1"/>
      <c r="R49" s="1"/>
      <c r="S49" s="1"/>
      <c r="T49" s="1"/>
      <c r="U49" s="1"/>
      <c r="V49" s="1"/>
      <c r="W49" s="1"/>
      <c r="X49" s="1"/>
      <c r="Y49" s="1"/>
    </row>
    <row r="50">
      <c r="A50" s="17"/>
      <c r="B50" s="23"/>
      <c r="C50" s="1"/>
      <c r="D50" s="1"/>
      <c r="E50" s="1"/>
      <c r="F50" s="1"/>
      <c r="G50" s="1"/>
      <c r="H50" s="1"/>
      <c r="I50" s="1"/>
      <c r="J50" s="1"/>
      <c r="K50" s="1"/>
      <c r="L50" s="1"/>
      <c r="M50" s="1"/>
      <c r="N50" s="1"/>
      <c r="O50" s="1"/>
      <c r="P50" s="1"/>
      <c r="Q50" s="1"/>
      <c r="R50" s="1"/>
      <c r="S50" s="1"/>
      <c r="T50" s="1"/>
      <c r="U50" s="1"/>
      <c r="V50" s="1"/>
      <c r="W50" s="1"/>
      <c r="X50" s="1"/>
      <c r="Y50" s="1"/>
    </row>
    <row r="51">
      <c r="A51" s="17"/>
      <c r="B51" s="23"/>
      <c r="C51" s="1"/>
      <c r="D51" s="1"/>
      <c r="E51" s="1"/>
      <c r="F51" s="1"/>
      <c r="G51" s="1"/>
      <c r="H51" s="1"/>
      <c r="I51" s="1"/>
      <c r="J51" s="1"/>
      <c r="K51" s="1"/>
      <c r="L51" s="1"/>
      <c r="M51" s="1"/>
      <c r="N51" s="1"/>
      <c r="O51" s="1"/>
      <c r="P51" s="1"/>
      <c r="Q51" s="1"/>
      <c r="R51" s="1"/>
      <c r="S51" s="1"/>
      <c r="T51" s="1"/>
      <c r="U51" s="1"/>
      <c r="V51" s="1"/>
      <c r="W51" s="1"/>
      <c r="X51" s="1"/>
      <c r="Y51" s="1"/>
    </row>
    <row r="52">
      <c r="A52" s="17"/>
      <c r="B52" s="23"/>
      <c r="C52" s="1"/>
      <c r="D52" s="1"/>
      <c r="E52" s="1"/>
      <c r="F52" s="1"/>
      <c r="G52" s="1"/>
      <c r="H52" s="1"/>
      <c r="I52" s="1"/>
      <c r="J52" s="1"/>
      <c r="K52" s="1"/>
      <c r="L52" s="1"/>
      <c r="M52" s="1"/>
      <c r="N52" s="1"/>
      <c r="O52" s="1"/>
      <c r="P52" s="1"/>
      <c r="Q52" s="1"/>
      <c r="R52" s="1"/>
      <c r="S52" s="1"/>
      <c r="T52" s="1"/>
      <c r="U52" s="1"/>
      <c r="V52" s="1"/>
      <c r="W52" s="1"/>
      <c r="X52" s="1"/>
      <c r="Y52" s="1"/>
    </row>
    <row r="53">
      <c r="A53" s="17"/>
      <c r="B53" s="23"/>
      <c r="C53" s="1"/>
      <c r="D53" s="1"/>
      <c r="E53" s="1"/>
      <c r="F53" s="1"/>
      <c r="G53" s="1"/>
      <c r="H53" s="1"/>
      <c r="I53" s="1"/>
      <c r="J53" s="1"/>
      <c r="K53" s="1"/>
      <c r="L53" s="1"/>
      <c r="M53" s="1"/>
      <c r="N53" s="1"/>
      <c r="O53" s="1"/>
      <c r="P53" s="1"/>
      <c r="Q53" s="1"/>
      <c r="R53" s="1"/>
      <c r="S53" s="1"/>
      <c r="T53" s="1"/>
      <c r="U53" s="1"/>
      <c r="V53" s="1"/>
      <c r="W53" s="1"/>
      <c r="X53" s="1"/>
      <c r="Y53" s="1"/>
    </row>
    <row r="54">
      <c r="A54" s="17"/>
      <c r="B54" s="23"/>
      <c r="C54" s="1"/>
      <c r="D54" s="1"/>
      <c r="E54" s="1"/>
      <c r="F54" s="1"/>
      <c r="G54" s="1"/>
      <c r="H54" s="1"/>
      <c r="I54" s="1"/>
      <c r="J54" s="1"/>
      <c r="K54" s="1"/>
      <c r="L54" s="1"/>
      <c r="M54" s="1"/>
      <c r="N54" s="1"/>
      <c r="O54" s="1"/>
      <c r="P54" s="1"/>
      <c r="Q54" s="1"/>
      <c r="R54" s="1"/>
      <c r="S54" s="1"/>
      <c r="T54" s="1"/>
      <c r="U54" s="1"/>
      <c r="V54" s="1"/>
      <c r="W54" s="1"/>
      <c r="X54" s="1"/>
      <c r="Y54" s="1"/>
    </row>
    <row r="55">
      <c r="A55" s="17"/>
      <c r="B55" s="23"/>
      <c r="C55" s="1"/>
      <c r="D55" s="1"/>
      <c r="E55" s="1"/>
      <c r="F55" s="1"/>
      <c r="G55" s="1"/>
      <c r="H55" s="1"/>
      <c r="I55" s="1"/>
      <c r="J55" s="1"/>
      <c r="K55" s="1"/>
      <c r="L55" s="1"/>
      <c r="M55" s="1"/>
      <c r="N55" s="1"/>
      <c r="O55" s="1"/>
      <c r="P55" s="1"/>
      <c r="Q55" s="1"/>
      <c r="R55" s="1"/>
      <c r="S55" s="1"/>
      <c r="T55" s="1"/>
      <c r="U55" s="1"/>
      <c r="V55" s="1"/>
      <c r="W55" s="1"/>
      <c r="X55" s="1"/>
      <c r="Y55" s="1"/>
    </row>
    <row r="56">
      <c r="A56" s="17"/>
      <c r="B56" s="23"/>
      <c r="C56" s="1"/>
      <c r="D56" s="1"/>
      <c r="E56" s="1"/>
      <c r="F56" s="1"/>
      <c r="G56" s="1"/>
      <c r="H56" s="1"/>
      <c r="I56" s="1"/>
      <c r="J56" s="1"/>
      <c r="K56" s="1"/>
      <c r="L56" s="1"/>
      <c r="M56" s="1"/>
      <c r="N56" s="1"/>
      <c r="O56" s="1"/>
      <c r="P56" s="1"/>
      <c r="Q56" s="1"/>
      <c r="R56" s="1"/>
      <c r="S56" s="1"/>
      <c r="T56" s="1"/>
      <c r="U56" s="1"/>
      <c r="V56" s="1"/>
      <c r="W56" s="1"/>
      <c r="X56" s="1"/>
      <c r="Y56" s="1"/>
    </row>
    <row r="57">
      <c r="A57" s="17"/>
      <c r="B57" s="23"/>
      <c r="C57" s="1"/>
      <c r="D57" s="1"/>
      <c r="E57" s="1"/>
      <c r="F57" s="1"/>
      <c r="G57" s="1"/>
      <c r="H57" s="1"/>
      <c r="I57" s="1"/>
      <c r="J57" s="1"/>
      <c r="K57" s="1"/>
      <c r="L57" s="1"/>
      <c r="M57" s="1"/>
      <c r="N57" s="1"/>
      <c r="O57" s="1"/>
      <c r="P57" s="1"/>
      <c r="Q57" s="1"/>
      <c r="R57" s="1"/>
      <c r="S57" s="1"/>
      <c r="T57" s="1"/>
      <c r="U57" s="1"/>
      <c r="V57" s="1"/>
      <c r="W57" s="1"/>
      <c r="X57" s="1"/>
      <c r="Y57" s="1"/>
    </row>
    <row r="58">
      <c r="A58" s="17"/>
      <c r="B58" s="23"/>
      <c r="C58" s="1"/>
      <c r="D58" s="1"/>
      <c r="E58" s="1"/>
      <c r="F58" s="1"/>
      <c r="G58" s="1"/>
      <c r="H58" s="1"/>
      <c r="I58" s="1"/>
      <c r="J58" s="1"/>
      <c r="K58" s="1"/>
      <c r="L58" s="1"/>
      <c r="M58" s="1"/>
      <c r="N58" s="1"/>
      <c r="O58" s="1"/>
      <c r="P58" s="1"/>
      <c r="Q58" s="1"/>
      <c r="R58" s="1"/>
      <c r="S58" s="1"/>
      <c r="T58" s="1"/>
      <c r="U58" s="1"/>
      <c r="V58" s="1"/>
      <c r="W58" s="1"/>
      <c r="X58" s="1"/>
      <c r="Y58" s="1"/>
    </row>
    <row r="59">
      <c r="A59" s="17"/>
      <c r="B59" s="23"/>
      <c r="C59" s="1"/>
      <c r="D59" s="1"/>
      <c r="E59" s="1"/>
      <c r="F59" s="1"/>
      <c r="G59" s="1"/>
      <c r="H59" s="1"/>
      <c r="I59" s="1"/>
      <c r="J59" s="1"/>
      <c r="K59" s="1"/>
      <c r="L59" s="1"/>
      <c r="M59" s="1"/>
      <c r="N59" s="1"/>
      <c r="O59" s="1"/>
      <c r="P59" s="1"/>
      <c r="Q59" s="1"/>
      <c r="R59" s="1"/>
      <c r="S59" s="1"/>
      <c r="T59" s="1"/>
      <c r="U59" s="1"/>
      <c r="V59" s="1"/>
      <c r="W59" s="1"/>
      <c r="X59" s="1"/>
      <c r="Y59" s="1"/>
    </row>
    <row r="60">
      <c r="A60" s="17"/>
      <c r="B60" s="23"/>
      <c r="C60" s="1"/>
      <c r="D60" s="1"/>
      <c r="E60" s="1"/>
      <c r="F60" s="1"/>
      <c r="G60" s="1"/>
      <c r="H60" s="1"/>
      <c r="I60" s="1"/>
      <c r="J60" s="1"/>
      <c r="K60" s="1"/>
      <c r="L60" s="1"/>
      <c r="M60" s="1"/>
      <c r="N60" s="1"/>
      <c r="O60" s="1"/>
      <c r="P60" s="1"/>
      <c r="Q60" s="1"/>
      <c r="R60" s="1"/>
      <c r="S60" s="1"/>
      <c r="T60" s="1"/>
      <c r="U60" s="1"/>
      <c r="V60" s="1"/>
      <c r="W60" s="1"/>
      <c r="X60" s="1"/>
      <c r="Y60" s="1"/>
    </row>
    <row r="61">
      <c r="A61" s="17"/>
      <c r="B61" s="23"/>
      <c r="C61" s="1"/>
      <c r="D61" s="1"/>
      <c r="E61" s="1"/>
      <c r="F61" s="1"/>
      <c r="G61" s="1"/>
      <c r="H61" s="1"/>
      <c r="I61" s="1"/>
      <c r="J61" s="1"/>
      <c r="K61" s="1"/>
      <c r="L61" s="1"/>
      <c r="M61" s="1"/>
      <c r="N61" s="1"/>
      <c r="O61" s="1"/>
      <c r="P61" s="1"/>
      <c r="Q61" s="1"/>
      <c r="R61" s="1"/>
      <c r="S61" s="1"/>
      <c r="T61" s="1"/>
      <c r="U61" s="1"/>
      <c r="V61" s="1"/>
      <c r="W61" s="1"/>
      <c r="X61" s="1"/>
      <c r="Y61" s="1"/>
    </row>
    <row r="62">
      <c r="A62" s="17"/>
      <c r="B62" s="23"/>
      <c r="C62" s="1"/>
      <c r="D62" s="1"/>
      <c r="E62" s="1"/>
      <c r="F62" s="1"/>
      <c r="G62" s="1"/>
      <c r="H62" s="1"/>
      <c r="I62" s="1"/>
      <c r="J62" s="1"/>
      <c r="K62" s="1"/>
      <c r="L62" s="1"/>
      <c r="M62" s="1"/>
      <c r="N62" s="1"/>
      <c r="O62" s="1"/>
      <c r="P62" s="1"/>
      <c r="Q62" s="1"/>
      <c r="R62" s="1"/>
      <c r="S62" s="1"/>
      <c r="T62" s="1"/>
      <c r="U62" s="1"/>
      <c r="V62" s="1"/>
      <c r="W62" s="1"/>
      <c r="X62" s="1"/>
      <c r="Y62" s="1"/>
    </row>
    <row r="63">
      <c r="A63" s="17"/>
      <c r="B63" s="23"/>
      <c r="C63" s="1"/>
      <c r="D63" s="1"/>
      <c r="E63" s="1"/>
      <c r="F63" s="1"/>
      <c r="G63" s="1"/>
      <c r="H63" s="1"/>
      <c r="I63" s="1"/>
      <c r="J63" s="1"/>
      <c r="K63" s="1"/>
      <c r="L63" s="1"/>
      <c r="M63" s="1"/>
      <c r="N63" s="1"/>
      <c r="O63" s="1"/>
      <c r="P63" s="1"/>
      <c r="Q63" s="1"/>
      <c r="R63" s="1"/>
      <c r="S63" s="1"/>
      <c r="T63" s="1"/>
      <c r="U63" s="1"/>
      <c r="V63" s="1"/>
      <c r="W63" s="1"/>
      <c r="X63" s="1"/>
      <c r="Y63" s="1"/>
    </row>
    <row r="64">
      <c r="A64" s="17"/>
      <c r="B64" s="23"/>
      <c r="C64" s="1"/>
      <c r="D64" s="1"/>
      <c r="E64" s="1"/>
      <c r="F64" s="1"/>
      <c r="G64" s="1"/>
      <c r="H64" s="1"/>
      <c r="I64" s="1"/>
      <c r="J64" s="1"/>
      <c r="K64" s="1"/>
      <c r="L64" s="1"/>
      <c r="M64" s="1"/>
      <c r="N64" s="1"/>
      <c r="O64" s="1"/>
      <c r="P64" s="1"/>
      <c r="Q64" s="1"/>
      <c r="R64" s="1"/>
      <c r="S64" s="1"/>
      <c r="T64" s="1"/>
      <c r="U64" s="1"/>
      <c r="V64" s="1"/>
      <c r="W64" s="1"/>
      <c r="X64" s="1"/>
      <c r="Y64" s="1"/>
    </row>
    <row r="65">
      <c r="A65" s="17"/>
      <c r="B65" s="23"/>
      <c r="C65" s="1"/>
      <c r="D65" s="1"/>
      <c r="E65" s="1"/>
      <c r="F65" s="1"/>
      <c r="G65" s="1"/>
      <c r="H65" s="1"/>
      <c r="I65" s="1"/>
      <c r="J65" s="1"/>
      <c r="K65" s="1"/>
      <c r="L65" s="1"/>
      <c r="M65" s="1"/>
      <c r="N65" s="1"/>
      <c r="O65" s="1"/>
      <c r="P65" s="1"/>
      <c r="Q65" s="1"/>
      <c r="R65" s="1"/>
      <c r="S65" s="1"/>
      <c r="T65" s="1"/>
      <c r="U65" s="1"/>
      <c r="V65" s="1"/>
      <c r="W65" s="1"/>
      <c r="X65" s="1"/>
      <c r="Y65" s="1"/>
    </row>
    <row r="66">
      <c r="A66" s="17"/>
      <c r="B66" s="23"/>
      <c r="C66" s="1"/>
      <c r="D66" s="1"/>
      <c r="E66" s="1"/>
      <c r="F66" s="1"/>
      <c r="G66" s="1"/>
      <c r="H66" s="1"/>
      <c r="I66" s="1"/>
      <c r="J66" s="1"/>
      <c r="K66" s="1"/>
      <c r="L66" s="1"/>
      <c r="M66" s="1"/>
      <c r="N66" s="1"/>
      <c r="O66" s="1"/>
      <c r="P66" s="1"/>
      <c r="Q66" s="1"/>
      <c r="R66" s="1"/>
      <c r="S66" s="1"/>
      <c r="T66" s="1"/>
      <c r="U66" s="1"/>
      <c r="V66" s="1"/>
      <c r="W66" s="1"/>
      <c r="X66" s="1"/>
      <c r="Y66" s="1"/>
    </row>
    <row r="67">
      <c r="A67" s="17"/>
      <c r="B67" s="23"/>
      <c r="C67" s="1"/>
      <c r="D67" s="1"/>
      <c r="E67" s="1"/>
      <c r="F67" s="1"/>
      <c r="G67" s="1"/>
      <c r="H67" s="1"/>
      <c r="I67" s="1"/>
      <c r="J67" s="1"/>
      <c r="K67" s="1"/>
      <c r="L67" s="1"/>
      <c r="M67" s="1"/>
      <c r="N67" s="1"/>
      <c r="O67" s="1"/>
      <c r="P67" s="1"/>
      <c r="Q67" s="1"/>
      <c r="R67" s="1"/>
      <c r="S67" s="1"/>
      <c r="T67" s="1"/>
      <c r="U67" s="1"/>
      <c r="V67" s="1"/>
      <c r="W67" s="1"/>
      <c r="X67" s="1"/>
      <c r="Y67" s="1"/>
    </row>
    <row r="68">
      <c r="A68" s="17"/>
      <c r="B68" s="23"/>
      <c r="C68" s="1"/>
      <c r="D68" s="1"/>
      <c r="E68" s="1"/>
      <c r="F68" s="1"/>
      <c r="G68" s="1"/>
      <c r="H68" s="1"/>
      <c r="I68" s="1"/>
      <c r="J68" s="1"/>
      <c r="K68" s="1"/>
      <c r="L68" s="1"/>
      <c r="M68" s="1"/>
      <c r="N68" s="1"/>
      <c r="O68" s="1"/>
      <c r="P68" s="1"/>
      <c r="Q68" s="1"/>
      <c r="R68" s="1"/>
      <c r="S68" s="1"/>
      <c r="T68" s="1"/>
      <c r="U68" s="1"/>
      <c r="V68" s="1"/>
      <c r="W68" s="1"/>
      <c r="X68" s="1"/>
      <c r="Y68" s="1"/>
    </row>
    <row r="69">
      <c r="A69" s="17"/>
      <c r="B69" s="23"/>
      <c r="C69" s="1"/>
      <c r="D69" s="1"/>
      <c r="E69" s="1"/>
      <c r="F69" s="1"/>
      <c r="G69" s="1"/>
      <c r="H69" s="1"/>
      <c r="I69" s="1"/>
      <c r="J69" s="1"/>
      <c r="K69" s="1"/>
      <c r="L69" s="1"/>
      <c r="M69" s="1"/>
      <c r="N69" s="1"/>
      <c r="O69" s="1"/>
      <c r="P69" s="1"/>
      <c r="Q69" s="1"/>
      <c r="R69" s="1"/>
      <c r="S69" s="1"/>
      <c r="T69" s="1"/>
      <c r="U69" s="1"/>
      <c r="V69" s="1"/>
      <c r="W69" s="1"/>
      <c r="X69" s="1"/>
      <c r="Y69" s="1"/>
    </row>
    <row r="70">
      <c r="A70" s="17"/>
      <c r="B70" s="23"/>
      <c r="C70" s="1"/>
      <c r="D70" s="1"/>
      <c r="E70" s="1"/>
      <c r="F70" s="1"/>
      <c r="G70" s="1"/>
      <c r="H70" s="1"/>
      <c r="I70" s="1"/>
      <c r="J70" s="1"/>
      <c r="K70" s="1"/>
      <c r="L70" s="1"/>
      <c r="M70" s="1"/>
      <c r="N70" s="1"/>
      <c r="O70" s="1"/>
      <c r="P70" s="1"/>
      <c r="Q70" s="1"/>
      <c r="R70" s="1"/>
      <c r="S70" s="1"/>
      <c r="T70" s="1"/>
      <c r="U70" s="1"/>
      <c r="V70" s="1"/>
      <c r="W70" s="1"/>
      <c r="X70" s="1"/>
      <c r="Y70" s="1"/>
    </row>
    <row r="71">
      <c r="A71" s="17"/>
      <c r="B71" s="23"/>
      <c r="C71" s="1"/>
      <c r="D71" s="1"/>
      <c r="E71" s="1"/>
      <c r="F71" s="1"/>
      <c r="G71" s="1"/>
      <c r="H71" s="1"/>
      <c r="I71" s="1"/>
      <c r="J71" s="1"/>
      <c r="K71" s="1"/>
      <c r="L71" s="1"/>
      <c r="M71" s="1"/>
      <c r="N71" s="1"/>
      <c r="O71" s="1"/>
      <c r="P71" s="1"/>
      <c r="Q71" s="1"/>
      <c r="R71" s="1"/>
      <c r="S71" s="1"/>
      <c r="T71" s="1"/>
      <c r="U71" s="1"/>
      <c r="V71" s="1"/>
      <c r="W71" s="1"/>
      <c r="X71" s="1"/>
      <c r="Y71" s="1"/>
    </row>
    <row r="72">
      <c r="A72" s="17"/>
      <c r="B72" s="23"/>
      <c r="C72" s="1"/>
      <c r="D72" s="1"/>
      <c r="E72" s="1"/>
      <c r="F72" s="1"/>
      <c r="G72" s="1"/>
      <c r="H72" s="1"/>
      <c r="I72" s="1"/>
      <c r="J72" s="1"/>
      <c r="K72" s="1"/>
      <c r="L72" s="1"/>
      <c r="M72" s="1"/>
      <c r="N72" s="1"/>
      <c r="O72" s="1"/>
      <c r="P72" s="1"/>
      <c r="Q72" s="1"/>
      <c r="R72" s="1"/>
      <c r="S72" s="1"/>
      <c r="T72" s="1"/>
      <c r="U72" s="1"/>
      <c r="V72" s="1"/>
      <c r="W72" s="1"/>
      <c r="X72" s="1"/>
      <c r="Y72" s="1"/>
    </row>
    <row r="73">
      <c r="A73" s="17"/>
      <c r="B73" s="23"/>
      <c r="C73" s="1"/>
      <c r="D73" s="1"/>
      <c r="E73" s="1"/>
      <c r="F73" s="1"/>
      <c r="G73" s="1"/>
      <c r="H73" s="1"/>
      <c r="I73" s="1"/>
      <c r="J73" s="1"/>
      <c r="K73" s="1"/>
      <c r="L73" s="1"/>
      <c r="M73" s="1"/>
      <c r="N73" s="1"/>
      <c r="O73" s="1"/>
      <c r="P73" s="1"/>
      <c r="Q73" s="1"/>
      <c r="R73" s="1"/>
      <c r="S73" s="1"/>
      <c r="T73" s="1"/>
      <c r="U73" s="1"/>
      <c r="V73" s="1"/>
      <c r="W73" s="1"/>
      <c r="X73" s="1"/>
      <c r="Y73" s="1"/>
    </row>
    <row r="74">
      <c r="A74" s="17"/>
      <c r="B74" s="23"/>
      <c r="C74" s="1"/>
      <c r="D74" s="1"/>
      <c r="E74" s="1"/>
      <c r="F74" s="1"/>
      <c r="G74" s="1"/>
      <c r="H74" s="1"/>
      <c r="I74" s="1"/>
      <c r="J74" s="1"/>
      <c r="K74" s="1"/>
      <c r="L74" s="1"/>
      <c r="M74" s="1"/>
      <c r="N74" s="1"/>
      <c r="O74" s="1"/>
      <c r="P74" s="1"/>
      <c r="Q74" s="1"/>
      <c r="R74" s="1"/>
      <c r="S74" s="1"/>
      <c r="T74" s="1"/>
      <c r="U74" s="1"/>
      <c r="V74" s="1"/>
      <c r="W74" s="1"/>
      <c r="X74" s="1"/>
      <c r="Y74" s="1"/>
    </row>
    <row r="75">
      <c r="A75" s="17"/>
      <c r="B75" s="23"/>
      <c r="C75" s="1"/>
      <c r="D75" s="1"/>
      <c r="E75" s="1"/>
      <c r="F75" s="1"/>
      <c r="G75" s="1"/>
      <c r="H75" s="1"/>
      <c r="I75" s="1"/>
      <c r="J75" s="1"/>
      <c r="K75" s="1"/>
      <c r="L75" s="1"/>
      <c r="M75" s="1"/>
      <c r="N75" s="1"/>
      <c r="O75" s="1"/>
      <c r="P75" s="1"/>
      <c r="Q75" s="1"/>
      <c r="R75" s="1"/>
      <c r="S75" s="1"/>
      <c r="T75" s="1"/>
      <c r="U75" s="1"/>
      <c r="V75" s="1"/>
      <c r="W75" s="1"/>
      <c r="X75" s="1"/>
      <c r="Y75" s="1"/>
    </row>
    <row r="76">
      <c r="A76" s="17"/>
      <c r="B76" s="23"/>
      <c r="C76" s="1"/>
      <c r="D76" s="1"/>
      <c r="E76" s="1"/>
      <c r="F76" s="1"/>
      <c r="G76" s="1"/>
      <c r="H76" s="1"/>
      <c r="I76" s="1"/>
      <c r="J76" s="1"/>
      <c r="K76" s="1"/>
      <c r="L76" s="1"/>
      <c r="M76" s="1"/>
      <c r="N76" s="1"/>
      <c r="O76" s="1"/>
      <c r="P76" s="1"/>
      <c r="Q76" s="1"/>
      <c r="R76" s="1"/>
      <c r="S76" s="1"/>
      <c r="T76" s="1"/>
      <c r="U76" s="1"/>
      <c r="V76" s="1"/>
      <c r="W76" s="1"/>
      <c r="X76" s="1"/>
      <c r="Y76" s="1"/>
    </row>
    <row r="77">
      <c r="A77" s="17"/>
      <c r="B77" s="23"/>
      <c r="C77" s="1"/>
      <c r="D77" s="1"/>
      <c r="E77" s="1"/>
      <c r="F77" s="1"/>
      <c r="G77" s="1"/>
      <c r="H77" s="1"/>
      <c r="I77" s="1"/>
      <c r="J77" s="1"/>
      <c r="K77" s="1"/>
      <c r="L77" s="1"/>
      <c r="M77" s="1"/>
      <c r="N77" s="1"/>
      <c r="O77" s="1"/>
      <c r="P77" s="1"/>
      <c r="Q77" s="1"/>
      <c r="R77" s="1"/>
      <c r="S77" s="1"/>
      <c r="T77" s="1"/>
      <c r="U77" s="1"/>
      <c r="V77" s="1"/>
      <c r="W77" s="1"/>
      <c r="X77" s="1"/>
      <c r="Y77" s="1"/>
    </row>
    <row r="78">
      <c r="A78" s="17"/>
      <c r="B78" s="23"/>
      <c r="C78" s="1"/>
      <c r="D78" s="1"/>
      <c r="E78" s="1"/>
      <c r="F78" s="1"/>
      <c r="G78" s="1"/>
      <c r="H78" s="1"/>
      <c r="I78" s="1"/>
      <c r="J78" s="1"/>
      <c r="K78" s="1"/>
      <c r="L78" s="1"/>
      <c r="M78" s="1"/>
      <c r="N78" s="1"/>
      <c r="O78" s="1"/>
      <c r="P78" s="1"/>
      <c r="Q78" s="1"/>
      <c r="R78" s="1"/>
      <c r="S78" s="1"/>
      <c r="T78" s="1"/>
      <c r="U78" s="1"/>
      <c r="V78" s="1"/>
      <c r="W78" s="1"/>
      <c r="X78" s="1"/>
      <c r="Y78" s="1"/>
    </row>
    <row r="79">
      <c r="A79" s="17"/>
      <c r="B79" s="23"/>
      <c r="C79" s="1"/>
      <c r="D79" s="1"/>
      <c r="E79" s="1"/>
      <c r="F79" s="1"/>
      <c r="G79" s="1"/>
      <c r="H79" s="1"/>
      <c r="I79" s="1"/>
      <c r="J79" s="1"/>
      <c r="K79" s="1"/>
      <c r="L79" s="1"/>
      <c r="M79" s="1"/>
      <c r="N79" s="1"/>
      <c r="O79" s="1"/>
      <c r="P79" s="1"/>
      <c r="Q79" s="1"/>
      <c r="R79" s="1"/>
      <c r="S79" s="1"/>
      <c r="T79" s="1"/>
      <c r="U79" s="1"/>
      <c r="V79" s="1"/>
      <c r="W79" s="1"/>
      <c r="X79" s="1"/>
      <c r="Y79" s="1"/>
    </row>
    <row r="80">
      <c r="A80" s="17"/>
      <c r="B80" s="23"/>
      <c r="C80" s="1"/>
      <c r="D80" s="1"/>
      <c r="E80" s="1"/>
      <c r="F80" s="1"/>
      <c r="G80" s="1"/>
      <c r="H80" s="1"/>
      <c r="I80" s="1"/>
      <c r="J80" s="1"/>
      <c r="K80" s="1"/>
      <c r="L80" s="1"/>
      <c r="M80" s="1"/>
      <c r="N80" s="1"/>
      <c r="O80" s="1"/>
      <c r="P80" s="1"/>
      <c r="Q80" s="1"/>
      <c r="R80" s="1"/>
      <c r="S80" s="1"/>
      <c r="T80" s="1"/>
      <c r="U80" s="1"/>
      <c r="V80" s="1"/>
      <c r="W80" s="1"/>
      <c r="X80" s="1"/>
      <c r="Y80" s="1"/>
    </row>
    <row r="81">
      <c r="A81" s="17"/>
      <c r="B81" s="23"/>
      <c r="C81" s="1"/>
      <c r="D81" s="1"/>
      <c r="E81" s="1"/>
      <c r="F81" s="1"/>
      <c r="G81" s="1"/>
      <c r="H81" s="1"/>
      <c r="I81" s="1"/>
      <c r="J81" s="1"/>
      <c r="K81" s="1"/>
      <c r="L81" s="1"/>
      <c r="M81" s="1"/>
      <c r="N81" s="1"/>
      <c r="O81" s="1"/>
      <c r="P81" s="1"/>
      <c r="Q81" s="1"/>
      <c r="R81" s="1"/>
      <c r="S81" s="1"/>
      <c r="T81" s="1"/>
      <c r="U81" s="1"/>
      <c r="V81" s="1"/>
      <c r="W81" s="1"/>
      <c r="X81" s="1"/>
      <c r="Y81" s="1"/>
    </row>
    <row r="82">
      <c r="A82" s="17"/>
      <c r="B82" s="23"/>
      <c r="C82" s="1"/>
      <c r="D82" s="1"/>
      <c r="E82" s="1"/>
      <c r="F82" s="1"/>
      <c r="G82" s="1"/>
      <c r="H82" s="1"/>
      <c r="I82" s="1"/>
      <c r="J82" s="1"/>
      <c r="K82" s="1"/>
      <c r="L82" s="1"/>
      <c r="M82" s="1"/>
      <c r="N82" s="1"/>
      <c r="O82" s="1"/>
      <c r="P82" s="1"/>
      <c r="Q82" s="1"/>
      <c r="R82" s="1"/>
      <c r="S82" s="1"/>
      <c r="T82" s="1"/>
      <c r="U82" s="1"/>
      <c r="V82" s="1"/>
      <c r="W82" s="1"/>
      <c r="X82" s="1"/>
      <c r="Y82" s="1"/>
    </row>
    <row r="83">
      <c r="A83" s="17"/>
      <c r="B83" s="23"/>
      <c r="C83" s="1"/>
      <c r="D83" s="1"/>
      <c r="E83" s="1"/>
      <c r="F83" s="1"/>
      <c r="G83" s="1"/>
      <c r="H83" s="1"/>
      <c r="I83" s="1"/>
      <c r="J83" s="1"/>
      <c r="K83" s="1"/>
      <c r="L83" s="1"/>
      <c r="M83" s="1"/>
      <c r="N83" s="1"/>
      <c r="O83" s="1"/>
      <c r="P83" s="1"/>
      <c r="Q83" s="1"/>
      <c r="R83" s="1"/>
      <c r="S83" s="1"/>
      <c r="T83" s="1"/>
      <c r="U83" s="1"/>
      <c r="V83" s="1"/>
      <c r="W83" s="1"/>
      <c r="X83" s="1"/>
      <c r="Y83" s="1"/>
    </row>
    <row r="84">
      <c r="A84" s="17"/>
      <c r="B84" s="23"/>
      <c r="C84" s="1"/>
      <c r="D84" s="1"/>
      <c r="E84" s="1"/>
      <c r="F84" s="1"/>
      <c r="G84" s="1"/>
      <c r="H84" s="1"/>
      <c r="I84" s="1"/>
      <c r="J84" s="1"/>
      <c r="K84" s="1"/>
      <c r="L84" s="1"/>
      <c r="M84" s="1"/>
      <c r="N84" s="1"/>
      <c r="O84" s="1"/>
      <c r="P84" s="1"/>
      <c r="Q84" s="1"/>
      <c r="R84" s="1"/>
      <c r="S84" s="1"/>
      <c r="T84" s="1"/>
      <c r="U84" s="1"/>
      <c r="V84" s="1"/>
      <c r="W84" s="1"/>
      <c r="X84" s="1"/>
      <c r="Y84" s="1"/>
    </row>
    <row r="85">
      <c r="A85" s="17"/>
      <c r="B85" s="23"/>
      <c r="C85" s="1"/>
      <c r="D85" s="1"/>
      <c r="E85" s="1"/>
      <c r="F85" s="1"/>
      <c r="G85" s="1"/>
      <c r="H85" s="1"/>
      <c r="I85" s="1"/>
      <c r="J85" s="1"/>
      <c r="K85" s="1"/>
      <c r="L85" s="1"/>
      <c r="M85" s="1"/>
      <c r="N85" s="1"/>
      <c r="O85" s="1"/>
      <c r="P85" s="1"/>
      <c r="Q85" s="1"/>
      <c r="R85" s="1"/>
      <c r="S85" s="1"/>
      <c r="T85" s="1"/>
      <c r="U85" s="1"/>
      <c r="V85" s="1"/>
      <c r="W85" s="1"/>
      <c r="X85" s="1"/>
      <c r="Y85" s="1"/>
    </row>
    <row r="86">
      <c r="A86" s="17"/>
      <c r="B86" s="23"/>
      <c r="C86" s="1"/>
      <c r="D86" s="1"/>
      <c r="E86" s="1"/>
      <c r="F86" s="1"/>
      <c r="G86" s="1"/>
      <c r="H86" s="1"/>
      <c r="I86" s="1"/>
      <c r="J86" s="1"/>
      <c r="K86" s="1"/>
      <c r="L86" s="1"/>
      <c r="M86" s="1"/>
      <c r="N86" s="1"/>
      <c r="O86" s="1"/>
      <c r="P86" s="1"/>
      <c r="Q86" s="1"/>
      <c r="R86" s="1"/>
      <c r="S86" s="1"/>
      <c r="T86" s="1"/>
      <c r="U86" s="1"/>
      <c r="V86" s="1"/>
      <c r="W86" s="1"/>
      <c r="X86" s="1"/>
      <c r="Y86" s="1"/>
    </row>
    <row r="87">
      <c r="A87" s="17"/>
      <c r="B87" s="23"/>
      <c r="C87" s="1"/>
      <c r="D87" s="1"/>
      <c r="E87" s="1"/>
      <c r="F87" s="1"/>
      <c r="G87" s="1"/>
      <c r="H87" s="1"/>
      <c r="I87" s="1"/>
      <c r="J87" s="1"/>
      <c r="K87" s="1"/>
      <c r="L87" s="1"/>
      <c r="M87" s="1"/>
      <c r="N87" s="1"/>
      <c r="O87" s="1"/>
      <c r="P87" s="1"/>
      <c r="Q87" s="1"/>
      <c r="R87" s="1"/>
      <c r="S87" s="1"/>
      <c r="T87" s="1"/>
      <c r="U87" s="1"/>
      <c r="V87" s="1"/>
      <c r="W87" s="1"/>
      <c r="X87" s="1"/>
      <c r="Y87" s="1"/>
    </row>
    <row r="88">
      <c r="A88" s="17"/>
      <c r="B88" s="23"/>
      <c r="C88" s="1"/>
      <c r="D88" s="1"/>
      <c r="E88" s="1"/>
      <c r="F88" s="1"/>
      <c r="G88" s="1"/>
      <c r="H88" s="1"/>
      <c r="I88" s="1"/>
      <c r="J88" s="1"/>
      <c r="K88" s="1"/>
      <c r="L88" s="1"/>
      <c r="M88" s="1"/>
      <c r="N88" s="1"/>
      <c r="O88" s="1"/>
      <c r="P88" s="1"/>
      <c r="Q88" s="1"/>
      <c r="R88" s="1"/>
      <c r="S88" s="1"/>
      <c r="T88" s="1"/>
      <c r="U88" s="1"/>
      <c r="V88" s="1"/>
      <c r="W88" s="1"/>
      <c r="X88" s="1"/>
      <c r="Y88" s="1"/>
    </row>
    <row r="89">
      <c r="A89" s="17"/>
      <c r="B89" s="23"/>
      <c r="C89" s="1"/>
      <c r="D89" s="1"/>
      <c r="E89" s="1"/>
      <c r="F89" s="1"/>
      <c r="G89" s="1"/>
      <c r="H89" s="1"/>
      <c r="I89" s="1"/>
      <c r="J89" s="1"/>
      <c r="K89" s="1"/>
      <c r="L89" s="1"/>
      <c r="M89" s="1"/>
      <c r="N89" s="1"/>
      <c r="O89" s="1"/>
      <c r="P89" s="1"/>
      <c r="Q89" s="1"/>
      <c r="R89" s="1"/>
      <c r="S89" s="1"/>
      <c r="T89" s="1"/>
      <c r="U89" s="1"/>
      <c r="V89" s="1"/>
      <c r="W89" s="1"/>
      <c r="X89" s="1"/>
      <c r="Y89" s="1"/>
    </row>
    <row r="90">
      <c r="A90" s="17"/>
      <c r="B90" s="23"/>
      <c r="C90" s="1"/>
      <c r="D90" s="1"/>
      <c r="E90" s="1"/>
      <c r="F90" s="1"/>
      <c r="G90" s="1"/>
      <c r="H90" s="1"/>
      <c r="I90" s="1"/>
      <c r="J90" s="1"/>
      <c r="K90" s="1"/>
      <c r="L90" s="1"/>
      <c r="M90" s="1"/>
      <c r="N90" s="1"/>
      <c r="O90" s="1"/>
      <c r="P90" s="1"/>
      <c r="Q90" s="1"/>
      <c r="R90" s="1"/>
      <c r="S90" s="1"/>
      <c r="T90" s="1"/>
      <c r="U90" s="1"/>
      <c r="V90" s="1"/>
      <c r="W90" s="1"/>
      <c r="X90" s="1"/>
      <c r="Y90" s="1"/>
    </row>
    <row r="91">
      <c r="A91" s="17"/>
      <c r="B91" s="23"/>
      <c r="C91" s="1"/>
      <c r="D91" s="1"/>
      <c r="E91" s="1"/>
      <c r="F91" s="1"/>
      <c r="G91" s="1"/>
      <c r="H91" s="1"/>
      <c r="I91" s="1"/>
      <c r="J91" s="1"/>
      <c r="K91" s="1"/>
      <c r="L91" s="1"/>
      <c r="M91" s="1"/>
      <c r="N91" s="1"/>
      <c r="O91" s="1"/>
      <c r="P91" s="1"/>
      <c r="Q91" s="1"/>
      <c r="R91" s="1"/>
      <c r="S91" s="1"/>
      <c r="T91" s="1"/>
      <c r="U91" s="1"/>
      <c r="V91" s="1"/>
      <c r="W91" s="1"/>
      <c r="X91" s="1"/>
      <c r="Y91" s="1"/>
    </row>
    <row r="92">
      <c r="A92" s="17"/>
      <c r="B92" s="23"/>
      <c r="C92" s="1"/>
      <c r="D92" s="1"/>
      <c r="E92" s="1"/>
      <c r="F92" s="1"/>
      <c r="G92" s="1"/>
      <c r="H92" s="1"/>
      <c r="I92" s="1"/>
      <c r="J92" s="1"/>
      <c r="K92" s="1"/>
      <c r="L92" s="1"/>
      <c r="M92" s="1"/>
      <c r="N92" s="1"/>
      <c r="O92" s="1"/>
      <c r="P92" s="1"/>
      <c r="Q92" s="1"/>
      <c r="R92" s="1"/>
      <c r="S92" s="1"/>
      <c r="T92" s="1"/>
      <c r="U92" s="1"/>
      <c r="V92" s="1"/>
      <c r="W92" s="1"/>
      <c r="X92" s="1"/>
      <c r="Y92" s="1"/>
    </row>
    <row r="93">
      <c r="A93" s="17"/>
      <c r="B93" s="23"/>
      <c r="C93" s="1"/>
      <c r="D93" s="1"/>
      <c r="E93" s="1"/>
      <c r="F93" s="1"/>
      <c r="G93" s="1"/>
      <c r="H93" s="1"/>
      <c r="I93" s="1"/>
      <c r="J93" s="1"/>
      <c r="K93" s="1"/>
      <c r="L93" s="1"/>
      <c r="M93" s="1"/>
      <c r="N93" s="1"/>
      <c r="O93" s="1"/>
      <c r="P93" s="1"/>
      <c r="Q93" s="1"/>
      <c r="R93" s="1"/>
      <c r="S93" s="1"/>
      <c r="T93" s="1"/>
      <c r="U93" s="1"/>
      <c r="V93" s="1"/>
      <c r="W93" s="1"/>
      <c r="X93" s="1"/>
      <c r="Y93" s="1"/>
    </row>
    <row r="94">
      <c r="A94" s="17"/>
      <c r="B94" s="23"/>
      <c r="C94" s="1"/>
      <c r="D94" s="1"/>
      <c r="E94" s="1"/>
      <c r="F94" s="1"/>
      <c r="G94" s="1"/>
      <c r="H94" s="1"/>
      <c r="I94" s="1"/>
      <c r="J94" s="1"/>
      <c r="K94" s="1"/>
      <c r="L94" s="1"/>
      <c r="M94" s="1"/>
      <c r="N94" s="1"/>
      <c r="O94" s="1"/>
      <c r="P94" s="1"/>
      <c r="Q94" s="1"/>
      <c r="R94" s="1"/>
      <c r="S94" s="1"/>
      <c r="T94" s="1"/>
      <c r="U94" s="1"/>
      <c r="V94" s="1"/>
      <c r="W94" s="1"/>
      <c r="X94" s="1"/>
      <c r="Y94" s="1"/>
    </row>
    <row r="95">
      <c r="A95" s="17"/>
      <c r="B95" s="23"/>
      <c r="C95" s="1"/>
      <c r="D95" s="1"/>
      <c r="E95" s="1"/>
      <c r="F95" s="1"/>
      <c r="G95" s="1"/>
      <c r="H95" s="1"/>
      <c r="I95" s="1"/>
      <c r="J95" s="1"/>
      <c r="K95" s="1"/>
      <c r="L95" s="1"/>
      <c r="M95" s="1"/>
      <c r="N95" s="1"/>
      <c r="O95" s="1"/>
      <c r="P95" s="1"/>
      <c r="Q95" s="1"/>
      <c r="R95" s="1"/>
      <c r="S95" s="1"/>
      <c r="T95" s="1"/>
      <c r="U95" s="1"/>
      <c r="V95" s="1"/>
      <c r="W95" s="1"/>
      <c r="X95" s="1"/>
      <c r="Y95" s="1"/>
    </row>
    <row r="96">
      <c r="A96" s="17"/>
      <c r="B96" s="23"/>
      <c r="C96" s="1"/>
      <c r="D96" s="1"/>
      <c r="E96" s="1"/>
      <c r="F96" s="1"/>
      <c r="G96" s="1"/>
      <c r="H96" s="1"/>
      <c r="I96" s="1"/>
      <c r="J96" s="1"/>
      <c r="K96" s="1"/>
      <c r="L96" s="1"/>
      <c r="M96" s="1"/>
      <c r="N96" s="1"/>
      <c r="O96" s="1"/>
      <c r="P96" s="1"/>
      <c r="Q96" s="1"/>
      <c r="R96" s="1"/>
      <c r="S96" s="1"/>
      <c r="T96" s="1"/>
      <c r="U96" s="1"/>
      <c r="V96" s="1"/>
      <c r="W96" s="1"/>
      <c r="X96" s="1"/>
      <c r="Y96" s="1"/>
    </row>
    <row r="97">
      <c r="A97" s="17"/>
      <c r="B97" s="23"/>
      <c r="C97" s="1"/>
      <c r="D97" s="1"/>
      <c r="E97" s="1"/>
      <c r="F97" s="1"/>
      <c r="G97" s="1"/>
      <c r="H97" s="1"/>
      <c r="I97" s="1"/>
      <c r="J97" s="1"/>
      <c r="K97" s="1"/>
      <c r="L97" s="1"/>
      <c r="M97" s="1"/>
      <c r="N97" s="1"/>
      <c r="O97" s="1"/>
      <c r="P97" s="1"/>
      <c r="Q97" s="1"/>
      <c r="R97" s="1"/>
      <c r="S97" s="1"/>
      <c r="T97" s="1"/>
      <c r="U97" s="1"/>
      <c r="V97" s="1"/>
      <c r="W97" s="1"/>
      <c r="X97" s="1"/>
      <c r="Y97" s="1"/>
    </row>
    <row r="98">
      <c r="A98" s="17"/>
      <c r="B98" s="23"/>
      <c r="C98" s="1"/>
      <c r="D98" s="1"/>
      <c r="E98" s="1"/>
      <c r="F98" s="1"/>
      <c r="G98" s="1"/>
      <c r="H98" s="1"/>
      <c r="I98" s="1"/>
      <c r="J98" s="1"/>
      <c r="K98" s="1"/>
      <c r="L98" s="1"/>
      <c r="M98" s="1"/>
      <c r="N98" s="1"/>
      <c r="O98" s="1"/>
      <c r="P98" s="1"/>
      <c r="Q98" s="1"/>
      <c r="R98" s="1"/>
      <c r="S98" s="1"/>
      <c r="T98" s="1"/>
      <c r="U98" s="1"/>
      <c r="V98" s="1"/>
      <c r="W98" s="1"/>
      <c r="X98" s="1"/>
      <c r="Y98" s="1"/>
    </row>
    <row r="99">
      <c r="A99" s="17"/>
      <c r="B99" s="23"/>
      <c r="C99" s="1"/>
      <c r="D99" s="1"/>
      <c r="E99" s="1"/>
      <c r="F99" s="1"/>
      <c r="G99" s="1"/>
      <c r="H99" s="1"/>
      <c r="I99" s="1"/>
      <c r="J99" s="1"/>
      <c r="K99" s="1"/>
      <c r="L99" s="1"/>
      <c r="M99" s="1"/>
      <c r="N99" s="1"/>
      <c r="O99" s="1"/>
      <c r="P99" s="1"/>
      <c r="Q99" s="1"/>
      <c r="R99" s="1"/>
      <c r="S99" s="1"/>
      <c r="T99" s="1"/>
      <c r="U99" s="1"/>
      <c r="V99" s="1"/>
      <c r="W99" s="1"/>
      <c r="X99" s="1"/>
      <c r="Y99" s="1"/>
    </row>
    <row r="100">
      <c r="A100" s="17"/>
      <c r="B100" s="23"/>
      <c r="C100" s="1"/>
      <c r="D100" s="1"/>
      <c r="E100" s="1"/>
      <c r="F100" s="1"/>
      <c r="G100" s="1"/>
      <c r="H100" s="1"/>
      <c r="I100" s="1"/>
      <c r="J100" s="1"/>
      <c r="K100" s="1"/>
      <c r="L100" s="1"/>
      <c r="M100" s="1"/>
      <c r="N100" s="1"/>
      <c r="O100" s="1"/>
      <c r="P100" s="1"/>
      <c r="Q100" s="1"/>
      <c r="R100" s="1"/>
      <c r="S100" s="1"/>
      <c r="T100" s="1"/>
      <c r="U100" s="1"/>
      <c r="V100" s="1"/>
      <c r="W100" s="1"/>
      <c r="X100" s="1"/>
      <c r="Y100" s="1"/>
    </row>
    <row r="101">
      <c r="A101" s="17"/>
      <c r="B101" s="23"/>
      <c r="C101" s="1"/>
      <c r="D101" s="1"/>
      <c r="E101" s="1"/>
      <c r="F101" s="1"/>
      <c r="G101" s="1"/>
      <c r="H101" s="1"/>
      <c r="I101" s="1"/>
      <c r="J101" s="1"/>
      <c r="K101" s="1"/>
      <c r="L101" s="1"/>
      <c r="M101" s="1"/>
      <c r="N101" s="1"/>
      <c r="O101" s="1"/>
      <c r="P101" s="1"/>
      <c r="Q101" s="1"/>
      <c r="R101" s="1"/>
      <c r="S101" s="1"/>
      <c r="T101" s="1"/>
      <c r="U101" s="1"/>
      <c r="V101" s="1"/>
      <c r="W101" s="1"/>
      <c r="X101" s="1"/>
      <c r="Y101" s="1"/>
    </row>
    <row r="102">
      <c r="A102" s="17"/>
      <c r="B102" s="23"/>
      <c r="C102" s="1"/>
      <c r="D102" s="1"/>
      <c r="E102" s="1"/>
      <c r="F102" s="1"/>
      <c r="G102" s="1"/>
      <c r="H102" s="1"/>
      <c r="I102" s="1"/>
      <c r="J102" s="1"/>
      <c r="K102" s="1"/>
      <c r="L102" s="1"/>
      <c r="M102" s="1"/>
      <c r="N102" s="1"/>
      <c r="O102" s="1"/>
      <c r="P102" s="1"/>
      <c r="Q102" s="1"/>
      <c r="R102" s="1"/>
      <c r="S102" s="1"/>
      <c r="T102" s="1"/>
      <c r="U102" s="1"/>
      <c r="V102" s="1"/>
      <c r="W102" s="1"/>
      <c r="X102" s="1"/>
      <c r="Y102" s="1"/>
    </row>
    <row r="103">
      <c r="A103" s="17"/>
      <c r="B103" s="23"/>
      <c r="C103" s="1"/>
      <c r="D103" s="1"/>
      <c r="E103" s="1"/>
      <c r="F103" s="1"/>
      <c r="G103" s="1"/>
      <c r="H103" s="1"/>
      <c r="I103" s="1"/>
      <c r="J103" s="1"/>
      <c r="K103" s="1"/>
      <c r="L103" s="1"/>
      <c r="M103" s="1"/>
      <c r="N103" s="1"/>
      <c r="O103" s="1"/>
      <c r="P103" s="1"/>
      <c r="Q103" s="1"/>
      <c r="R103" s="1"/>
      <c r="S103" s="1"/>
      <c r="T103" s="1"/>
      <c r="U103" s="1"/>
      <c r="V103" s="1"/>
      <c r="W103" s="1"/>
      <c r="X103" s="1"/>
      <c r="Y103" s="1"/>
    </row>
    <row r="104">
      <c r="A104" s="17"/>
      <c r="B104" s="23"/>
      <c r="C104" s="1"/>
      <c r="D104" s="1"/>
      <c r="E104" s="1"/>
      <c r="F104" s="1"/>
      <c r="G104" s="1"/>
      <c r="H104" s="1"/>
      <c r="I104" s="1"/>
      <c r="J104" s="1"/>
      <c r="K104" s="1"/>
      <c r="L104" s="1"/>
      <c r="M104" s="1"/>
      <c r="N104" s="1"/>
      <c r="O104" s="1"/>
      <c r="P104" s="1"/>
      <c r="Q104" s="1"/>
      <c r="R104" s="1"/>
      <c r="S104" s="1"/>
      <c r="T104" s="1"/>
      <c r="U104" s="1"/>
      <c r="V104" s="1"/>
      <c r="W104" s="1"/>
      <c r="X104" s="1"/>
      <c r="Y104" s="1"/>
    </row>
    <row r="105">
      <c r="A105" s="17"/>
      <c r="B105" s="23"/>
      <c r="C105" s="1"/>
      <c r="D105" s="1"/>
      <c r="E105" s="1"/>
      <c r="F105" s="1"/>
      <c r="G105" s="1"/>
      <c r="H105" s="1"/>
      <c r="I105" s="1"/>
      <c r="J105" s="1"/>
      <c r="K105" s="1"/>
      <c r="L105" s="1"/>
      <c r="M105" s="1"/>
      <c r="N105" s="1"/>
      <c r="O105" s="1"/>
      <c r="P105" s="1"/>
      <c r="Q105" s="1"/>
      <c r="R105" s="1"/>
      <c r="S105" s="1"/>
      <c r="T105" s="1"/>
      <c r="U105" s="1"/>
      <c r="V105" s="1"/>
      <c r="W105" s="1"/>
      <c r="X105" s="1"/>
      <c r="Y105" s="1"/>
    </row>
    <row r="106">
      <c r="A106" s="17"/>
      <c r="B106" s="23"/>
      <c r="C106" s="1"/>
      <c r="D106" s="1"/>
      <c r="E106" s="1"/>
      <c r="F106" s="1"/>
      <c r="G106" s="1"/>
      <c r="H106" s="1"/>
      <c r="I106" s="1"/>
      <c r="J106" s="1"/>
      <c r="K106" s="1"/>
      <c r="L106" s="1"/>
      <c r="M106" s="1"/>
      <c r="N106" s="1"/>
      <c r="O106" s="1"/>
      <c r="P106" s="1"/>
      <c r="Q106" s="1"/>
      <c r="R106" s="1"/>
      <c r="S106" s="1"/>
      <c r="T106" s="1"/>
      <c r="U106" s="1"/>
      <c r="V106" s="1"/>
      <c r="W106" s="1"/>
      <c r="X106" s="1"/>
      <c r="Y106" s="1"/>
    </row>
    <row r="107">
      <c r="A107" s="17"/>
      <c r="B107" s="23"/>
      <c r="C107" s="1"/>
      <c r="D107" s="1"/>
      <c r="E107" s="1"/>
      <c r="F107" s="1"/>
      <c r="G107" s="1"/>
      <c r="H107" s="1"/>
      <c r="I107" s="1"/>
      <c r="J107" s="1"/>
      <c r="K107" s="1"/>
      <c r="L107" s="1"/>
      <c r="M107" s="1"/>
      <c r="N107" s="1"/>
      <c r="O107" s="1"/>
      <c r="P107" s="1"/>
      <c r="Q107" s="1"/>
      <c r="R107" s="1"/>
      <c r="S107" s="1"/>
      <c r="T107" s="1"/>
      <c r="U107" s="1"/>
      <c r="V107" s="1"/>
      <c r="W107" s="1"/>
      <c r="X107" s="1"/>
      <c r="Y107" s="1"/>
    </row>
    <row r="108">
      <c r="A108" s="17"/>
      <c r="B108" s="23"/>
      <c r="C108" s="1"/>
      <c r="D108" s="1"/>
      <c r="E108" s="1"/>
      <c r="F108" s="1"/>
      <c r="G108" s="1"/>
      <c r="H108" s="1"/>
      <c r="I108" s="1"/>
      <c r="J108" s="1"/>
      <c r="K108" s="1"/>
      <c r="L108" s="1"/>
      <c r="M108" s="1"/>
      <c r="N108" s="1"/>
      <c r="O108" s="1"/>
      <c r="P108" s="1"/>
      <c r="Q108" s="1"/>
      <c r="R108" s="1"/>
      <c r="S108" s="1"/>
      <c r="T108" s="1"/>
      <c r="U108" s="1"/>
      <c r="V108" s="1"/>
      <c r="W108" s="1"/>
      <c r="X108" s="1"/>
      <c r="Y108" s="1"/>
    </row>
    <row r="109">
      <c r="A109" s="17"/>
      <c r="B109" s="23"/>
      <c r="C109" s="1"/>
      <c r="D109" s="1"/>
      <c r="E109" s="1"/>
      <c r="F109" s="1"/>
      <c r="G109" s="1"/>
      <c r="H109" s="1"/>
      <c r="I109" s="1"/>
      <c r="J109" s="1"/>
      <c r="K109" s="1"/>
      <c r="L109" s="1"/>
      <c r="M109" s="1"/>
      <c r="N109" s="1"/>
      <c r="O109" s="1"/>
      <c r="P109" s="1"/>
      <c r="Q109" s="1"/>
      <c r="R109" s="1"/>
      <c r="S109" s="1"/>
      <c r="T109" s="1"/>
      <c r="U109" s="1"/>
      <c r="V109" s="1"/>
      <c r="W109" s="1"/>
      <c r="X109" s="1"/>
      <c r="Y109" s="1"/>
    </row>
    <row r="110">
      <c r="A110" s="17"/>
      <c r="B110" s="23"/>
      <c r="C110" s="1"/>
      <c r="D110" s="1"/>
      <c r="E110" s="1"/>
      <c r="F110" s="1"/>
      <c r="G110" s="1"/>
      <c r="H110" s="1"/>
      <c r="I110" s="1"/>
      <c r="J110" s="1"/>
      <c r="K110" s="1"/>
      <c r="L110" s="1"/>
      <c r="M110" s="1"/>
      <c r="N110" s="1"/>
      <c r="O110" s="1"/>
      <c r="P110" s="1"/>
      <c r="Q110" s="1"/>
      <c r="R110" s="1"/>
      <c r="S110" s="1"/>
      <c r="T110" s="1"/>
      <c r="U110" s="1"/>
      <c r="V110" s="1"/>
      <c r="W110" s="1"/>
      <c r="X110" s="1"/>
      <c r="Y110" s="1"/>
    </row>
    <row r="111">
      <c r="A111" s="17"/>
      <c r="B111" s="23"/>
      <c r="C111" s="1"/>
      <c r="D111" s="1"/>
      <c r="E111" s="1"/>
      <c r="F111" s="1"/>
      <c r="G111" s="1"/>
      <c r="H111" s="1"/>
      <c r="I111" s="1"/>
      <c r="J111" s="1"/>
      <c r="K111" s="1"/>
      <c r="L111" s="1"/>
      <c r="M111" s="1"/>
      <c r="N111" s="1"/>
      <c r="O111" s="1"/>
      <c r="P111" s="1"/>
      <c r="Q111" s="1"/>
      <c r="R111" s="1"/>
      <c r="S111" s="1"/>
      <c r="T111" s="1"/>
      <c r="U111" s="1"/>
      <c r="V111" s="1"/>
      <c r="W111" s="1"/>
      <c r="X111" s="1"/>
      <c r="Y111" s="1"/>
    </row>
    <row r="112">
      <c r="A112" s="17"/>
      <c r="B112" s="23"/>
      <c r="C112" s="1"/>
      <c r="D112" s="1"/>
      <c r="E112" s="1"/>
      <c r="F112" s="1"/>
      <c r="G112" s="1"/>
      <c r="H112" s="1"/>
      <c r="I112" s="1"/>
      <c r="J112" s="1"/>
      <c r="K112" s="1"/>
      <c r="L112" s="1"/>
      <c r="M112" s="1"/>
      <c r="N112" s="1"/>
      <c r="O112" s="1"/>
      <c r="P112" s="1"/>
      <c r="Q112" s="1"/>
      <c r="R112" s="1"/>
      <c r="S112" s="1"/>
      <c r="T112" s="1"/>
      <c r="U112" s="1"/>
      <c r="V112" s="1"/>
      <c r="W112" s="1"/>
      <c r="X112" s="1"/>
      <c r="Y112" s="1"/>
    </row>
    <row r="113">
      <c r="A113" s="17"/>
      <c r="B113" s="23"/>
      <c r="C113" s="1"/>
      <c r="D113" s="1"/>
      <c r="E113" s="1"/>
      <c r="F113" s="1"/>
      <c r="G113" s="1"/>
      <c r="H113" s="1"/>
      <c r="I113" s="1"/>
      <c r="J113" s="1"/>
      <c r="K113" s="1"/>
      <c r="L113" s="1"/>
      <c r="M113" s="1"/>
      <c r="N113" s="1"/>
      <c r="O113" s="1"/>
      <c r="P113" s="1"/>
      <c r="Q113" s="1"/>
      <c r="R113" s="1"/>
      <c r="S113" s="1"/>
      <c r="T113" s="1"/>
      <c r="U113" s="1"/>
      <c r="V113" s="1"/>
      <c r="W113" s="1"/>
      <c r="X113" s="1"/>
      <c r="Y113" s="1"/>
    </row>
    <row r="114">
      <c r="A114" s="17"/>
      <c r="B114" s="23"/>
      <c r="C114" s="1"/>
      <c r="D114" s="1"/>
      <c r="E114" s="1"/>
      <c r="F114" s="1"/>
      <c r="G114" s="1"/>
      <c r="H114" s="1"/>
      <c r="I114" s="1"/>
      <c r="J114" s="1"/>
      <c r="K114" s="1"/>
      <c r="L114" s="1"/>
      <c r="M114" s="1"/>
      <c r="N114" s="1"/>
      <c r="O114" s="1"/>
      <c r="P114" s="1"/>
      <c r="Q114" s="1"/>
      <c r="R114" s="1"/>
      <c r="S114" s="1"/>
      <c r="T114" s="1"/>
      <c r="U114" s="1"/>
      <c r="V114" s="1"/>
      <c r="W114" s="1"/>
      <c r="X114" s="1"/>
      <c r="Y114" s="1"/>
    </row>
    <row r="115">
      <c r="A115" s="17"/>
      <c r="B115" s="23"/>
      <c r="C115" s="1"/>
      <c r="D115" s="1"/>
      <c r="E115" s="1"/>
      <c r="F115" s="1"/>
      <c r="G115" s="1"/>
      <c r="H115" s="1"/>
      <c r="I115" s="1"/>
      <c r="J115" s="1"/>
      <c r="K115" s="1"/>
      <c r="L115" s="1"/>
      <c r="M115" s="1"/>
      <c r="N115" s="1"/>
      <c r="O115" s="1"/>
      <c r="P115" s="1"/>
      <c r="Q115" s="1"/>
      <c r="R115" s="1"/>
      <c r="S115" s="1"/>
      <c r="T115" s="1"/>
      <c r="U115" s="1"/>
      <c r="V115" s="1"/>
      <c r="W115" s="1"/>
      <c r="X115" s="1"/>
      <c r="Y115" s="1"/>
    </row>
    <row r="116">
      <c r="A116" s="17"/>
      <c r="B116" s="23"/>
      <c r="C116" s="1"/>
      <c r="D116" s="1"/>
      <c r="E116" s="1"/>
      <c r="F116" s="1"/>
      <c r="G116" s="1"/>
      <c r="H116" s="1"/>
      <c r="I116" s="1"/>
      <c r="J116" s="1"/>
      <c r="K116" s="1"/>
      <c r="L116" s="1"/>
      <c r="M116" s="1"/>
      <c r="N116" s="1"/>
      <c r="O116" s="1"/>
      <c r="P116" s="1"/>
      <c r="Q116" s="1"/>
      <c r="R116" s="1"/>
      <c r="S116" s="1"/>
      <c r="T116" s="1"/>
      <c r="U116" s="1"/>
      <c r="V116" s="1"/>
      <c r="W116" s="1"/>
      <c r="X116" s="1"/>
      <c r="Y116" s="1"/>
    </row>
    <row r="117">
      <c r="A117" s="17"/>
      <c r="B117" s="23"/>
      <c r="C117" s="1"/>
      <c r="D117" s="1"/>
      <c r="E117" s="1"/>
      <c r="F117" s="1"/>
      <c r="G117" s="1"/>
      <c r="H117" s="1"/>
      <c r="I117" s="1"/>
      <c r="J117" s="1"/>
      <c r="K117" s="1"/>
      <c r="L117" s="1"/>
      <c r="M117" s="1"/>
      <c r="N117" s="1"/>
      <c r="O117" s="1"/>
      <c r="P117" s="1"/>
      <c r="Q117" s="1"/>
      <c r="R117" s="1"/>
      <c r="S117" s="1"/>
      <c r="T117" s="1"/>
      <c r="U117" s="1"/>
      <c r="V117" s="1"/>
      <c r="W117" s="1"/>
      <c r="X117" s="1"/>
      <c r="Y117" s="1"/>
    </row>
    <row r="118">
      <c r="A118" s="17"/>
      <c r="B118" s="23"/>
      <c r="C118" s="1"/>
      <c r="D118" s="1"/>
      <c r="E118" s="1"/>
      <c r="F118" s="1"/>
      <c r="G118" s="1"/>
      <c r="H118" s="1"/>
      <c r="I118" s="1"/>
      <c r="J118" s="1"/>
      <c r="K118" s="1"/>
      <c r="L118" s="1"/>
      <c r="M118" s="1"/>
      <c r="N118" s="1"/>
      <c r="O118" s="1"/>
      <c r="P118" s="1"/>
      <c r="Q118" s="1"/>
      <c r="R118" s="1"/>
      <c r="S118" s="1"/>
      <c r="T118" s="1"/>
      <c r="U118" s="1"/>
      <c r="V118" s="1"/>
      <c r="W118" s="1"/>
      <c r="X118" s="1"/>
      <c r="Y118" s="1"/>
    </row>
    <row r="119">
      <c r="A119" s="17"/>
      <c r="B119" s="23"/>
      <c r="C119" s="1"/>
      <c r="D119" s="1"/>
      <c r="E119" s="1"/>
      <c r="F119" s="1"/>
      <c r="G119" s="1"/>
      <c r="H119" s="1"/>
      <c r="I119" s="1"/>
      <c r="J119" s="1"/>
      <c r="K119" s="1"/>
      <c r="L119" s="1"/>
      <c r="M119" s="1"/>
      <c r="N119" s="1"/>
      <c r="O119" s="1"/>
      <c r="P119" s="1"/>
      <c r="Q119" s="1"/>
      <c r="R119" s="1"/>
      <c r="S119" s="1"/>
      <c r="T119" s="1"/>
      <c r="U119" s="1"/>
      <c r="V119" s="1"/>
      <c r="W119" s="1"/>
      <c r="X119" s="1"/>
      <c r="Y119" s="1"/>
    </row>
    <row r="120">
      <c r="A120" s="17"/>
      <c r="B120" s="23"/>
      <c r="C120" s="1"/>
      <c r="D120" s="1"/>
      <c r="E120" s="1"/>
      <c r="F120" s="1"/>
      <c r="G120" s="1"/>
      <c r="H120" s="1"/>
      <c r="I120" s="1"/>
      <c r="J120" s="1"/>
      <c r="K120" s="1"/>
      <c r="L120" s="1"/>
      <c r="M120" s="1"/>
      <c r="N120" s="1"/>
      <c r="O120" s="1"/>
      <c r="P120" s="1"/>
      <c r="Q120" s="1"/>
      <c r="R120" s="1"/>
      <c r="S120" s="1"/>
      <c r="T120" s="1"/>
      <c r="U120" s="1"/>
      <c r="V120" s="1"/>
      <c r="W120" s="1"/>
      <c r="X120" s="1"/>
      <c r="Y120" s="1"/>
    </row>
    <row r="121">
      <c r="A121" s="17"/>
      <c r="B121" s="23"/>
      <c r="C121" s="1"/>
      <c r="D121" s="1"/>
      <c r="E121" s="1"/>
      <c r="F121" s="1"/>
      <c r="G121" s="1"/>
      <c r="H121" s="1"/>
      <c r="I121" s="1"/>
      <c r="J121" s="1"/>
      <c r="K121" s="1"/>
      <c r="L121" s="1"/>
      <c r="M121" s="1"/>
      <c r="N121" s="1"/>
      <c r="O121" s="1"/>
      <c r="P121" s="1"/>
      <c r="Q121" s="1"/>
      <c r="R121" s="1"/>
      <c r="S121" s="1"/>
      <c r="T121" s="1"/>
      <c r="U121" s="1"/>
      <c r="V121" s="1"/>
      <c r="W121" s="1"/>
      <c r="X121" s="1"/>
      <c r="Y121" s="1"/>
    </row>
    <row r="122">
      <c r="A122" s="17"/>
      <c r="B122" s="23"/>
      <c r="C122" s="1"/>
      <c r="D122" s="1"/>
      <c r="E122" s="1"/>
      <c r="F122" s="1"/>
      <c r="G122" s="1"/>
      <c r="H122" s="1"/>
      <c r="I122" s="1"/>
      <c r="J122" s="1"/>
      <c r="K122" s="1"/>
      <c r="L122" s="1"/>
      <c r="M122" s="1"/>
      <c r="N122" s="1"/>
      <c r="O122" s="1"/>
      <c r="P122" s="1"/>
      <c r="Q122" s="1"/>
      <c r="R122" s="1"/>
      <c r="S122" s="1"/>
      <c r="T122" s="1"/>
      <c r="U122" s="1"/>
      <c r="V122" s="1"/>
      <c r="W122" s="1"/>
      <c r="X122" s="1"/>
      <c r="Y122" s="1"/>
    </row>
    <row r="123">
      <c r="A123" s="17"/>
      <c r="B123" s="23"/>
      <c r="C123" s="1"/>
      <c r="D123" s="1"/>
      <c r="E123" s="1"/>
      <c r="F123" s="1"/>
      <c r="G123" s="1"/>
      <c r="H123" s="1"/>
      <c r="I123" s="1"/>
      <c r="J123" s="1"/>
      <c r="K123" s="1"/>
      <c r="L123" s="1"/>
      <c r="M123" s="1"/>
      <c r="N123" s="1"/>
      <c r="O123" s="1"/>
      <c r="P123" s="1"/>
      <c r="Q123" s="1"/>
      <c r="R123" s="1"/>
      <c r="S123" s="1"/>
      <c r="T123" s="1"/>
      <c r="U123" s="1"/>
      <c r="V123" s="1"/>
      <c r="W123" s="1"/>
      <c r="X123" s="1"/>
      <c r="Y123" s="1"/>
    </row>
    <row r="124">
      <c r="A124" s="17"/>
      <c r="B124" s="23"/>
      <c r="C124" s="1"/>
      <c r="D124" s="1"/>
      <c r="E124" s="1"/>
      <c r="F124" s="1"/>
      <c r="G124" s="1"/>
      <c r="H124" s="1"/>
      <c r="I124" s="1"/>
      <c r="J124" s="1"/>
      <c r="K124" s="1"/>
      <c r="L124" s="1"/>
      <c r="M124" s="1"/>
      <c r="N124" s="1"/>
      <c r="O124" s="1"/>
      <c r="P124" s="1"/>
      <c r="Q124" s="1"/>
      <c r="R124" s="1"/>
      <c r="S124" s="1"/>
      <c r="T124" s="1"/>
      <c r="U124" s="1"/>
      <c r="V124" s="1"/>
      <c r="W124" s="1"/>
      <c r="X124" s="1"/>
      <c r="Y124" s="1"/>
    </row>
    <row r="125">
      <c r="A125" s="17"/>
      <c r="B125" s="23"/>
      <c r="C125" s="1"/>
      <c r="D125" s="1"/>
      <c r="E125" s="1"/>
      <c r="F125" s="1"/>
      <c r="G125" s="1"/>
      <c r="H125" s="1"/>
      <c r="I125" s="1"/>
      <c r="J125" s="1"/>
      <c r="K125" s="1"/>
      <c r="L125" s="1"/>
      <c r="M125" s="1"/>
      <c r="N125" s="1"/>
      <c r="O125" s="1"/>
      <c r="P125" s="1"/>
      <c r="Q125" s="1"/>
      <c r="R125" s="1"/>
      <c r="S125" s="1"/>
      <c r="T125" s="1"/>
      <c r="U125" s="1"/>
      <c r="V125" s="1"/>
      <c r="W125" s="1"/>
      <c r="X125" s="1"/>
      <c r="Y125" s="1"/>
    </row>
    <row r="126">
      <c r="A126" s="17"/>
      <c r="B126" s="23"/>
      <c r="C126" s="1"/>
      <c r="D126" s="1"/>
      <c r="E126" s="1"/>
      <c r="F126" s="1"/>
      <c r="G126" s="1"/>
      <c r="H126" s="1"/>
      <c r="I126" s="1"/>
      <c r="J126" s="1"/>
      <c r="K126" s="1"/>
      <c r="L126" s="1"/>
      <c r="M126" s="1"/>
      <c r="N126" s="1"/>
      <c r="O126" s="1"/>
      <c r="P126" s="1"/>
      <c r="Q126" s="1"/>
      <c r="R126" s="1"/>
      <c r="S126" s="1"/>
      <c r="T126" s="1"/>
      <c r="U126" s="1"/>
      <c r="V126" s="1"/>
      <c r="W126" s="1"/>
      <c r="X126" s="1"/>
      <c r="Y126" s="1"/>
    </row>
    <row r="127">
      <c r="A127" s="17"/>
      <c r="B127" s="23"/>
      <c r="C127" s="1"/>
      <c r="D127" s="1"/>
      <c r="E127" s="1"/>
      <c r="F127" s="1"/>
      <c r="G127" s="1"/>
      <c r="H127" s="1"/>
      <c r="I127" s="1"/>
      <c r="J127" s="1"/>
      <c r="K127" s="1"/>
      <c r="L127" s="1"/>
      <c r="M127" s="1"/>
      <c r="N127" s="1"/>
      <c r="O127" s="1"/>
      <c r="P127" s="1"/>
      <c r="Q127" s="1"/>
      <c r="R127" s="1"/>
      <c r="S127" s="1"/>
      <c r="T127" s="1"/>
      <c r="U127" s="1"/>
      <c r="V127" s="1"/>
      <c r="W127" s="1"/>
      <c r="X127" s="1"/>
      <c r="Y127" s="1"/>
    </row>
    <row r="128">
      <c r="A128" s="17"/>
      <c r="B128" s="23"/>
      <c r="C128" s="1"/>
      <c r="D128" s="1"/>
      <c r="E128" s="1"/>
      <c r="F128" s="1"/>
      <c r="G128" s="1"/>
      <c r="H128" s="1"/>
      <c r="I128" s="1"/>
      <c r="J128" s="1"/>
      <c r="K128" s="1"/>
      <c r="L128" s="1"/>
      <c r="M128" s="1"/>
      <c r="N128" s="1"/>
      <c r="O128" s="1"/>
      <c r="P128" s="1"/>
      <c r="Q128" s="1"/>
      <c r="R128" s="1"/>
      <c r="S128" s="1"/>
      <c r="T128" s="1"/>
      <c r="U128" s="1"/>
      <c r="V128" s="1"/>
      <c r="W128" s="1"/>
      <c r="X128" s="1"/>
      <c r="Y128" s="1"/>
    </row>
    <row r="129">
      <c r="A129" s="17"/>
      <c r="B129" s="23"/>
      <c r="C129" s="1"/>
      <c r="D129" s="1"/>
      <c r="E129" s="1"/>
      <c r="F129" s="1"/>
      <c r="G129" s="1"/>
      <c r="H129" s="1"/>
      <c r="I129" s="1"/>
      <c r="J129" s="1"/>
      <c r="K129" s="1"/>
      <c r="L129" s="1"/>
      <c r="M129" s="1"/>
      <c r="N129" s="1"/>
      <c r="O129" s="1"/>
      <c r="P129" s="1"/>
      <c r="Q129" s="1"/>
      <c r="R129" s="1"/>
      <c r="S129" s="1"/>
      <c r="T129" s="1"/>
      <c r="U129" s="1"/>
      <c r="V129" s="1"/>
      <c r="W129" s="1"/>
      <c r="X129" s="1"/>
      <c r="Y129" s="1"/>
    </row>
    <row r="130">
      <c r="A130" s="17"/>
      <c r="B130" s="23"/>
      <c r="C130" s="1"/>
      <c r="D130" s="1"/>
      <c r="E130" s="1"/>
      <c r="F130" s="1"/>
      <c r="G130" s="1"/>
      <c r="H130" s="1"/>
      <c r="I130" s="1"/>
      <c r="J130" s="1"/>
      <c r="K130" s="1"/>
      <c r="L130" s="1"/>
      <c r="M130" s="1"/>
      <c r="N130" s="1"/>
      <c r="O130" s="1"/>
      <c r="P130" s="1"/>
      <c r="Q130" s="1"/>
      <c r="R130" s="1"/>
      <c r="S130" s="1"/>
      <c r="T130" s="1"/>
      <c r="U130" s="1"/>
      <c r="V130" s="1"/>
      <c r="W130" s="1"/>
      <c r="X130" s="1"/>
      <c r="Y130" s="1"/>
    </row>
    <row r="131">
      <c r="A131" s="17"/>
      <c r="B131" s="23"/>
      <c r="C131" s="1"/>
      <c r="D131" s="1"/>
      <c r="E131" s="1"/>
      <c r="F131" s="1"/>
      <c r="G131" s="1"/>
      <c r="H131" s="1"/>
      <c r="I131" s="1"/>
      <c r="J131" s="1"/>
      <c r="K131" s="1"/>
      <c r="L131" s="1"/>
      <c r="M131" s="1"/>
      <c r="N131" s="1"/>
      <c r="O131" s="1"/>
      <c r="P131" s="1"/>
      <c r="Q131" s="1"/>
      <c r="R131" s="1"/>
      <c r="S131" s="1"/>
      <c r="T131" s="1"/>
      <c r="U131" s="1"/>
      <c r="V131" s="1"/>
      <c r="W131" s="1"/>
      <c r="X131" s="1"/>
      <c r="Y131" s="1"/>
    </row>
    <row r="132">
      <c r="A132" s="17"/>
      <c r="B132" s="23"/>
      <c r="C132" s="1"/>
      <c r="D132" s="1"/>
      <c r="E132" s="1"/>
      <c r="F132" s="1"/>
      <c r="G132" s="1"/>
      <c r="H132" s="1"/>
      <c r="I132" s="1"/>
      <c r="J132" s="1"/>
      <c r="K132" s="1"/>
      <c r="L132" s="1"/>
      <c r="M132" s="1"/>
      <c r="N132" s="1"/>
      <c r="O132" s="1"/>
      <c r="P132" s="1"/>
      <c r="Q132" s="1"/>
      <c r="R132" s="1"/>
      <c r="S132" s="1"/>
      <c r="T132" s="1"/>
      <c r="U132" s="1"/>
      <c r="V132" s="1"/>
      <c r="W132" s="1"/>
      <c r="X132" s="1"/>
      <c r="Y132" s="1"/>
    </row>
    <row r="133">
      <c r="A133" s="17"/>
      <c r="B133" s="23"/>
      <c r="C133" s="1"/>
      <c r="D133" s="1"/>
      <c r="E133" s="1"/>
      <c r="F133" s="1"/>
      <c r="G133" s="1"/>
      <c r="H133" s="1"/>
      <c r="I133" s="1"/>
      <c r="J133" s="1"/>
      <c r="K133" s="1"/>
      <c r="L133" s="1"/>
      <c r="M133" s="1"/>
      <c r="N133" s="1"/>
      <c r="O133" s="1"/>
      <c r="P133" s="1"/>
      <c r="Q133" s="1"/>
      <c r="R133" s="1"/>
      <c r="S133" s="1"/>
      <c r="T133" s="1"/>
      <c r="U133" s="1"/>
      <c r="V133" s="1"/>
      <c r="W133" s="1"/>
      <c r="X133" s="1"/>
      <c r="Y133" s="1"/>
    </row>
    <row r="134">
      <c r="A134" s="17"/>
      <c r="B134" s="23"/>
      <c r="C134" s="1"/>
      <c r="D134" s="1"/>
      <c r="E134" s="1"/>
      <c r="F134" s="1"/>
      <c r="G134" s="1"/>
      <c r="H134" s="1"/>
      <c r="I134" s="1"/>
      <c r="J134" s="1"/>
      <c r="K134" s="1"/>
      <c r="L134" s="1"/>
      <c r="M134" s="1"/>
      <c r="N134" s="1"/>
      <c r="O134" s="1"/>
      <c r="P134" s="1"/>
      <c r="Q134" s="1"/>
      <c r="R134" s="1"/>
      <c r="S134" s="1"/>
      <c r="T134" s="1"/>
      <c r="U134" s="1"/>
      <c r="V134" s="1"/>
      <c r="W134" s="1"/>
      <c r="X134" s="1"/>
      <c r="Y134" s="1"/>
    </row>
    <row r="135">
      <c r="A135" s="17"/>
      <c r="B135" s="23"/>
      <c r="C135" s="1"/>
      <c r="D135" s="1"/>
      <c r="E135" s="1"/>
      <c r="F135" s="1"/>
      <c r="G135" s="1"/>
      <c r="H135" s="1"/>
      <c r="I135" s="1"/>
      <c r="J135" s="1"/>
      <c r="K135" s="1"/>
      <c r="L135" s="1"/>
      <c r="M135" s="1"/>
      <c r="N135" s="1"/>
      <c r="O135" s="1"/>
      <c r="P135" s="1"/>
      <c r="Q135" s="1"/>
      <c r="R135" s="1"/>
      <c r="S135" s="1"/>
      <c r="T135" s="1"/>
      <c r="U135" s="1"/>
      <c r="V135" s="1"/>
      <c r="W135" s="1"/>
      <c r="X135" s="1"/>
      <c r="Y135" s="1"/>
    </row>
    <row r="136">
      <c r="A136" s="17"/>
      <c r="B136" s="23"/>
      <c r="C136" s="1"/>
      <c r="D136" s="1"/>
      <c r="E136" s="1"/>
      <c r="F136" s="1"/>
      <c r="G136" s="1"/>
      <c r="H136" s="1"/>
      <c r="I136" s="1"/>
      <c r="J136" s="1"/>
      <c r="K136" s="1"/>
      <c r="L136" s="1"/>
      <c r="M136" s="1"/>
      <c r="N136" s="1"/>
      <c r="O136" s="1"/>
      <c r="P136" s="1"/>
      <c r="Q136" s="1"/>
      <c r="R136" s="1"/>
      <c r="S136" s="1"/>
      <c r="T136" s="1"/>
      <c r="U136" s="1"/>
      <c r="V136" s="1"/>
      <c r="W136" s="1"/>
      <c r="X136" s="1"/>
      <c r="Y136" s="1"/>
    </row>
    <row r="137">
      <c r="A137" s="17"/>
      <c r="B137" s="23"/>
      <c r="C137" s="1"/>
      <c r="D137" s="1"/>
      <c r="E137" s="1"/>
      <c r="F137" s="1"/>
      <c r="G137" s="1"/>
      <c r="H137" s="1"/>
      <c r="I137" s="1"/>
      <c r="J137" s="1"/>
      <c r="K137" s="1"/>
      <c r="L137" s="1"/>
      <c r="M137" s="1"/>
      <c r="N137" s="1"/>
      <c r="O137" s="1"/>
      <c r="P137" s="1"/>
      <c r="Q137" s="1"/>
      <c r="R137" s="1"/>
      <c r="S137" s="1"/>
      <c r="T137" s="1"/>
      <c r="U137" s="1"/>
      <c r="V137" s="1"/>
      <c r="W137" s="1"/>
      <c r="X137" s="1"/>
      <c r="Y137" s="1"/>
    </row>
    <row r="138">
      <c r="A138" s="17"/>
      <c r="B138" s="23"/>
      <c r="C138" s="1"/>
      <c r="D138" s="1"/>
      <c r="E138" s="1"/>
      <c r="F138" s="1"/>
      <c r="G138" s="1"/>
      <c r="H138" s="1"/>
      <c r="I138" s="1"/>
      <c r="J138" s="1"/>
      <c r="K138" s="1"/>
      <c r="L138" s="1"/>
      <c r="M138" s="1"/>
      <c r="N138" s="1"/>
      <c r="O138" s="1"/>
      <c r="P138" s="1"/>
      <c r="Q138" s="1"/>
      <c r="R138" s="1"/>
      <c r="S138" s="1"/>
      <c r="T138" s="1"/>
      <c r="U138" s="1"/>
      <c r="V138" s="1"/>
      <c r="W138" s="1"/>
      <c r="X138" s="1"/>
      <c r="Y138" s="1"/>
    </row>
    <row r="139">
      <c r="A139" s="17"/>
      <c r="B139" s="23"/>
      <c r="C139" s="1"/>
      <c r="D139" s="1"/>
      <c r="E139" s="1"/>
      <c r="F139" s="1"/>
      <c r="G139" s="1"/>
      <c r="H139" s="1"/>
      <c r="I139" s="1"/>
      <c r="J139" s="1"/>
      <c r="K139" s="1"/>
      <c r="L139" s="1"/>
      <c r="M139" s="1"/>
      <c r="N139" s="1"/>
      <c r="O139" s="1"/>
      <c r="P139" s="1"/>
      <c r="Q139" s="1"/>
      <c r="R139" s="1"/>
      <c r="S139" s="1"/>
      <c r="T139" s="1"/>
      <c r="U139" s="1"/>
      <c r="V139" s="1"/>
      <c r="W139" s="1"/>
      <c r="X139" s="1"/>
      <c r="Y139" s="1"/>
    </row>
    <row r="140">
      <c r="A140" s="17"/>
      <c r="B140" s="23"/>
      <c r="C140" s="1"/>
      <c r="D140" s="1"/>
      <c r="E140" s="1"/>
      <c r="F140" s="1"/>
      <c r="G140" s="1"/>
      <c r="H140" s="1"/>
      <c r="I140" s="1"/>
      <c r="J140" s="1"/>
      <c r="K140" s="1"/>
      <c r="L140" s="1"/>
      <c r="M140" s="1"/>
      <c r="N140" s="1"/>
      <c r="O140" s="1"/>
      <c r="P140" s="1"/>
      <c r="Q140" s="1"/>
      <c r="R140" s="1"/>
      <c r="S140" s="1"/>
      <c r="T140" s="1"/>
      <c r="U140" s="1"/>
      <c r="V140" s="1"/>
      <c r="W140" s="1"/>
      <c r="X140" s="1"/>
      <c r="Y140" s="1"/>
    </row>
    <row r="141">
      <c r="A141" s="17"/>
      <c r="B141" s="23"/>
      <c r="C141" s="1"/>
      <c r="D141" s="1"/>
      <c r="E141" s="1"/>
      <c r="F141" s="1"/>
      <c r="G141" s="1"/>
      <c r="H141" s="1"/>
      <c r="I141" s="1"/>
      <c r="J141" s="1"/>
      <c r="K141" s="1"/>
      <c r="L141" s="1"/>
      <c r="M141" s="1"/>
      <c r="N141" s="1"/>
      <c r="O141" s="1"/>
      <c r="P141" s="1"/>
      <c r="Q141" s="1"/>
      <c r="R141" s="1"/>
      <c r="S141" s="1"/>
      <c r="T141" s="1"/>
      <c r="U141" s="1"/>
      <c r="V141" s="1"/>
      <c r="W141" s="1"/>
      <c r="X141" s="1"/>
      <c r="Y141" s="1"/>
    </row>
    <row r="142">
      <c r="A142" s="17"/>
      <c r="B142" s="23"/>
      <c r="C142" s="1"/>
      <c r="D142" s="1"/>
      <c r="E142" s="1"/>
      <c r="F142" s="1"/>
      <c r="G142" s="1"/>
      <c r="H142" s="1"/>
      <c r="I142" s="1"/>
      <c r="J142" s="1"/>
      <c r="K142" s="1"/>
      <c r="L142" s="1"/>
      <c r="M142" s="1"/>
      <c r="N142" s="1"/>
      <c r="O142" s="1"/>
      <c r="P142" s="1"/>
      <c r="Q142" s="1"/>
      <c r="R142" s="1"/>
      <c r="S142" s="1"/>
      <c r="T142" s="1"/>
      <c r="U142" s="1"/>
      <c r="V142" s="1"/>
      <c r="W142" s="1"/>
      <c r="X142" s="1"/>
      <c r="Y142" s="1"/>
    </row>
    <row r="143">
      <c r="A143" s="17"/>
      <c r="B143" s="23"/>
      <c r="C143" s="1"/>
      <c r="D143" s="1"/>
      <c r="E143" s="1"/>
      <c r="F143" s="1"/>
      <c r="G143" s="1"/>
      <c r="H143" s="1"/>
      <c r="I143" s="1"/>
      <c r="J143" s="1"/>
      <c r="K143" s="1"/>
      <c r="L143" s="1"/>
      <c r="M143" s="1"/>
      <c r="N143" s="1"/>
      <c r="O143" s="1"/>
      <c r="P143" s="1"/>
      <c r="Q143" s="1"/>
      <c r="R143" s="1"/>
      <c r="S143" s="1"/>
      <c r="T143" s="1"/>
      <c r="U143" s="1"/>
      <c r="V143" s="1"/>
      <c r="W143" s="1"/>
      <c r="X143" s="1"/>
      <c r="Y143" s="1"/>
    </row>
    <row r="144">
      <c r="A144" s="17"/>
      <c r="B144" s="23"/>
      <c r="C144" s="1"/>
      <c r="D144" s="1"/>
      <c r="E144" s="1"/>
      <c r="F144" s="1"/>
      <c r="G144" s="1"/>
      <c r="H144" s="1"/>
      <c r="I144" s="1"/>
      <c r="J144" s="1"/>
      <c r="K144" s="1"/>
      <c r="L144" s="1"/>
      <c r="M144" s="1"/>
      <c r="N144" s="1"/>
      <c r="O144" s="1"/>
      <c r="P144" s="1"/>
      <c r="Q144" s="1"/>
      <c r="R144" s="1"/>
      <c r="S144" s="1"/>
      <c r="T144" s="1"/>
      <c r="U144" s="1"/>
      <c r="V144" s="1"/>
      <c r="W144" s="1"/>
      <c r="X144" s="1"/>
      <c r="Y144" s="1"/>
    </row>
    <row r="145">
      <c r="A145" s="17"/>
      <c r="B145" s="23"/>
      <c r="C145" s="1"/>
      <c r="D145" s="1"/>
      <c r="E145" s="1"/>
      <c r="F145" s="1"/>
      <c r="G145" s="1"/>
      <c r="H145" s="1"/>
      <c r="I145" s="1"/>
      <c r="J145" s="1"/>
      <c r="K145" s="1"/>
      <c r="L145" s="1"/>
      <c r="M145" s="1"/>
      <c r="N145" s="1"/>
      <c r="O145" s="1"/>
      <c r="P145" s="1"/>
      <c r="Q145" s="1"/>
      <c r="R145" s="1"/>
      <c r="S145" s="1"/>
      <c r="T145" s="1"/>
      <c r="U145" s="1"/>
      <c r="V145" s="1"/>
      <c r="W145" s="1"/>
      <c r="X145" s="1"/>
      <c r="Y145" s="1"/>
    </row>
    <row r="146">
      <c r="A146" s="17"/>
      <c r="B146" s="23"/>
      <c r="C146" s="1"/>
      <c r="D146" s="1"/>
      <c r="E146" s="1"/>
      <c r="F146" s="1"/>
      <c r="G146" s="1"/>
      <c r="H146" s="1"/>
      <c r="I146" s="1"/>
      <c r="J146" s="1"/>
      <c r="K146" s="1"/>
      <c r="L146" s="1"/>
      <c r="M146" s="1"/>
      <c r="N146" s="1"/>
      <c r="O146" s="1"/>
      <c r="P146" s="1"/>
      <c r="Q146" s="1"/>
      <c r="R146" s="1"/>
      <c r="S146" s="1"/>
      <c r="T146" s="1"/>
      <c r="U146" s="1"/>
      <c r="V146" s="1"/>
      <c r="W146" s="1"/>
      <c r="X146" s="1"/>
      <c r="Y146" s="1"/>
    </row>
    <row r="147">
      <c r="A147" s="17"/>
      <c r="B147" s="23"/>
      <c r="C147" s="1"/>
      <c r="D147" s="1"/>
      <c r="E147" s="1"/>
      <c r="F147" s="1"/>
      <c r="G147" s="1"/>
      <c r="H147" s="1"/>
      <c r="I147" s="1"/>
      <c r="J147" s="1"/>
      <c r="K147" s="1"/>
      <c r="L147" s="1"/>
      <c r="M147" s="1"/>
      <c r="N147" s="1"/>
      <c r="O147" s="1"/>
      <c r="P147" s="1"/>
      <c r="Q147" s="1"/>
      <c r="R147" s="1"/>
      <c r="S147" s="1"/>
      <c r="T147" s="1"/>
      <c r="U147" s="1"/>
      <c r="V147" s="1"/>
      <c r="W147" s="1"/>
      <c r="X147" s="1"/>
      <c r="Y147" s="1"/>
    </row>
    <row r="148">
      <c r="A148" s="17"/>
      <c r="B148" s="23"/>
      <c r="C148" s="1"/>
      <c r="D148" s="1"/>
      <c r="E148" s="1"/>
      <c r="F148" s="1"/>
      <c r="G148" s="1"/>
      <c r="H148" s="1"/>
      <c r="I148" s="1"/>
      <c r="J148" s="1"/>
      <c r="K148" s="1"/>
      <c r="L148" s="1"/>
      <c r="M148" s="1"/>
      <c r="N148" s="1"/>
      <c r="O148" s="1"/>
      <c r="P148" s="1"/>
      <c r="Q148" s="1"/>
      <c r="R148" s="1"/>
      <c r="S148" s="1"/>
      <c r="T148" s="1"/>
      <c r="U148" s="1"/>
      <c r="V148" s="1"/>
      <c r="W148" s="1"/>
      <c r="X148" s="1"/>
      <c r="Y148" s="1"/>
    </row>
    <row r="149">
      <c r="A149" s="17"/>
      <c r="B149" s="23"/>
      <c r="C149" s="1"/>
      <c r="D149" s="1"/>
      <c r="E149" s="1"/>
      <c r="F149" s="1"/>
      <c r="G149" s="1"/>
      <c r="H149" s="1"/>
      <c r="I149" s="1"/>
      <c r="J149" s="1"/>
      <c r="K149" s="1"/>
      <c r="L149" s="1"/>
      <c r="M149" s="1"/>
      <c r="N149" s="1"/>
      <c r="O149" s="1"/>
      <c r="P149" s="1"/>
      <c r="Q149" s="1"/>
      <c r="R149" s="1"/>
      <c r="S149" s="1"/>
      <c r="T149" s="1"/>
      <c r="U149" s="1"/>
      <c r="V149" s="1"/>
      <c r="W149" s="1"/>
      <c r="X149" s="1"/>
      <c r="Y149" s="1"/>
    </row>
    <row r="150">
      <c r="A150" s="17"/>
      <c r="B150" s="23"/>
      <c r="C150" s="1"/>
      <c r="D150" s="1"/>
      <c r="E150" s="1"/>
      <c r="F150" s="1"/>
      <c r="G150" s="1"/>
      <c r="H150" s="1"/>
      <c r="I150" s="1"/>
      <c r="J150" s="1"/>
      <c r="K150" s="1"/>
      <c r="L150" s="1"/>
      <c r="M150" s="1"/>
      <c r="N150" s="1"/>
      <c r="O150" s="1"/>
      <c r="P150" s="1"/>
      <c r="Q150" s="1"/>
      <c r="R150" s="1"/>
      <c r="S150" s="1"/>
      <c r="T150" s="1"/>
      <c r="U150" s="1"/>
      <c r="V150" s="1"/>
      <c r="W150" s="1"/>
      <c r="X150" s="1"/>
      <c r="Y150" s="1"/>
    </row>
    <row r="151">
      <c r="A151" s="17"/>
      <c r="B151" s="23"/>
      <c r="C151" s="1"/>
      <c r="D151" s="1"/>
      <c r="E151" s="1"/>
      <c r="F151" s="1"/>
      <c r="G151" s="1"/>
      <c r="H151" s="1"/>
      <c r="I151" s="1"/>
      <c r="J151" s="1"/>
      <c r="K151" s="1"/>
      <c r="L151" s="1"/>
      <c r="M151" s="1"/>
      <c r="N151" s="1"/>
      <c r="O151" s="1"/>
      <c r="P151" s="1"/>
      <c r="Q151" s="1"/>
      <c r="R151" s="1"/>
      <c r="S151" s="1"/>
      <c r="T151" s="1"/>
      <c r="U151" s="1"/>
      <c r="V151" s="1"/>
      <c r="W151" s="1"/>
      <c r="X151" s="1"/>
      <c r="Y151" s="1"/>
    </row>
    <row r="152">
      <c r="A152" s="17"/>
      <c r="B152" s="23"/>
      <c r="C152" s="1"/>
      <c r="D152" s="1"/>
      <c r="E152" s="1"/>
      <c r="F152" s="1"/>
      <c r="G152" s="1"/>
      <c r="H152" s="1"/>
      <c r="I152" s="1"/>
      <c r="J152" s="1"/>
      <c r="K152" s="1"/>
      <c r="L152" s="1"/>
      <c r="M152" s="1"/>
      <c r="N152" s="1"/>
      <c r="O152" s="1"/>
      <c r="P152" s="1"/>
      <c r="Q152" s="1"/>
      <c r="R152" s="1"/>
      <c r="S152" s="1"/>
      <c r="T152" s="1"/>
      <c r="U152" s="1"/>
      <c r="V152" s="1"/>
      <c r="W152" s="1"/>
      <c r="X152" s="1"/>
      <c r="Y152" s="1"/>
    </row>
    <row r="153">
      <c r="A153" s="17"/>
      <c r="B153" s="23"/>
      <c r="C153" s="1"/>
      <c r="D153" s="1"/>
      <c r="E153" s="1"/>
      <c r="F153" s="1"/>
      <c r="G153" s="1"/>
      <c r="H153" s="1"/>
      <c r="I153" s="1"/>
      <c r="J153" s="1"/>
      <c r="K153" s="1"/>
      <c r="L153" s="1"/>
      <c r="M153" s="1"/>
      <c r="N153" s="1"/>
      <c r="O153" s="1"/>
      <c r="P153" s="1"/>
      <c r="Q153" s="1"/>
      <c r="R153" s="1"/>
      <c r="S153" s="1"/>
      <c r="T153" s="1"/>
      <c r="U153" s="1"/>
      <c r="V153" s="1"/>
      <c r="W153" s="1"/>
      <c r="X153" s="1"/>
      <c r="Y153" s="1"/>
    </row>
    <row r="154">
      <c r="A154" s="17"/>
      <c r="B154" s="23"/>
      <c r="C154" s="1"/>
      <c r="D154" s="1"/>
      <c r="E154" s="1"/>
      <c r="F154" s="1"/>
      <c r="G154" s="1"/>
      <c r="H154" s="1"/>
      <c r="I154" s="1"/>
      <c r="J154" s="1"/>
      <c r="K154" s="1"/>
      <c r="L154" s="1"/>
      <c r="M154" s="1"/>
      <c r="N154" s="1"/>
      <c r="O154" s="1"/>
      <c r="P154" s="1"/>
      <c r="Q154" s="1"/>
      <c r="R154" s="1"/>
      <c r="S154" s="1"/>
      <c r="T154" s="1"/>
      <c r="U154" s="1"/>
      <c r="V154" s="1"/>
      <c r="W154" s="1"/>
      <c r="X154" s="1"/>
      <c r="Y154" s="1"/>
    </row>
    <row r="155">
      <c r="A155" s="17"/>
      <c r="B155" s="23"/>
      <c r="C155" s="1"/>
      <c r="D155" s="1"/>
      <c r="E155" s="1"/>
      <c r="F155" s="1"/>
      <c r="G155" s="1"/>
      <c r="H155" s="1"/>
      <c r="I155" s="1"/>
      <c r="J155" s="1"/>
      <c r="K155" s="1"/>
      <c r="L155" s="1"/>
      <c r="M155" s="1"/>
      <c r="N155" s="1"/>
      <c r="O155" s="1"/>
      <c r="P155" s="1"/>
      <c r="Q155" s="1"/>
      <c r="R155" s="1"/>
      <c r="S155" s="1"/>
      <c r="T155" s="1"/>
      <c r="U155" s="1"/>
      <c r="V155" s="1"/>
      <c r="W155" s="1"/>
      <c r="X155" s="1"/>
      <c r="Y155" s="1"/>
    </row>
    <row r="156">
      <c r="A156" s="17"/>
      <c r="B156" s="23"/>
      <c r="C156" s="1"/>
      <c r="D156" s="1"/>
      <c r="E156" s="1"/>
      <c r="F156" s="1"/>
      <c r="G156" s="1"/>
      <c r="H156" s="1"/>
      <c r="I156" s="1"/>
      <c r="J156" s="1"/>
      <c r="K156" s="1"/>
      <c r="L156" s="1"/>
      <c r="M156" s="1"/>
      <c r="N156" s="1"/>
      <c r="O156" s="1"/>
      <c r="P156" s="1"/>
      <c r="Q156" s="1"/>
      <c r="R156" s="1"/>
      <c r="S156" s="1"/>
      <c r="T156" s="1"/>
      <c r="U156" s="1"/>
      <c r="V156" s="1"/>
      <c r="W156" s="1"/>
      <c r="X156" s="1"/>
      <c r="Y156" s="1"/>
    </row>
    <row r="157">
      <c r="A157" s="17"/>
      <c r="B157" s="23"/>
      <c r="C157" s="1"/>
      <c r="D157" s="1"/>
      <c r="E157" s="1"/>
      <c r="F157" s="1"/>
      <c r="G157" s="1"/>
      <c r="H157" s="1"/>
      <c r="I157" s="1"/>
      <c r="J157" s="1"/>
      <c r="K157" s="1"/>
      <c r="L157" s="1"/>
      <c r="M157" s="1"/>
      <c r="N157" s="1"/>
      <c r="O157" s="1"/>
      <c r="P157" s="1"/>
      <c r="Q157" s="1"/>
      <c r="R157" s="1"/>
      <c r="S157" s="1"/>
      <c r="T157" s="1"/>
      <c r="U157" s="1"/>
      <c r="V157" s="1"/>
      <c r="W157" s="1"/>
      <c r="X157" s="1"/>
      <c r="Y157" s="1"/>
    </row>
    <row r="158">
      <c r="A158" s="17"/>
      <c r="B158" s="23"/>
      <c r="C158" s="1"/>
      <c r="D158" s="1"/>
      <c r="E158" s="1"/>
      <c r="F158" s="1"/>
      <c r="G158" s="1"/>
      <c r="H158" s="1"/>
      <c r="I158" s="1"/>
      <c r="J158" s="1"/>
      <c r="K158" s="1"/>
      <c r="L158" s="1"/>
      <c r="M158" s="1"/>
      <c r="N158" s="1"/>
      <c r="O158" s="1"/>
      <c r="P158" s="1"/>
      <c r="Q158" s="1"/>
      <c r="R158" s="1"/>
      <c r="S158" s="1"/>
      <c r="T158" s="1"/>
      <c r="U158" s="1"/>
      <c r="V158" s="1"/>
      <c r="W158" s="1"/>
      <c r="X158" s="1"/>
      <c r="Y158" s="1"/>
    </row>
    <row r="159">
      <c r="A159" s="17"/>
      <c r="B159" s="23"/>
      <c r="C159" s="1"/>
      <c r="D159" s="1"/>
      <c r="E159" s="1"/>
      <c r="F159" s="1"/>
      <c r="G159" s="1"/>
      <c r="H159" s="1"/>
      <c r="I159" s="1"/>
      <c r="J159" s="1"/>
      <c r="K159" s="1"/>
      <c r="L159" s="1"/>
      <c r="M159" s="1"/>
      <c r="N159" s="1"/>
      <c r="O159" s="1"/>
      <c r="P159" s="1"/>
      <c r="Q159" s="1"/>
      <c r="R159" s="1"/>
      <c r="S159" s="1"/>
      <c r="T159" s="1"/>
      <c r="U159" s="1"/>
      <c r="V159" s="1"/>
      <c r="W159" s="1"/>
      <c r="X159" s="1"/>
      <c r="Y159" s="1"/>
    </row>
    <row r="160">
      <c r="A160" s="17"/>
      <c r="B160" s="23"/>
      <c r="C160" s="1"/>
      <c r="D160" s="1"/>
      <c r="E160" s="1"/>
      <c r="F160" s="1"/>
      <c r="G160" s="1"/>
      <c r="H160" s="1"/>
      <c r="I160" s="1"/>
      <c r="J160" s="1"/>
      <c r="K160" s="1"/>
      <c r="L160" s="1"/>
      <c r="M160" s="1"/>
      <c r="N160" s="1"/>
      <c r="O160" s="1"/>
      <c r="P160" s="1"/>
      <c r="Q160" s="1"/>
      <c r="R160" s="1"/>
      <c r="S160" s="1"/>
      <c r="T160" s="1"/>
      <c r="U160" s="1"/>
      <c r="V160" s="1"/>
      <c r="W160" s="1"/>
      <c r="X160" s="1"/>
      <c r="Y160" s="1"/>
    </row>
    <row r="161">
      <c r="A161" s="17"/>
      <c r="B161" s="23"/>
      <c r="C161" s="1"/>
      <c r="D161" s="1"/>
      <c r="E161" s="1"/>
      <c r="F161" s="1"/>
      <c r="G161" s="1"/>
      <c r="H161" s="1"/>
      <c r="I161" s="1"/>
      <c r="J161" s="1"/>
      <c r="K161" s="1"/>
      <c r="L161" s="1"/>
      <c r="M161" s="1"/>
      <c r="N161" s="1"/>
      <c r="O161" s="1"/>
      <c r="P161" s="1"/>
      <c r="Q161" s="1"/>
      <c r="R161" s="1"/>
      <c r="S161" s="1"/>
      <c r="T161" s="1"/>
      <c r="U161" s="1"/>
      <c r="V161" s="1"/>
      <c r="W161" s="1"/>
      <c r="X161" s="1"/>
      <c r="Y161" s="1"/>
    </row>
    <row r="162">
      <c r="A162" s="17"/>
      <c r="B162" s="23"/>
      <c r="C162" s="1"/>
      <c r="D162" s="1"/>
      <c r="E162" s="1"/>
      <c r="F162" s="1"/>
      <c r="G162" s="1"/>
      <c r="H162" s="1"/>
      <c r="I162" s="1"/>
      <c r="J162" s="1"/>
      <c r="K162" s="1"/>
      <c r="L162" s="1"/>
      <c r="M162" s="1"/>
      <c r="N162" s="1"/>
      <c r="O162" s="1"/>
      <c r="P162" s="1"/>
      <c r="Q162" s="1"/>
      <c r="R162" s="1"/>
      <c r="S162" s="1"/>
      <c r="T162" s="1"/>
      <c r="U162" s="1"/>
      <c r="V162" s="1"/>
      <c r="W162" s="1"/>
      <c r="X162" s="1"/>
      <c r="Y162" s="1"/>
    </row>
    <row r="163">
      <c r="A163" s="17"/>
      <c r="B163" s="23"/>
      <c r="C163" s="1"/>
      <c r="D163" s="1"/>
      <c r="E163" s="1"/>
      <c r="F163" s="1"/>
      <c r="G163" s="1"/>
      <c r="H163" s="1"/>
      <c r="I163" s="1"/>
      <c r="J163" s="1"/>
      <c r="K163" s="1"/>
      <c r="L163" s="1"/>
      <c r="M163" s="1"/>
      <c r="N163" s="1"/>
      <c r="O163" s="1"/>
      <c r="P163" s="1"/>
      <c r="Q163" s="1"/>
      <c r="R163" s="1"/>
      <c r="S163" s="1"/>
      <c r="T163" s="1"/>
      <c r="U163" s="1"/>
      <c r="V163" s="1"/>
      <c r="W163" s="1"/>
      <c r="X163" s="1"/>
      <c r="Y163" s="1"/>
    </row>
    <row r="164">
      <c r="A164" s="17"/>
      <c r="B164" s="23"/>
      <c r="C164" s="1"/>
      <c r="D164" s="1"/>
      <c r="E164" s="1"/>
      <c r="F164" s="1"/>
      <c r="G164" s="1"/>
      <c r="H164" s="1"/>
      <c r="I164" s="1"/>
      <c r="J164" s="1"/>
      <c r="K164" s="1"/>
      <c r="L164" s="1"/>
      <c r="M164" s="1"/>
      <c r="N164" s="1"/>
      <c r="O164" s="1"/>
      <c r="P164" s="1"/>
      <c r="Q164" s="1"/>
      <c r="R164" s="1"/>
      <c r="S164" s="1"/>
      <c r="T164" s="1"/>
      <c r="U164" s="1"/>
      <c r="V164" s="1"/>
      <c r="W164" s="1"/>
      <c r="X164" s="1"/>
      <c r="Y164" s="1"/>
    </row>
    <row r="165">
      <c r="A165" s="17"/>
      <c r="B165" s="23"/>
      <c r="C165" s="1"/>
      <c r="D165" s="1"/>
      <c r="E165" s="1"/>
      <c r="F165" s="1"/>
      <c r="G165" s="1"/>
      <c r="H165" s="1"/>
      <c r="I165" s="1"/>
      <c r="J165" s="1"/>
      <c r="K165" s="1"/>
      <c r="L165" s="1"/>
      <c r="M165" s="1"/>
      <c r="N165" s="1"/>
      <c r="O165" s="1"/>
      <c r="P165" s="1"/>
      <c r="Q165" s="1"/>
      <c r="R165" s="1"/>
      <c r="S165" s="1"/>
      <c r="T165" s="1"/>
      <c r="U165" s="1"/>
      <c r="V165" s="1"/>
      <c r="W165" s="1"/>
      <c r="X165" s="1"/>
      <c r="Y165" s="1"/>
    </row>
    <row r="166">
      <c r="A166" s="17"/>
      <c r="B166" s="23"/>
      <c r="C166" s="1"/>
      <c r="D166" s="1"/>
      <c r="E166" s="1"/>
      <c r="F166" s="1"/>
      <c r="G166" s="1"/>
      <c r="H166" s="1"/>
      <c r="I166" s="1"/>
      <c r="J166" s="1"/>
      <c r="K166" s="1"/>
      <c r="L166" s="1"/>
      <c r="M166" s="1"/>
      <c r="N166" s="1"/>
      <c r="O166" s="1"/>
      <c r="P166" s="1"/>
      <c r="Q166" s="1"/>
      <c r="R166" s="1"/>
      <c r="S166" s="1"/>
      <c r="T166" s="1"/>
      <c r="U166" s="1"/>
      <c r="V166" s="1"/>
      <c r="W166" s="1"/>
      <c r="X166" s="1"/>
      <c r="Y166" s="1"/>
    </row>
    <row r="167">
      <c r="A167" s="17"/>
      <c r="B167" s="23"/>
      <c r="C167" s="1"/>
      <c r="D167" s="1"/>
      <c r="E167" s="1"/>
      <c r="F167" s="1"/>
      <c r="G167" s="1"/>
      <c r="H167" s="1"/>
      <c r="I167" s="1"/>
      <c r="J167" s="1"/>
      <c r="K167" s="1"/>
      <c r="L167" s="1"/>
      <c r="M167" s="1"/>
      <c r="N167" s="1"/>
      <c r="O167" s="1"/>
      <c r="P167" s="1"/>
      <c r="Q167" s="1"/>
      <c r="R167" s="1"/>
      <c r="S167" s="1"/>
      <c r="T167" s="1"/>
      <c r="U167" s="1"/>
      <c r="V167" s="1"/>
      <c r="W167" s="1"/>
      <c r="X167" s="1"/>
      <c r="Y167" s="1"/>
    </row>
    <row r="168">
      <c r="A168" s="17"/>
      <c r="B168" s="23"/>
      <c r="C168" s="1"/>
      <c r="D168" s="1"/>
      <c r="E168" s="1"/>
      <c r="F168" s="1"/>
      <c r="G168" s="1"/>
      <c r="H168" s="1"/>
      <c r="I168" s="1"/>
      <c r="J168" s="1"/>
      <c r="K168" s="1"/>
      <c r="L168" s="1"/>
      <c r="M168" s="1"/>
      <c r="N168" s="1"/>
      <c r="O168" s="1"/>
      <c r="P168" s="1"/>
      <c r="Q168" s="1"/>
      <c r="R168" s="1"/>
      <c r="S168" s="1"/>
      <c r="T168" s="1"/>
      <c r="U168" s="1"/>
      <c r="V168" s="1"/>
      <c r="W168" s="1"/>
      <c r="X168" s="1"/>
      <c r="Y168" s="1"/>
    </row>
    <row r="169">
      <c r="A169" s="17"/>
      <c r="B169" s="23"/>
      <c r="C169" s="1"/>
      <c r="D169" s="1"/>
      <c r="E169" s="1"/>
      <c r="F169" s="1"/>
      <c r="G169" s="1"/>
      <c r="H169" s="1"/>
      <c r="I169" s="1"/>
      <c r="J169" s="1"/>
      <c r="K169" s="1"/>
      <c r="L169" s="1"/>
      <c r="M169" s="1"/>
      <c r="N169" s="1"/>
      <c r="O169" s="1"/>
      <c r="P169" s="1"/>
      <c r="Q169" s="1"/>
      <c r="R169" s="1"/>
      <c r="S169" s="1"/>
      <c r="T169" s="1"/>
      <c r="U169" s="1"/>
      <c r="V169" s="1"/>
      <c r="W169" s="1"/>
      <c r="X169" s="1"/>
      <c r="Y169" s="1"/>
    </row>
    <row r="170">
      <c r="A170" s="17"/>
      <c r="B170" s="23"/>
      <c r="C170" s="1"/>
      <c r="D170" s="1"/>
      <c r="E170" s="1"/>
      <c r="F170" s="1"/>
      <c r="G170" s="1"/>
      <c r="H170" s="1"/>
      <c r="I170" s="1"/>
      <c r="J170" s="1"/>
      <c r="K170" s="1"/>
      <c r="L170" s="1"/>
      <c r="M170" s="1"/>
      <c r="N170" s="1"/>
      <c r="O170" s="1"/>
      <c r="P170" s="1"/>
      <c r="Q170" s="1"/>
      <c r="R170" s="1"/>
      <c r="S170" s="1"/>
      <c r="T170" s="1"/>
      <c r="U170" s="1"/>
      <c r="V170" s="1"/>
      <c r="W170" s="1"/>
      <c r="X170" s="1"/>
      <c r="Y170" s="1"/>
    </row>
    <row r="171">
      <c r="A171" s="17"/>
      <c r="B171" s="23"/>
      <c r="C171" s="1"/>
      <c r="D171" s="1"/>
      <c r="E171" s="1"/>
      <c r="F171" s="1"/>
      <c r="G171" s="1"/>
      <c r="H171" s="1"/>
      <c r="I171" s="1"/>
      <c r="J171" s="1"/>
      <c r="K171" s="1"/>
      <c r="L171" s="1"/>
      <c r="M171" s="1"/>
      <c r="N171" s="1"/>
      <c r="O171" s="1"/>
      <c r="P171" s="1"/>
      <c r="Q171" s="1"/>
      <c r="R171" s="1"/>
      <c r="S171" s="1"/>
      <c r="T171" s="1"/>
      <c r="U171" s="1"/>
      <c r="V171" s="1"/>
      <c r="W171" s="1"/>
      <c r="X171" s="1"/>
      <c r="Y171" s="1"/>
    </row>
    <row r="172">
      <c r="A172" s="17"/>
      <c r="B172" s="23"/>
      <c r="C172" s="1"/>
      <c r="D172" s="1"/>
      <c r="E172" s="1"/>
      <c r="F172" s="1"/>
      <c r="G172" s="1"/>
      <c r="H172" s="1"/>
      <c r="I172" s="1"/>
      <c r="J172" s="1"/>
      <c r="K172" s="1"/>
      <c r="L172" s="1"/>
      <c r="M172" s="1"/>
      <c r="N172" s="1"/>
      <c r="O172" s="1"/>
      <c r="P172" s="1"/>
      <c r="Q172" s="1"/>
      <c r="R172" s="1"/>
      <c r="S172" s="1"/>
      <c r="T172" s="1"/>
      <c r="U172" s="1"/>
      <c r="V172" s="1"/>
      <c r="W172" s="1"/>
      <c r="X172" s="1"/>
      <c r="Y172" s="1"/>
    </row>
    <row r="173">
      <c r="A173" s="17"/>
      <c r="B173" s="23"/>
      <c r="C173" s="1"/>
      <c r="D173" s="1"/>
      <c r="E173" s="1"/>
      <c r="F173" s="1"/>
      <c r="G173" s="1"/>
      <c r="H173" s="1"/>
      <c r="I173" s="1"/>
      <c r="J173" s="1"/>
      <c r="K173" s="1"/>
      <c r="L173" s="1"/>
      <c r="M173" s="1"/>
      <c r="N173" s="1"/>
      <c r="O173" s="1"/>
      <c r="P173" s="1"/>
      <c r="Q173" s="1"/>
      <c r="R173" s="1"/>
      <c r="S173" s="1"/>
      <c r="T173" s="1"/>
      <c r="U173" s="1"/>
      <c r="V173" s="1"/>
      <c r="W173" s="1"/>
      <c r="X173" s="1"/>
      <c r="Y173" s="1"/>
    </row>
    <row r="174">
      <c r="A174" s="17"/>
      <c r="B174" s="23"/>
      <c r="C174" s="1"/>
      <c r="D174" s="1"/>
      <c r="E174" s="1"/>
      <c r="F174" s="1"/>
      <c r="G174" s="1"/>
      <c r="H174" s="1"/>
      <c r="I174" s="1"/>
      <c r="J174" s="1"/>
      <c r="K174" s="1"/>
      <c r="L174" s="1"/>
      <c r="M174" s="1"/>
      <c r="N174" s="1"/>
      <c r="O174" s="1"/>
      <c r="P174" s="1"/>
      <c r="Q174" s="1"/>
      <c r="R174" s="1"/>
      <c r="S174" s="1"/>
      <c r="T174" s="1"/>
      <c r="U174" s="1"/>
      <c r="V174" s="1"/>
      <c r="W174" s="1"/>
      <c r="X174" s="1"/>
      <c r="Y174" s="1"/>
    </row>
    <row r="175">
      <c r="A175" s="17"/>
      <c r="B175" s="23"/>
      <c r="C175" s="1"/>
      <c r="D175" s="1"/>
      <c r="E175" s="1"/>
      <c r="F175" s="1"/>
      <c r="G175" s="1"/>
      <c r="H175" s="1"/>
      <c r="I175" s="1"/>
      <c r="J175" s="1"/>
      <c r="K175" s="1"/>
      <c r="L175" s="1"/>
      <c r="M175" s="1"/>
      <c r="N175" s="1"/>
      <c r="O175" s="1"/>
      <c r="P175" s="1"/>
      <c r="Q175" s="1"/>
      <c r="R175" s="1"/>
      <c r="S175" s="1"/>
      <c r="T175" s="1"/>
      <c r="U175" s="1"/>
      <c r="V175" s="1"/>
      <c r="W175" s="1"/>
      <c r="X175" s="1"/>
      <c r="Y175" s="1"/>
    </row>
    <row r="176">
      <c r="A176" s="17"/>
      <c r="B176" s="23"/>
      <c r="C176" s="1"/>
      <c r="D176" s="1"/>
      <c r="E176" s="1"/>
      <c r="F176" s="1"/>
      <c r="G176" s="1"/>
      <c r="H176" s="1"/>
      <c r="I176" s="1"/>
      <c r="J176" s="1"/>
      <c r="K176" s="1"/>
      <c r="L176" s="1"/>
      <c r="M176" s="1"/>
      <c r="N176" s="1"/>
      <c r="O176" s="1"/>
      <c r="P176" s="1"/>
      <c r="Q176" s="1"/>
      <c r="R176" s="1"/>
      <c r="S176" s="1"/>
      <c r="T176" s="1"/>
      <c r="U176" s="1"/>
      <c r="V176" s="1"/>
      <c r="W176" s="1"/>
      <c r="X176" s="1"/>
      <c r="Y176" s="1"/>
    </row>
    <row r="177">
      <c r="A177" s="17"/>
      <c r="B177" s="23"/>
      <c r="C177" s="1"/>
      <c r="D177" s="1"/>
      <c r="E177" s="1"/>
      <c r="F177" s="1"/>
      <c r="G177" s="1"/>
      <c r="H177" s="1"/>
      <c r="I177" s="1"/>
      <c r="J177" s="1"/>
      <c r="K177" s="1"/>
      <c r="L177" s="1"/>
      <c r="M177" s="1"/>
      <c r="N177" s="1"/>
      <c r="O177" s="1"/>
      <c r="P177" s="1"/>
      <c r="Q177" s="1"/>
      <c r="R177" s="1"/>
      <c r="S177" s="1"/>
      <c r="T177" s="1"/>
      <c r="U177" s="1"/>
      <c r="V177" s="1"/>
      <c r="W177" s="1"/>
      <c r="X177" s="1"/>
      <c r="Y177" s="1"/>
    </row>
    <row r="178">
      <c r="A178" s="17"/>
      <c r="B178" s="23"/>
      <c r="C178" s="1"/>
      <c r="D178" s="1"/>
      <c r="E178" s="1"/>
      <c r="F178" s="1"/>
      <c r="G178" s="1"/>
      <c r="H178" s="1"/>
      <c r="I178" s="1"/>
      <c r="J178" s="1"/>
      <c r="K178" s="1"/>
      <c r="L178" s="1"/>
      <c r="M178" s="1"/>
      <c r="N178" s="1"/>
      <c r="O178" s="1"/>
      <c r="P178" s="1"/>
      <c r="Q178" s="1"/>
      <c r="R178" s="1"/>
      <c r="S178" s="1"/>
      <c r="T178" s="1"/>
      <c r="U178" s="1"/>
      <c r="V178" s="1"/>
      <c r="W178" s="1"/>
      <c r="X178" s="1"/>
      <c r="Y178" s="1"/>
    </row>
    <row r="179">
      <c r="A179" s="17"/>
      <c r="B179" s="23"/>
      <c r="C179" s="1"/>
      <c r="D179" s="1"/>
      <c r="E179" s="1"/>
      <c r="F179" s="1"/>
      <c r="G179" s="1"/>
      <c r="H179" s="1"/>
      <c r="I179" s="1"/>
      <c r="J179" s="1"/>
      <c r="K179" s="1"/>
      <c r="L179" s="1"/>
      <c r="M179" s="1"/>
      <c r="N179" s="1"/>
      <c r="O179" s="1"/>
      <c r="P179" s="1"/>
      <c r="Q179" s="1"/>
      <c r="R179" s="1"/>
      <c r="S179" s="1"/>
      <c r="T179" s="1"/>
      <c r="U179" s="1"/>
      <c r="V179" s="1"/>
      <c r="W179" s="1"/>
      <c r="X179" s="1"/>
      <c r="Y179" s="1"/>
    </row>
    <row r="180">
      <c r="A180" s="17"/>
      <c r="B180" s="23"/>
      <c r="C180" s="1"/>
      <c r="D180" s="1"/>
      <c r="E180" s="1"/>
      <c r="F180" s="1"/>
      <c r="G180" s="1"/>
      <c r="H180" s="1"/>
      <c r="I180" s="1"/>
      <c r="J180" s="1"/>
      <c r="K180" s="1"/>
      <c r="L180" s="1"/>
      <c r="M180" s="1"/>
      <c r="N180" s="1"/>
      <c r="O180" s="1"/>
      <c r="P180" s="1"/>
      <c r="Q180" s="1"/>
      <c r="R180" s="1"/>
      <c r="S180" s="1"/>
      <c r="T180" s="1"/>
      <c r="U180" s="1"/>
      <c r="V180" s="1"/>
      <c r="W180" s="1"/>
      <c r="X180" s="1"/>
      <c r="Y180" s="1"/>
    </row>
    <row r="181">
      <c r="A181" s="17"/>
      <c r="B181" s="23"/>
      <c r="C181" s="1"/>
      <c r="D181" s="1"/>
      <c r="E181" s="1"/>
      <c r="F181" s="1"/>
      <c r="G181" s="1"/>
      <c r="H181" s="1"/>
      <c r="I181" s="1"/>
      <c r="J181" s="1"/>
      <c r="K181" s="1"/>
      <c r="L181" s="1"/>
      <c r="M181" s="1"/>
      <c r="N181" s="1"/>
      <c r="O181" s="1"/>
      <c r="P181" s="1"/>
      <c r="Q181" s="1"/>
      <c r="R181" s="1"/>
      <c r="S181" s="1"/>
      <c r="T181" s="1"/>
      <c r="U181" s="1"/>
      <c r="V181" s="1"/>
      <c r="W181" s="1"/>
      <c r="X181" s="1"/>
      <c r="Y181" s="1"/>
    </row>
    <row r="182">
      <c r="A182" s="17"/>
      <c r="B182" s="23"/>
      <c r="C182" s="1"/>
      <c r="D182" s="1"/>
      <c r="E182" s="1"/>
      <c r="F182" s="1"/>
      <c r="G182" s="1"/>
      <c r="H182" s="1"/>
      <c r="I182" s="1"/>
      <c r="J182" s="1"/>
      <c r="K182" s="1"/>
      <c r="L182" s="1"/>
      <c r="M182" s="1"/>
      <c r="N182" s="1"/>
      <c r="O182" s="1"/>
      <c r="P182" s="1"/>
      <c r="Q182" s="1"/>
      <c r="R182" s="1"/>
      <c r="S182" s="1"/>
      <c r="T182" s="1"/>
      <c r="U182" s="1"/>
      <c r="V182" s="1"/>
      <c r="W182" s="1"/>
      <c r="X182" s="1"/>
      <c r="Y182" s="1"/>
    </row>
    <row r="183">
      <c r="A183" s="17"/>
      <c r="B183" s="23"/>
      <c r="C183" s="1"/>
      <c r="D183" s="1"/>
      <c r="E183" s="1"/>
      <c r="F183" s="1"/>
      <c r="G183" s="1"/>
      <c r="H183" s="1"/>
      <c r="I183" s="1"/>
      <c r="J183" s="1"/>
      <c r="K183" s="1"/>
      <c r="L183" s="1"/>
      <c r="M183" s="1"/>
      <c r="N183" s="1"/>
      <c r="O183" s="1"/>
      <c r="P183" s="1"/>
      <c r="Q183" s="1"/>
      <c r="R183" s="1"/>
      <c r="S183" s="1"/>
      <c r="T183" s="1"/>
      <c r="U183" s="1"/>
      <c r="V183" s="1"/>
      <c r="W183" s="1"/>
      <c r="X183" s="1"/>
      <c r="Y183" s="1"/>
    </row>
    <row r="184">
      <c r="A184" s="17"/>
      <c r="B184" s="23"/>
      <c r="C184" s="1"/>
      <c r="D184" s="1"/>
      <c r="E184" s="1"/>
      <c r="F184" s="1"/>
      <c r="G184" s="1"/>
      <c r="H184" s="1"/>
      <c r="I184" s="1"/>
      <c r="J184" s="1"/>
      <c r="K184" s="1"/>
      <c r="L184" s="1"/>
      <c r="M184" s="1"/>
      <c r="N184" s="1"/>
      <c r="O184" s="1"/>
      <c r="P184" s="1"/>
      <c r="Q184" s="1"/>
      <c r="R184" s="1"/>
      <c r="S184" s="1"/>
      <c r="T184" s="1"/>
      <c r="U184" s="1"/>
      <c r="V184" s="1"/>
      <c r="W184" s="1"/>
      <c r="X184" s="1"/>
      <c r="Y184" s="1"/>
    </row>
    <row r="185">
      <c r="A185" s="17"/>
      <c r="B185" s="23"/>
      <c r="C185" s="1"/>
      <c r="D185" s="1"/>
      <c r="E185" s="1"/>
      <c r="F185" s="1"/>
      <c r="G185" s="1"/>
      <c r="H185" s="1"/>
      <c r="I185" s="1"/>
      <c r="J185" s="1"/>
      <c r="K185" s="1"/>
      <c r="L185" s="1"/>
      <c r="M185" s="1"/>
      <c r="N185" s="1"/>
      <c r="O185" s="1"/>
      <c r="P185" s="1"/>
      <c r="Q185" s="1"/>
      <c r="R185" s="1"/>
      <c r="S185" s="1"/>
      <c r="T185" s="1"/>
      <c r="U185" s="1"/>
      <c r="V185" s="1"/>
      <c r="W185" s="1"/>
      <c r="X185" s="1"/>
      <c r="Y185" s="1"/>
    </row>
    <row r="186">
      <c r="A186" s="17"/>
      <c r="B186" s="23"/>
      <c r="C186" s="1"/>
      <c r="D186" s="1"/>
      <c r="E186" s="1"/>
      <c r="F186" s="1"/>
      <c r="G186" s="1"/>
      <c r="H186" s="1"/>
      <c r="I186" s="1"/>
      <c r="J186" s="1"/>
      <c r="K186" s="1"/>
      <c r="L186" s="1"/>
      <c r="M186" s="1"/>
      <c r="N186" s="1"/>
      <c r="O186" s="1"/>
      <c r="P186" s="1"/>
      <c r="Q186" s="1"/>
      <c r="R186" s="1"/>
      <c r="S186" s="1"/>
      <c r="T186" s="1"/>
      <c r="U186" s="1"/>
      <c r="V186" s="1"/>
      <c r="W186" s="1"/>
      <c r="X186" s="1"/>
      <c r="Y186" s="1"/>
    </row>
    <row r="187">
      <c r="A187" s="17"/>
      <c r="B187" s="23"/>
      <c r="C187" s="1"/>
      <c r="D187" s="1"/>
      <c r="E187" s="1"/>
      <c r="F187" s="1"/>
      <c r="G187" s="1"/>
      <c r="H187" s="1"/>
      <c r="I187" s="1"/>
      <c r="J187" s="1"/>
      <c r="K187" s="1"/>
      <c r="L187" s="1"/>
      <c r="M187" s="1"/>
      <c r="N187" s="1"/>
      <c r="O187" s="1"/>
      <c r="P187" s="1"/>
      <c r="Q187" s="1"/>
      <c r="R187" s="1"/>
      <c r="S187" s="1"/>
      <c r="T187" s="1"/>
      <c r="U187" s="1"/>
      <c r="V187" s="1"/>
      <c r="W187" s="1"/>
      <c r="X187" s="1"/>
      <c r="Y187" s="1"/>
    </row>
    <row r="188">
      <c r="A188" s="17"/>
      <c r="B188" s="23"/>
      <c r="C188" s="1"/>
      <c r="D188" s="1"/>
      <c r="E188" s="1"/>
      <c r="F188" s="1"/>
      <c r="G188" s="1"/>
      <c r="H188" s="1"/>
      <c r="I188" s="1"/>
      <c r="J188" s="1"/>
      <c r="K188" s="1"/>
      <c r="L188" s="1"/>
      <c r="M188" s="1"/>
      <c r="N188" s="1"/>
      <c r="O188" s="1"/>
      <c r="P188" s="1"/>
      <c r="Q188" s="1"/>
      <c r="R188" s="1"/>
      <c r="S188" s="1"/>
      <c r="T188" s="1"/>
      <c r="U188" s="1"/>
      <c r="V188" s="1"/>
      <c r="W188" s="1"/>
      <c r="X188" s="1"/>
      <c r="Y188" s="1"/>
    </row>
    <row r="189">
      <c r="A189" s="17"/>
      <c r="B189" s="23"/>
      <c r="C189" s="1"/>
      <c r="D189" s="1"/>
      <c r="E189" s="1"/>
      <c r="F189" s="1"/>
      <c r="G189" s="1"/>
      <c r="H189" s="1"/>
      <c r="I189" s="1"/>
      <c r="J189" s="1"/>
      <c r="K189" s="1"/>
      <c r="L189" s="1"/>
      <c r="M189" s="1"/>
      <c r="N189" s="1"/>
      <c r="O189" s="1"/>
      <c r="P189" s="1"/>
      <c r="Q189" s="1"/>
      <c r="R189" s="1"/>
      <c r="S189" s="1"/>
      <c r="T189" s="1"/>
      <c r="U189" s="1"/>
      <c r="V189" s="1"/>
      <c r="W189" s="1"/>
      <c r="X189" s="1"/>
      <c r="Y189" s="1"/>
    </row>
    <row r="190">
      <c r="A190" s="17"/>
      <c r="B190" s="23"/>
      <c r="C190" s="1"/>
      <c r="D190" s="1"/>
      <c r="E190" s="1"/>
      <c r="F190" s="1"/>
      <c r="G190" s="1"/>
      <c r="H190" s="1"/>
      <c r="I190" s="1"/>
      <c r="J190" s="1"/>
      <c r="K190" s="1"/>
      <c r="L190" s="1"/>
      <c r="M190" s="1"/>
      <c r="N190" s="1"/>
      <c r="O190" s="1"/>
      <c r="P190" s="1"/>
      <c r="Q190" s="1"/>
      <c r="R190" s="1"/>
      <c r="S190" s="1"/>
      <c r="T190" s="1"/>
      <c r="U190" s="1"/>
      <c r="V190" s="1"/>
      <c r="W190" s="1"/>
      <c r="X190" s="1"/>
      <c r="Y190" s="1"/>
    </row>
    <row r="191">
      <c r="A191" s="17"/>
      <c r="B191" s="23"/>
      <c r="C191" s="1"/>
      <c r="D191" s="1"/>
      <c r="E191" s="1"/>
      <c r="F191" s="1"/>
      <c r="G191" s="1"/>
      <c r="H191" s="1"/>
      <c r="I191" s="1"/>
      <c r="J191" s="1"/>
      <c r="K191" s="1"/>
      <c r="L191" s="1"/>
      <c r="M191" s="1"/>
      <c r="N191" s="1"/>
      <c r="O191" s="1"/>
      <c r="P191" s="1"/>
      <c r="Q191" s="1"/>
      <c r="R191" s="1"/>
      <c r="S191" s="1"/>
      <c r="T191" s="1"/>
      <c r="U191" s="1"/>
      <c r="V191" s="1"/>
      <c r="W191" s="1"/>
      <c r="X191" s="1"/>
      <c r="Y191" s="1"/>
    </row>
    <row r="192">
      <c r="A192" s="17"/>
      <c r="B192" s="23"/>
      <c r="C192" s="1"/>
      <c r="D192" s="1"/>
      <c r="E192" s="1"/>
      <c r="F192" s="1"/>
      <c r="G192" s="1"/>
      <c r="H192" s="1"/>
      <c r="I192" s="1"/>
      <c r="J192" s="1"/>
      <c r="K192" s="1"/>
      <c r="L192" s="1"/>
      <c r="M192" s="1"/>
      <c r="N192" s="1"/>
      <c r="O192" s="1"/>
      <c r="P192" s="1"/>
      <c r="Q192" s="1"/>
      <c r="R192" s="1"/>
      <c r="S192" s="1"/>
      <c r="T192" s="1"/>
      <c r="U192" s="1"/>
      <c r="V192" s="1"/>
      <c r="W192" s="1"/>
      <c r="X192" s="1"/>
      <c r="Y192" s="1"/>
    </row>
    <row r="193">
      <c r="A193" s="17"/>
      <c r="B193" s="23"/>
      <c r="C193" s="1"/>
      <c r="D193" s="1"/>
      <c r="E193" s="1"/>
      <c r="F193" s="1"/>
      <c r="G193" s="1"/>
      <c r="H193" s="1"/>
      <c r="I193" s="1"/>
      <c r="J193" s="1"/>
      <c r="K193" s="1"/>
      <c r="L193" s="1"/>
      <c r="M193" s="1"/>
      <c r="N193" s="1"/>
      <c r="O193" s="1"/>
      <c r="P193" s="1"/>
      <c r="Q193" s="1"/>
      <c r="R193" s="1"/>
      <c r="S193" s="1"/>
      <c r="T193" s="1"/>
      <c r="U193" s="1"/>
      <c r="V193" s="1"/>
      <c r="W193" s="1"/>
      <c r="X193" s="1"/>
      <c r="Y193" s="1"/>
    </row>
    <row r="194">
      <c r="A194" s="17"/>
      <c r="B194" s="23"/>
      <c r="C194" s="1"/>
      <c r="D194" s="1"/>
      <c r="E194" s="1"/>
      <c r="F194" s="1"/>
      <c r="G194" s="1"/>
      <c r="H194" s="1"/>
      <c r="I194" s="1"/>
      <c r="J194" s="1"/>
      <c r="K194" s="1"/>
      <c r="L194" s="1"/>
      <c r="M194" s="1"/>
      <c r="N194" s="1"/>
      <c r="O194" s="1"/>
      <c r="P194" s="1"/>
      <c r="Q194" s="1"/>
      <c r="R194" s="1"/>
      <c r="S194" s="1"/>
      <c r="T194" s="1"/>
      <c r="U194" s="1"/>
      <c r="V194" s="1"/>
      <c r="W194" s="1"/>
      <c r="X194" s="1"/>
      <c r="Y194" s="1"/>
    </row>
    <row r="195">
      <c r="A195" s="17"/>
      <c r="B195" s="23"/>
      <c r="C195" s="1"/>
      <c r="D195" s="1"/>
      <c r="E195" s="1"/>
      <c r="F195" s="1"/>
      <c r="G195" s="1"/>
      <c r="H195" s="1"/>
      <c r="I195" s="1"/>
      <c r="J195" s="1"/>
      <c r="K195" s="1"/>
      <c r="L195" s="1"/>
      <c r="M195" s="1"/>
      <c r="N195" s="1"/>
      <c r="O195" s="1"/>
      <c r="P195" s="1"/>
      <c r="Q195" s="1"/>
      <c r="R195" s="1"/>
      <c r="S195" s="1"/>
      <c r="T195" s="1"/>
      <c r="U195" s="1"/>
      <c r="V195" s="1"/>
      <c r="W195" s="1"/>
      <c r="X195" s="1"/>
      <c r="Y195" s="1"/>
    </row>
    <row r="196">
      <c r="A196" s="17"/>
      <c r="B196" s="23"/>
      <c r="C196" s="1"/>
      <c r="D196" s="1"/>
      <c r="E196" s="1"/>
      <c r="F196" s="1"/>
      <c r="G196" s="1"/>
      <c r="H196" s="1"/>
      <c r="I196" s="1"/>
      <c r="J196" s="1"/>
      <c r="K196" s="1"/>
      <c r="L196" s="1"/>
      <c r="M196" s="1"/>
      <c r="N196" s="1"/>
      <c r="O196" s="1"/>
      <c r="P196" s="1"/>
      <c r="Q196" s="1"/>
      <c r="R196" s="1"/>
      <c r="S196" s="1"/>
      <c r="T196" s="1"/>
      <c r="U196" s="1"/>
      <c r="V196" s="1"/>
      <c r="W196" s="1"/>
      <c r="X196" s="1"/>
      <c r="Y196" s="1"/>
    </row>
    <row r="197">
      <c r="A197" s="17"/>
      <c r="B197" s="23"/>
      <c r="C197" s="1"/>
      <c r="D197" s="1"/>
      <c r="E197" s="1"/>
      <c r="F197" s="1"/>
      <c r="G197" s="1"/>
      <c r="H197" s="1"/>
      <c r="I197" s="1"/>
      <c r="J197" s="1"/>
      <c r="K197" s="1"/>
      <c r="L197" s="1"/>
      <c r="M197" s="1"/>
      <c r="N197" s="1"/>
      <c r="O197" s="1"/>
      <c r="P197" s="1"/>
      <c r="Q197" s="1"/>
      <c r="R197" s="1"/>
      <c r="S197" s="1"/>
      <c r="T197" s="1"/>
      <c r="U197" s="1"/>
      <c r="V197" s="1"/>
      <c r="W197" s="1"/>
      <c r="X197" s="1"/>
      <c r="Y197" s="1"/>
    </row>
    <row r="198">
      <c r="A198" s="17"/>
      <c r="B198" s="23"/>
      <c r="C198" s="1"/>
      <c r="D198" s="1"/>
      <c r="E198" s="1"/>
      <c r="F198" s="1"/>
      <c r="G198" s="1"/>
      <c r="H198" s="1"/>
      <c r="I198" s="1"/>
      <c r="J198" s="1"/>
      <c r="K198" s="1"/>
      <c r="L198" s="1"/>
      <c r="M198" s="1"/>
      <c r="N198" s="1"/>
      <c r="O198" s="1"/>
      <c r="P198" s="1"/>
      <c r="Q198" s="1"/>
      <c r="R198" s="1"/>
      <c r="S198" s="1"/>
      <c r="T198" s="1"/>
      <c r="U198" s="1"/>
      <c r="V198" s="1"/>
      <c r="W198" s="1"/>
      <c r="X198" s="1"/>
      <c r="Y198" s="1"/>
    </row>
    <row r="199">
      <c r="A199" s="17"/>
      <c r="B199" s="23"/>
      <c r="C199" s="1"/>
      <c r="D199" s="1"/>
      <c r="E199" s="1"/>
      <c r="F199" s="1"/>
      <c r="G199" s="1"/>
      <c r="H199" s="1"/>
      <c r="I199" s="1"/>
      <c r="J199" s="1"/>
      <c r="K199" s="1"/>
      <c r="L199" s="1"/>
      <c r="M199" s="1"/>
      <c r="N199" s="1"/>
      <c r="O199" s="1"/>
      <c r="P199" s="1"/>
      <c r="Q199" s="1"/>
      <c r="R199" s="1"/>
      <c r="S199" s="1"/>
      <c r="T199" s="1"/>
      <c r="U199" s="1"/>
      <c r="V199" s="1"/>
      <c r="W199" s="1"/>
      <c r="X199" s="1"/>
      <c r="Y199" s="1"/>
    </row>
    <row r="200">
      <c r="A200" s="17"/>
      <c r="B200" s="23"/>
      <c r="C200" s="1"/>
      <c r="D200" s="1"/>
      <c r="E200" s="1"/>
      <c r="F200" s="1"/>
      <c r="G200" s="1"/>
      <c r="H200" s="1"/>
      <c r="I200" s="1"/>
      <c r="J200" s="1"/>
      <c r="K200" s="1"/>
      <c r="L200" s="1"/>
      <c r="M200" s="1"/>
      <c r="N200" s="1"/>
      <c r="O200" s="1"/>
      <c r="P200" s="1"/>
      <c r="Q200" s="1"/>
      <c r="R200" s="1"/>
      <c r="S200" s="1"/>
      <c r="T200" s="1"/>
      <c r="U200" s="1"/>
      <c r="V200" s="1"/>
      <c r="W200" s="1"/>
      <c r="X200" s="1"/>
      <c r="Y200" s="1"/>
    </row>
    <row r="201">
      <c r="A201" s="17"/>
      <c r="B201" s="23"/>
      <c r="C201" s="1"/>
      <c r="D201" s="1"/>
      <c r="E201" s="1"/>
      <c r="F201" s="1"/>
      <c r="G201" s="1"/>
      <c r="H201" s="1"/>
      <c r="I201" s="1"/>
      <c r="J201" s="1"/>
      <c r="K201" s="1"/>
      <c r="L201" s="1"/>
      <c r="M201" s="1"/>
      <c r="N201" s="1"/>
      <c r="O201" s="1"/>
      <c r="P201" s="1"/>
      <c r="Q201" s="1"/>
      <c r="R201" s="1"/>
      <c r="S201" s="1"/>
      <c r="T201" s="1"/>
      <c r="U201" s="1"/>
      <c r="V201" s="1"/>
      <c r="W201" s="1"/>
      <c r="X201" s="1"/>
      <c r="Y201" s="1"/>
    </row>
    <row r="202">
      <c r="A202" s="17"/>
      <c r="B202" s="23"/>
      <c r="C202" s="1"/>
      <c r="D202" s="1"/>
      <c r="E202" s="1"/>
      <c r="F202" s="1"/>
      <c r="G202" s="1"/>
      <c r="H202" s="1"/>
      <c r="I202" s="1"/>
      <c r="J202" s="1"/>
      <c r="K202" s="1"/>
      <c r="L202" s="1"/>
      <c r="M202" s="1"/>
      <c r="N202" s="1"/>
      <c r="O202" s="1"/>
      <c r="P202" s="1"/>
      <c r="Q202" s="1"/>
      <c r="R202" s="1"/>
      <c r="S202" s="1"/>
      <c r="T202" s="1"/>
      <c r="U202" s="1"/>
      <c r="V202" s="1"/>
      <c r="W202" s="1"/>
      <c r="X202" s="1"/>
      <c r="Y202" s="1"/>
    </row>
    <row r="203">
      <c r="A203" s="17"/>
      <c r="B203" s="23"/>
      <c r="C203" s="1"/>
      <c r="D203" s="1"/>
      <c r="E203" s="1"/>
      <c r="F203" s="1"/>
      <c r="G203" s="1"/>
      <c r="H203" s="1"/>
      <c r="I203" s="1"/>
      <c r="J203" s="1"/>
      <c r="K203" s="1"/>
      <c r="L203" s="1"/>
      <c r="M203" s="1"/>
      <c r="N203" s="1"/>
      <c r="O203" s="1"/>
      <c r="P203" s="1"/>
      <c r="Q203" s="1"/>
      <c r="R203" s="1"/>
      <c r="S203" s="1"/>
      <c r="T203" s="1"/>
      <c r="U203" s="1"/>
      <c r="V203" s="1"/>
      <c r="W203" s="1"/>
      <c r="X203" s="1"/>
      <c r="Y203" s="1"/>
    </row>
    <row r="204">
      <c r="A204" s="17"/>
      <c r="B204" s="23"/>
      <c r="C204" s="1"/>
      <c r="D204" s="1"/>
      <c r="E204" s="1"/>
      <c r="F204" s="1"/>
      <c r="G204" s="1"/>
      <c r="H204" s="1"/>
      <c r="I204" s="1"/>
      <c r="J204" s="1"/>
      <c r="K204" s="1"/>
      <c r="L204" s="1"/>
      <c r="M204" s="1"/>
      <c r="N204" s="1"/>
      <c r="O204" s="1"/>
      <c r="P204" s="1"/>
      <c r="Q204" s="1"/>
      <c r="R204" s="1"/>
      <c r="S204" s="1"/>
      <c r="T204" s="1"/>
      <c r="U204" s="1"/>
      <c r="V204" s="1"/>
      <c r="W204" s="1"/>
      <c r="X204" s="1"/>
      <c r="Y204" s="1"/>
    </row>
    <row r="205">
      <c r="A205" s="17"/>
      <c r="B205" s="23"/>
      <c r="C205" s="1"/>
      <c r="D205" s="1"/>
      <c r="E205" s="1"/>
      <c r="F205" s="1"/>
      <c r="G205" s="1"/>
      <c r="H205" s="1"/>
      <c r="I205" s="1"/>
      <c r="J205" s="1"/>
      <c r="K205" s="1"/>
      <c r="L205" s="1"/>
      <c r="M205" s="1"/>
      <c r="N205" s="1"/>
      <c r="O205" s="1"/>
      <c r="P205" s="1"/>
      <c r="Q205" s="1"/>
      <c r="R205" s="1"/>
      <c r="S205" s="1"/>
      <c r="T205" s="1"/>
      <c r="U205" s="1"/>
      <c r="V205" s="1"/>
      <c r="W205" s="1"/>
      <c r="X205" s="1"/>
      <c r="Y205" s="1"/>
    </row>
    <row r="206">
      <c r="A206" s="17"/>
      <c r="B206" s="23"/>
      <c r="C206" s="1"/>
      <c r="D206" s="1"/>
      <c r="E206" s="1"/>
      <c r="F206" s="1"/>
      <c r="G206" s="1"/>
      <c r="H206" s="1"/>
      <c r="I206" s="1"/>
      <c r="J206" s="1"/>
      <c r="K206" s="1"/>
      <c r="L206" s="1"/>
      <c r="M206" s="1"/>
      <c r="N206" s="1"/>
      <c r="O206" s="1"/>
      <c r="P206" s="1"/>
      <c r="Q206" s="1"/>
      <c r="R206" s="1"/>
      <c r="S206" s="1"/>
      <c r="T206" s="1"/>
      <c r="U206" s="1"/>
      <c r="V206" s="1"/>
      <c r="W206" s="1"/>
      <c r="X206" s="1"/>
      <c r="Y206" s="1"/>
    </row>
    <row r="207">
      <c r="A207" s="17"/>
      <c r="B207" s="23"/>
      <c r="C207" s="1"/>
      <c r="D207" s="1"/>
      <c r="E207" s="1"/>
      <c r="F207" s="1"/>
      <c r="G207" s="1"/>
      <c r="H207" s="1"/>
      <c r="I207" s="1"/>
      <c r="J207" s="1"/>
      <c r="K207" s="1"/>
      <c r="L207" s="1"/>
      <c r="M207" s="1"/>
      <c r="N207" s="1"/>
      <c r="O207" s="1"/>
      <c r="P207" s="1"/>
      <c r="Q207" s="1"/>
      <c r="R207" s="1"/>
      <c r="S207" s="1"/>
      <c r="T207" s="1"/>
      <c r="U207" s="1"/>
      <c r="V207" s="1"/>
      <c r="W207" s="1"/>
      <c r="X207" s="1"/>
      <c r="Y207" s="1"/>
    </row>
    <row r="208">
      <c r="A208" s="17"/>
      <c r="B208" s="23"/>
      <c r="C208" s="1"/>
      <c r="D208" s="1"/>
      <c r="E208" s="1"/>
      <c r="F208" s="1"/>
      <c r="G208" s="1"/>
      <c r="H208" s="1"/>
      <c r="I208" s="1"/>
      <c r="J208" s="1"/>
      <c r="K208" s="1"/>
      <c r="L208" s="1"/>
      <c r="M208" s="1"/>
      <c r="N208" s="1"/>
      <c r="O208" s="1"/>
      <c r="P208" s="1"/>
      <c r="Q208" s="1"/>
      <c r="R208" s="1"/>
      <c r="S208" s="1"/>
      <c r="T208" s="1"/>
      <c r="U208" s="1"/>
      <c r="V208" s="1"/>
      <c r="W208" s="1"/>
      <c r="X208" s="1"/>
      <c r="Y208" s="1"/>
    </row>
    <row r="209">
      <c r="A209" s="17"/>
      <c r="B209" s="23"/>
      <c r="C209" s="1"/>
      <c r="D209" s="1"/>
      <c r="E209" s="1"/>
      <c r="F209" s="1"/>
      <c r="G209" s="1"/>
      <c r="H209" s="1"/>
      <c r="I209" s="1"/>
      <c r="J209" s="1"/>
      <c r="K209" s="1"/>
      <c r="L209" s="1"/>
      <c r="M209" s="1"/>
      <c r="N209" s="1"/>
      <c r="O209" s="1"/>
      <c r="P209" s="1"/>
      <c r="Q209" s="1"/>
      <c r="R209" s="1"/>
      <c r="S209" s="1"/>
      <c r="T209" s="1"/>
      <c r="U209" s="1"/>
      <c r="V209" s="1"/>
      <c r="W209" s="1"/>
      <c r="X209" s="1"/>
      <c r="Y209" s="1"/>
    </row>
    <row r="210">
      <c r="A210" s="17"/>
      <c r="B210" s="23"/>
      <c r="C210" s="1"/>
      <c r="D210" s="1"/>
      <c r="E210" s="1"/>
      <c r="F210" s="1"/>
      <c r="G210" s="1"/>
      <c r="H210" s="1"/>
      <c r="I210" s="1"/>
      <c r="J210" s="1"/>
      <c r="K210" s="1"/>
      <c r="L210" s="1"/>
      <c r="M210" s="1"/>
      <c r="N210" s="1"/>
      <c r="O210" s="1"/>
      <c r="P210" s="1"/>
      <c r="Q210" s="1"/>
      <c r="R210" s="1"/>
      <c r="S210" s="1"/>
      <c r="T210" s="1"/>
      <c r="U210" s="1"/>
      <c r="V210" s="1"/>
      <c r="W210" s="1"/>
      <c r="X210" s="1"/>
      <c r="Y210" s="1"/>
    </row>
    <row r="211">
      <c r="A211" s="17"/>
      <c r="B211" s="23"/>
      <c r="C211" s="1"/>
      <c r="D211" s="1"/>
      <c r="E211" s="1"/>
      <c r="F211" s="1"/>
      <c r="G211" s="1"/>
      <c r="H211" s="1"/>
      <c r="I211" s="1"/>
      <c r="J211" s="1"/>
      <c r="K211" s="1"/>
      <c r="L211" s="1"/>
      <c r="M211" s="1"/>
      <c r="N211" s="1"/>
      <c r="O211" s="1"/>
      <c r="P211" s="1"/>
      <c r="Q211" s="1"/>
      <c r="R211" s="1"/>
      <c r="S211" s="1"/>
      <c r="T211" s="1"/>
      <c r="U211" s="1"/>
      <c r="V211" s="1"/>
      <c r="W211" s="1"/>
      <c r="X211" s="1"/>
      <c r="Y211" s="1"/>
    </row>
    <row r="212">
      <c r="A212" s="17"/>
      <c r="B212" s="23"/>
      <c r="C212" s="1"/>
      <c r="D212" s="1"/>
      <c r="E212" s="1"/>
      <c r="F212" s="1"/>
      <c r="G212" s="1"/>
      <c r="H212" s="1"/>
      <c r="I212" s="1"/>
      <c r="J212" s="1"/>
      <c r="K212" s="1"/>
      <c r="L212" s="1"/>
      <c r="M212" s="1"/>
      <c r="N212" s="1"/>
      <c r="O212" s="1"/>
      <c r="P212" s="1"/>
      <c r="Q212" s="1"/>
      <c r="R212" s="1"/>
      <c r="S212" s="1"/>
      <c r="T212" s="1"/>
      <c r="U212" s="1"/>
      <c r="V212" s="1"/>
      <c r="W212" s="1"/>
      <c r="X212" s="1"/>
      <c r="Y212" s="1"/>
    </row>
    <row r="213">
      <c r="A213" s="17"/>
      <c r="B213" s="23"/>
      <c r="C213" s="1"/>
      <c r="D213" s="1"/>
      <c r="E213" s="1"/>
      <c r="F213" s="1"/>
      <c r="G213" s="1"/>
      <c r="H213" s="1"/>
      <c r="I213" s="1"/>
      <c r="J213" s="1"/>
      <c r="K213" s="1"/>
      <c r="L213" s="1"/>
      <c r="M213" s="1"/>
      <c r="N213" s="1"/>
      <c r="O213" s="1"/>
      <c r="P213" s="1"/>
      <c r="Q213" s="1"/>
      <c r="R213" s="1"/>
      <c r="S213" s="1"/>
      <c r="T213" s="1"/>
      <c r="U213" s="1"/>
      <c r="V213" s="1"/>
      <c r="W213" s="1"/>
      <c r="X213" s="1"/>
      <c r="Y213" s="1"/>
    </row>
    <row r="214">
      <c r="A214" s="17"/>
      <c r="B214" s="23"/>
      <c r="C214" s="1"/>
      <c r="D214" s="1"/>
      <c r="E214" s="1"/>
      <c r="F214" s="1"/>
      <c r="G214" s="1"/>
      <c r="H214" s="1"/>
      <c r="I214" s="1"/>
      <c r="J214" s="1"/>
      <c r="K214" s="1"/>
      <c r="L214" s="1"/>
      <c r="M214" s="1"/>
      <c r="N214" s="1"/>
      <c r="O214" s="1"/>
      <c r="P214" s="1"/>
      <c r="Q214" s="1"/>
      <c r="R214" s="1"/>
      <c r="S214" s="1"/>
      <c r="T214" s="1"/>
      <c r="U214" s="1"/>
      <c r="V214" s="1"/>
      <c r="W214" s="1"/>
      <c r="X214" s="1"/>
      <c r="Y214" s="1"/>
    </row>
    <row r="215">
      <c r="A215" s="17"/>
      <c r="B215" s="23"/>
      <c r="C215" s="1"/>
      <c r="D215" s="1"/>
      <c r="E215" s="1"/>
      <c r="F215" s="1"/>
      <c r="G215" s="1"/>
      <c r="H215" s="1"/>
      <c r="I215" s="1"/>
      <c r="J215" s="1"/>
      <c r="K215" s="1"/>
      <c r="L215" s="1"/>
      <c r="M215" s="1"/>
      <c r="N215" s="1"/>
      <c r="O215" s="1"/>
      <c r="P215" s="1"/>
      <c r="Q215" s="1"/>
      <c r="R215" s="1"/>
      <c r="S215" s="1"/>
      <c r="T215" s="1"/>
      <c r="U215" s="1"/>
      <c r="V215" s="1"/>
      <c r="W215" s="1"/>
      <c r="X215" s="1"/>
      <c r="Y215" s="1"/>
    </row>
    <row r="216">
      <c r="A216" s="17"/>
      <c r="B216" s="23"/>
      <c r="C216" s="1"/>
      <c r="D216" s="1"/>
      <c r="E216" s="1"/>
      <c r="F216" s="1"/>
      <c r="G216" s="1"/>
      <c r="H216" s="1"/>
      <c r="I216" s="1"/>
      <c r="J216" s="1"/>
      <c r="K216" s="1"/>
      <c r="L216" s="1"/>
      <c r="M216" s="1"/>
      <c r="N216" s="1"/>
      <c r="O216" s="1"/>
      <c r="P216" s="1"/>
      <c r="Q216" s="1"/>
      <c r="R216" s="1"/>
      <c r="S216" s="1"/>
      <c r="T216" s="1"/>
      <c r="U216" s="1"/>
      <c r="V216" s="1"/>
      <c r="W216" s="1"/>
      <c r="X216" s="1"/>
      <c r="Y216" s="1"/>
    </row>
    <row r="217">
      <c r="A217" s="17"/>
      <c r="B217" s="23"/>
      <c r="C217" s="1"/>
      <c r="D217" s="1"/>
      <c r="E217" s="1"/>
      <c r="F217" s="1"/>
      <c r="G217" s="1"/>
      <c r="H217" s="1"/>
      <c r="I217" s="1"/>
      <c r="J217" s="1"/>
      <c r="K217" s="1"/>
      <c r="L217" s="1"/>
      <c r="M217" s="1"/>
      <c r="N217" s="1"/>
      <c r="O217" s="1"/>
      <c r="P217" s="1"/>
      <c r="Q217" s="1"/>
      <c r="R217" s="1"/>
      <c r="S217" s="1"/>
      <c r="T217" s="1"/>
      <c r="U217" s="1"/>
      <c r="V217" s="1"/>
      <c r="W217" s="1"/>
      <c r="X217" s="1"/>
      <c r="Y217" s="1"/>
    </row>
    <row r="218">
      <c r="A218" s="17"/>
      <c r="B218" s="23"/>
      <c r="C218" s="1"/>
      <c r="D218" s="1"/>
      <c r="E218" s="1"/>
      <c r="F218" s="1"/>
      <c r="G218" s="1"/>
      <c r="H218" s="1"/>
      <c r="I218" s="1"/>
      <c r="J218" s="1"/>
      <c r="K218" s="1"/>
      <c r="L218" s="1"/>
      <c r="M218" s="1"/>
      <c r="N218" s="1"/>
      <c r="O218" s="1"/>
      <c r="P218" s="1"/>
      <c r="Q218" s="1"/>
      <c r="R218" s="1"/>
      <c r="S218" s="1"/>
      <c r="T218" s="1"/>
      <c r="U218" s="1"/>
      <c r="V218" s="1"/>
      <c r="W218" s="1"/>
      <c r="X218" s="1"/>
      <c r="Y218" s="1"/>
    </row>
    <row r="219">
      <c r="A219" s="17"/>
      <c r="B219" s="23"/>
      <c r="C219" s="1"/>
      <c r="D219" s="1"/>
      <c r="E219" s="1"/>
      <c r="F219" s="1"/>
      <c r="G219" s="1"/>
      <c r="H219" s="1"/>
      <c r="I219" s="1"/>
      <c r="J219" s="1"/>
      <c r="K219" s="1"/>
      <c r="L219" s="1"/>
      <c r="M219" s="1"/>
      <c r="N219" s="1"/>
      <c r="O219" s="1"/>
      <c r="P219" s="1"/>
      <c r="Q219" s="1"/>
      <c r="R219" s="1"/>
      <c r="S219" s="1"/>
      <c r="T219" s="1"/>
      <c r="U219" s="1"/>
      <c r="V219" s="1"/>
      <c r="W219" s="1"/>
      <c r="X219" s="1"/>
      <c r="Y219" s="1"/>
    </row>
    <row r="220">
      <c r="A220" s="17"/>
      <c r="B220" s="23"/>
      <c r="C220" s="1"/>
      <c r="D220" s="1"/>
      <c r="E220" s="1"/>
      <c r="F220" s="1"/>
      <c r="G220" s="1"/>
      <c r="H220" s="1"/>
      <c r="I220" s="1"/>
      <c r="J220" s="1"/>
      <c r="K220" s="1"/>
      <c r="L220" s="1"/>
      <c r="M220" s="1"/>
      <c r="N220" s="1"/>
      <c r="O220" s="1"/>
      <c r="P220" s="1"/>
      <c r="Q220" s="1"/>
      <c r="R220" s="1"/>
      <c r="S220" s="1"/>
      <c r="T220" s="1"/>
      <c r="U220" s="1"/>
      <c r="V220" s="1"/>
      <c r="W220" s="1"/>
      <c r="X220" s="1"/>
      <c r="Y220" s="1"/>
    </row>
    <row r="221">
      <c r="A221" s="17"/>
      <c r="B221" s="23"/>
      <c r="C221" s="1"/>
      <c r="D221" s="1"/>
      <c r="E221" s="1"/>
      <c r="F221" s="1"/>
      <c r="G221" s="1"/>
      <c r="H221" s="1"/>
      <c r="I221" s="1"/>
      <c r="J221" s="1"/>
      <c r="K221" s="1"/>
      <c r="L221" s="1"/>
      <c r="M221" s="1"/>
      <c r="N221" s="1"/>
      <c r="O221" s="1"/>
      <c r="P221" s="1"/>
      <c r="Q221" s="1"/>
      <c r="R221" s="1"/>
      <c r="S221" s="1"/>
      <c r="T221" s="1"/>
      <c r="U221" s="1"/>
      <c r="V221" s="1"/>
      <c r="W221" s="1"/>
      <c r="X221" s="1"/>
      <c r="Y221" s="1"/>
    </row>
    <row r="222">
      <c r="A222" s="17"/>
      <c r="B222" s="23"/>
      <c r="C222" s="1"/>
      <c r="D222" s="1"/>
      <c r="E222" s="1"/>
      <c r="F222" s="1"/>
      <c r="G222" s="1"/>
      <c r="H222" s="1"/>
      <c r="I222" s="1"/>
      <c r="J222" s="1"/>
      <c r="K222" s="1"/>
      <c r="L222" s="1"/>
      <c r="M222" s="1"/>
      <c r="N222" s="1"/>
      <c r="O222" s="1"/>
      <c r="P222" s="1"/>
      <c r="Q222" s="1"/>
      <c r="R222" s="1"/>
      <c r="S222" s="1"/>
      <c r="T222" s="1"/>
      <c r="U222" s="1"/>
      <c r="V222" s="1"/>
      <c r="W222" s="1"/>
      <c r="X222" s="1"/>
      <c r="Y222" s="1"/>
    </row>
    <row r="223">
      <c r="A223" s="17"/>
      <c r="B223" s="23"/>
      <c r="C223" s="1"/>
      <c r="D223" s="1"/>
      <c r="E223" s="1"/>
      <c r="F223" s="1"/>
      <c r="G223" s="1"/>
      <c r="H223" s="1"/>
      <c r="I223" s="1"/>
      <c r="J223" s="1"/>
      <c r="K223" s="1"/>
      <c r="L223" s="1"/>
      <c r="M223" s="1"/>
      <c r="N223" s="1"/>
      <c r="O223" s="1"/>
      <c r="P223" s="1"/>
      <c r="Q223" s="1"/>
      <c r="R223" s="1"/>
      <c r="S223" s="1"/>
      <c r="T223" s="1"/>
      <c r="U223" s="1"/>
      <c r="V223" s="1"/>
      <c r="W223" s="1"/>
      <c r="X223" s="1"/>
      <c r="Y223" s="1"/>
    </row>
    <row r="224">
      <c r="A224" s="17"/>
      <c r="B224" s="23"/>
      <c r="C224" s="1"/>
      <c r="D224" s="1"/>
      <c r="E224" s="1"/>
      <c r="F224" s="1"/>
      <c r="G224" s="1"/>
      <c r="H224" s="1"/>
      <c r="I224" s="1"/>
      <c r="J224" s="1"/>
      <c r="K224" s="1"/>
      <c r="L224" s="1"/>
      <c r="M224" s="1"/>
      <c r="N224" s="1"/>
      <c r="O224" s="1"/>
      <c r="P224" s="1"/>
      <c r="Q224" s="1"/>
      <c r="R224" s="1"/>
      <c r="S224" s="1"/>
      <c r="T224" s="1"/>
      <c r="U224" s="1"/>
      <c r="V224" s="1"/>
      <c r="W224" s="1"/>
      <c r="X224" s="1"/>
      <c r="Y224" s="1"/>
    </row>
    <row r="225">
      <c r="A225" s="17"/>
      <c r="B225" s="23"/>
      <c r="C225" s="1"/>
      <c r="D225" s="1"/>
      <c r="E225" s="1"/>
      <c r="F225" s="1"/>
      <c r="G225" s="1"/>
      <c r="H225" s="1"/>
      <c r="I225" s="1"/>
      <c r="J225" s="1"/>
      <c r="K225" s="1"/>
      <c r="L225" s="1"/>
      <c r="M225" s="1"/>
      <c r="N225" s="1"/>
      <c r="O225" s="1"/>
      <c r="P225" s="1"/>
      <c r="Q225" s="1"/>
      <c r="R225" s="1"/>
      <c r="S225" s="1"/>
      <c r="T225" s="1"/>
      <c r="U225" s="1"/>
      <c r="V225" s="1"/>
      <c r="W225" s="1"/>
      <c r="X225" s="1"/>
      <c r="Y225" s="1"/>
    </row>
    <row r="226">
      <c r="A226" s="17"/>
      <c r="B226" s="23"/>
      <c r="C226" s="1"/>
      <c r="D226" s="1"/>
      <c r="E226" s="1"/>
      <c r="F226" s="1"/>
      <c r="G226" s="1"/>
      <c r="H226" s="1"/>
      <c r="I226" s="1"/>
      <c r="J226" s="1"/>
      <c r="K226" s="1"/>
      <c r="L226" s="1"/>
      <c r="M226" s="1"/>
      <c r="N226" s="1"/>
      <c r="O226" s="1"/>
      <c r="P226" s="1"/>
      <c r="Q226" s="1"/>
      <c r="R226" s="1"/>
      <c r="S226" s="1"/>
      <c r="T226" s="1"/>
      <c r="U226" s="1"/>
      <c r="V226" s="1"/>
      <c r="W226" s="1"/>
      <c r="X226" s="1"/>
      <c r="Y226" s="1"/>
    </row>
    <row r="227">
      <c r="A227" s="17"/>
      <c r="B227" s="23"/>
      <c r="C227" s="1"/>
      <c r="D227" s="1"/>
      <c r="E227" s="1"/>
      <c r="F227" s="1"/>
      <c r="G227" s="1"/>
      <c r="H227" s="1"/>
      <c r="I227" s="1"/>
      <c r="J227" s="1"/>
      <c r="K227" s="1"/>
      <c r="L227" s="1"/>
      <c r="M227" s="1"/>
      <c r="N227" s="1"/>
      <c r="O227" s="1"/>
      <c r="P227" s="1"/>
      <c r="Q227" s="1"/>
      <c r="R227" s="1"/>
      <c r="S227" s="1"/>
      <c r="T227" s="1"/>
      <c r="U227" s="1"/>
      <c r="V227" s="1"/>
      <c r="W227" s="1"/>
      <c r="X227" s="1"/>
      <c r="Y227" s="1"/>
    </row>
    <row r="228">
      <c r="A228" s="17"/>
      <c r="B228" s="23"/>
      <c r="C228" s="1"/>
      <c r="D228" s="1"/>
      <c r="E228" s="1"/>
      <c r="F228" s="1"/>
      <c r="G228" s="1"/>
      <c r="H228" s="1"/>
      <c r="I228" s="1"/>
      <c r="J228" s="1"/>
      <c r="K228" s="1"/>
      <c r="L228" s="1"/>
      <c r="M228" s="1"/>
      <c r="N228" s="1"/>
      <c r="O228" s="1"/>
      <c r="P228" s="1"/>
      <c r="Q228" s="1"/>
      <c r="R228" s="1"/>
      <c r="S228" s="1"/>
      <c r="T228" s="1"/>
      <c r="U228" s="1"/>
      <c r="V228" s="1"/>
      <c r="W228" s="1"/>
      <c r="X228" s="1"/>
      <c r="Y228" s="1"/>
    </row>
    <row r="229">
      <c r="A229" s="17"/>
      <c r="B229" s="23"/>
      <c r="C229" s="1"/>
      <c r="D229" s="1"/>
      <c r="E229" s="1"/>
      <c r="F229" s="1"/>
      <c r="G229" s="1"/>
      <c r="H229" s="1"/>
      <c r="I229" s="1"/>
      <c r="J229" s="1"/>
      <c r="K229" s="1"/>
      <c r="L229" s="1"/>
      <c r="M229" s="1"/>
      <c r="N229" s="1"/>
      <c r="O229" s="1"/>
      <c r="P229" s="1"/>
      <c r="Q229" s="1"/>
      <c r="R229" s="1"/>
      <c r="S229" s="1"/>
      <c r="T229" s="1"/>
      <c r="U229" s="1"/>
      <c r="V229" s="1"/>
      <c r="W229" s="1"/>
      <c r="X229" s="1"/>
      <c r="Y229" s="1"/>
    </row>
    <row r="230">
      <c r="A230" s="17"/>
      <c r="B230" s="23"/>
      <c r="C230" s="1"/>
      <c r="D230" s="1"/>
      <c r="E230" s="1"/>
      <c r="F230" s="1"/>
      <c r="G230" s="1"/>
      <c r="H230" s="1"/>
      <c r="I230" s="1"/>
      <c r="J230" s="1"/>
      <c r="K230" s="1"/>
      <c r="L230" s="1"/>
      <c r="M230" s="1"/>
      <c r="N230" s="1"/>
      <c r="O230" s="1"/>
      <c r="P230" s="1"/>
      <c r="Q230" s="1"/>
      <c r="R230" s="1"/>
      <c r="S230" s="1"/>
      <c r="T230" s="1"/>
      <c r="U230" s="1"/>
      <c r="V230" s="1"/>
      <c r="W230" s="1"/>
      <c r="X230" s="1"/>
      <c r="Y230" s="1"/>
    </row>
    <row r="231">
      <c r="A231" s="17"/>
      <c r="B231" s="23"/>
      <c r="C231" s="1"/>
      <c r="D231" s="1"/>
      <c r="E231" s="1"/>
      <c r="F231" s="1"/>
      <c r="G231" s="1"/>
      <c r="H231" s="1"/>
      <c r="I231" s="1"/>
      <c r="J231" s="1"/>
      <c r="K231" s="1"/>
      <c r="L231" s="1"/>
      <c r="M231" s="1"/>
      <c r="N231" s="1"/>
      <c r="O231" s="1"/>
      <c r="P231" s="1"/>
      <c r="Q231" s="1"/>
      <c r="R231" s="1"/>
      <c r="S231" s="1"/>
      <c r="T231" s="1"/>
      <c r="U231" s="1"/>
      <c r="V231" s="1"/>
      <c r="W231" s="1"/>
      <c r="X231" s="1"/>
      <c r="Y231" s="1"/>
    </row>
    <row r="232">
      <c r="A232" s="17"/>
      <c r="B232" s="23"/>
      <c r="C232" s="1"/>
      <c r="D232" s="1"/>
      <c r="E232" s="1"/>
      <c r="F232" s="1"/>
      <c r="G232" s="1"/>
      <c r="H232" s="1"/>
      <c r="I232" s="1"/>
      <c r="J232" s="1"/>
      <c r="K232" s="1"/>
      <c r="L232" s="1"/>
      <c r="M232" s="1"/>
      <c r="N232" s="1"/>
      <c r="O232" s="1"/>
      <c r="P232" s="1"/>
      <c r="Q232" s="1"/>
      <c r="R232" s="1"/>
      <c r="S232" s="1"/>
      <c r="T232" s="1"/>
      <c r="U232" s="1"/>
      <c r="V232" s="1"/>
      <c r="W232" s="1"/>
      <c r="X232" s="1"/>
      <c r="Y232" s="1"/>
    </row>
    <row r="233">
      <c r="A233" s="17"/>
      <c r="B233" s="23"/>
      <c r="C233" s="1"/>
      <c r="D233" s="1"/>
      <c r="E233" s="1"/>
      <c r="F233" s="1"/>
      <c r="G233" s="1"/>
      <c r="H233" s="1"/>
      <c r="I233" s="1"/>
      <c r="J233" s="1"/>
      <c r="K233" s="1"/>
      <c r="L233" s="1"/>
      <c r="M233" s="1"/>
      <c r="N233" s="1"/>
      <c r="O233" s="1"/>
      <c r="P233" s="1"/>
      <c r="Q233" s="1"/>
      <c r="R233" s="1"/>
      <c r="S233" s="1"/>
      <c r="T233" s="1"/>
      <c r="U233" s="1"/>
      <c r="V233" s="1"/>
      <c r="W233" s="1"/>
      <c r="X233" s="1"/>
      <c r="Y233" s="1"/>
    </row>
    <row r="234">
      <c r="A234" s="17"/>
      <c r="B234" s="23"/>
      <c r="C234" s="1"/>
      <c r="D234" s="1"/>
      <c r="E234" s="1"/>
      <c r="F234" s="1"/>
      <c r="G234" s="1"/>
      <c r="H234" s="1"/>
      <c r="I234" s="1"/>
      <c r="J234" s="1"/>
      <c r="K234" s="1"/>
      <c r="L234" s="1"/>
      <c r="M234" s="1"/>
      <c r="N234" s="1"/>
      <c r="O234" s="1"/>
      <c r="P234" s="1"/>
      <c r="Q234" s="1"/>
      <c r="R234" s="1"/>
      <c r="S234" s="1"/>
      <c r="T234" s="1"/>
      <c r="U234" s="1"/>
      <c r="V234" s="1"/>
      <c r="W234" s="1"/>
      <c r="X234" s="1"/>
      <c r="Y234" s="1"/>
    </row>
    <row r="235">
      <c r="A235" s="17"/>
      <c r="B235" s="23"/>
      <c r="C235" s="1"/>
      <c r="D235" s="1"/>
      <c r="E235" s="1"/>
      <c r="F235" s="1"/>
      <c r="G235" s="1"/>
      <c r="H235" s="1"/>
      <c r="I235" s="1"/>
      <c r="J235" s="1"/>
      <c r="K235" s="1"/>
      <c r="L235" s="1"/>
      <c r="M235" s="1"/>
      <c r="N235" s="1"/>
      <c r="O235" s="1"/>
      <c r="P235" s="1"/>
      <c r="Q235" s="1"/>
      <c r="R235" s="1"/>
      <c r="S235" s="1"/>
      <c r="T235" s="1"/>
      <c r="U235" s="1"/>
      <c r="V235" s="1"/>
      <c r="W235" s="1"/>
      <c r="X235" s="1"/>
      <c r="Y235" s="1"/>
    </row>
    <row r="236">
      <c r="A236" s="17"/>
      <c r="B236" s="23"/>
      <c r="C236" s="1"/>
      <c r="D236" s="1"/>
      <c r="E236" s="1"/>
      <c r="F236" s="1"/>
      <c r="G236" s="1"/>
      <c r="H236" s="1"/>
      <c r="I236" s="1"/>
      <c r="J236" s="1"/>
      <c r="K236" s="1"/>
      <c r="L236" s="1"/>
      <c r="M236" s="1"/>
      <c r="N236" s="1"/>
      <c r="O236" s="1"/>
      <c r="P236" s="1"/>
      <c r="Q236" s="1"/>
      <c r="R236" s="1"/>
      <c r="S236" s="1"/>
      <c r="T236" s="1"/>
      <c r="U236" s="1"/>
      <c r="V236" s="1"/>
      <c r="W236" s="1"/>
      <c r="X236" s="1"/>
      <c r="Y236" s="1"/>
    </row>
    <row r="237">
      <c r="A237" s="17"/>
      <c r="B237" s="23"/>
      <c r="C237" s="1"/>
      <c r="D237" s="1"/>
      <c r="E237" s="1"/>
      <c r="F237" s="1"/>
      <c r="G237" s="1"/>
      <c r="H237" s="1"/>
      <c r="I237" s="1"/>
      <c r="J237" s="1"/>
      <c r="K237" s="1"/>
      <c r="L237" s="1"/>
      <c r="M237" s="1"/>
      <c r="N237" s="1"/>
      <c r="O237" s="1"/>
      <c r="P237" s="1"/>
      <c r="Q237" s="1"/>
      <c r="R237" s="1"/>
      <c r="S237" s="1"/>
      <c r="T237" s="1"/>
      <c r="U237" s="1"/>
      <c r="V237" s="1"/>
      <c r="W237" s="1"/>
      <c r="X237" s="1"/>
      <c r="Y237" s="1"/>
    </row>
    <row r="238">
      <c r="A238" s="17"/>
      <c r="B238" s="23"/>
      <c r="C238" s="1"/>
      <c r="D238" s="1"/>
      <c r="E238" s="1"/>
      <c r="F238" s="1"/>
      <c r="G238" s="1"/>
      <c r="H238" s="1"/>
      <c r="I238" s="1"/>
      <c r="J238" s="1"/>
      <c r="K238" s="1"/>
      <c r="L238" s="1"/>
      <c r="M238" s="1"/>
      <c r="N238" s="1"/>
      <c r="O238" s="1"/>
      <c r="P238" s="1"/>
      <c r="Q238" s="1"/>
      <c r="R238" s="1"/>
      <c r="S238" s="1"/>
      <c r="T238" s="1"/>
      <c r="U238" s="1"/>
      <c r="V238" s="1"/>
      <c r="W238" s="1"/>
      <c r="X238" s="1"/>
      <c r="Y238" s="1"/>
    </row>
    <row r="239">
      <c r="A239" s="17"/>
      <c r="B239" s="23"/>
      <c r="C239" s="1"/>
      <c r="D239" s="1"/>
      <c r="E239" s="1"/>
      <c r="F239" s="1"/>
      <c r="G239" s="1"/>
      <c r="H239" s="1"/>
      <c r="I239" s="1"/>
      <c r="J239" s="1"/>
      <c r="K239" s="1"/>
      <c r="L239" s="1"/>
      <c r="M239" s="1"/>
      <c r="N239" s="1"/>
      <c r="O239" s="1"/>
      <c r="P239" s="1"/>
      <c r="Q239" s="1"/>
      <c r="R239" s="1"/>
      <c r="S239" s="1"/>
      <c r="T239" s="1"/>
      <c r="U239" s="1"/>
      <c r="V239" s="1"/>
      <c r="W239" s="1"/>
      <c r="X239" s="1"/>
      <c r="Y239" s="1"/>
    </row>
    <row r="240">
      <c r="A240" s="17"/>
      <c r="B240" s="23"/>
      <c r="C240" s="1"/>
      <c r="D240" s="1"/>
      <c r="E240" s="1"/>
      <c r="F240" s="1"/>
      <c r="G240" s="1"/>
      <c r="H240" s="1"/>
      <c r="I240" s="1"/>
      <c r="J240" s="1"/>
      <c r="K240" s="1"/>
      <c r="L240" s="1"/>
      <c r="M240" s="1"/>
      <c r="N240" s="1"/>
      <c r="O240" s="1"/>
      <c r="P240" s="1"/>
      <c r="Q240" s="1"/>
      <c r="R240" s="1"/>
      <c r="S240" s="1"/>
      <c r="T240" s="1"/>
      <c r="U240" s="1"/>
      <c r="V240" s="1"/>
      <c r="W240" s="1"/>
      <c r="X240" s="1"/>
      <c r="Y240" s="1"/>
    </row>
    <row r="241">
      <c r="A241" s="17"/>
      <c r="B241" s="23"/>
      <c r="C241" s="1"/>
      <c r="D241" s="1"/>
      <c r="E241" s="1"/>
      <c r="F241" s="1"/>
      <c r="G241" s="1"/>
      <c r="H241" s="1"/>
      <c r="I241" s="1"/>
      <c r="J241" s="1"/>
      <c r="K241" s="1"/>
      <c r="L241" s="1"/>
      <c r="M241" s="1"/>
      <c r="N241" s="1"/>
      <c r="O241" s="1"/>
      <c r="P241" s="1"/>
      <c r="Q241" s="1"/>
      <c r="R241" s="1"/>
      <c r="S241" s="1"/>
      <c r="T241" s="1"/>
      <c r="U241" s="1"/>
      <c r="V241" s="1"/>
      <c r="W241" s="1"/>
      <c r="X241" s="1"/>
      <c r="Y241" s="1"/>
    </row>
    <row r="242">
      <c r="A242" s="17"/>
      <c r="B242" s="23"/>
      <c r="C242" s="1"/>
      <c r="D242" s="1"/>
      <c r="E242" s="1"/>
      <c r="F242" s="1"/>
      <c r="G242" s="1"/>
      <c r="H242" s="1"/>
      <c r="I242" s="1"/>
      <c r="J242" s="1"/>
      <c r="K242" s="1"/>
      <c r="L242" s="1"/>
      <c r="M242" s="1"/>
      <c r="N242" s="1"/>
      <c r="O242" s="1"/>
      <c r="P242" s="1"/>
      <c r="Q242" s="1"/>
      <c r="R242" s="1"/>
      <c r="S242" s="1"/>
      <c r="T242" s="1"/>
      <c r="U242" s="1"/>
      <c r="V242" s="1"/>
      <c r="W242" s="1"/>
      <c r="X242" s="1"/>
      <c r="Y242" s="1"/>
    </row>
    <row r="243">
      <c r="A243" s="17"/>
      <c r="B243" s="23"/>
      <c r="C243" s="1"/>
      <c r="D243" s="1"/>
      <c r="E243" s="1"/>
      <c r="F243" s="1"/>
      <c r="G243" s="1"/>
      <c r="H243" s="1"/>
      <c r="I243" s="1"/>
      <c r="J243" s="1"/>
      <c r="K243" s="1"/>
      <c r="L243" s="1"/>
      <c r="M243" s="1"/>
      <c r="N243" s="1"/>
      <c r="O243" s="1"/>
      <c r="P243" s="1"/>
      <c r="Q243" s="1"/>
      <c r="R243" s="1"/>
      <c r="S243" s="1"/>
      <c r="T243" s="1"/>
      <c r="U243" s="1"/>
      <c r="V243" s="1"/>
      <c r="W243" s="1"/>
      <c r="X243" s="1"/>
      <c r="Y243" s="1"/>
    </row>
    <row r="244">
      <c r="A244" s="17"/>
      <c r="B244" s="23"/>
      <c r="C244" s="1"/>
      <c r="D244" s="1"/>
      <c r="E244" s="1"/>
      <c r="F244" s="1"/>
      <c r="G244" s="1"/>
      <c r="H244" s="1"/>
      <c r="I244" s="1"/>
      <c r="J244" s="1"/>
      <c r="K244" s="1"/>
      <c r="L244" s="1"/>
      <c r="M244" s="1"/>
      <c r="N244" s="1"/>
      <c r="O244" s="1"/>
      <c r="P244" s="1"/>
      <c r="Q244" s="1"/>
      <c r="R244" s="1"/>
      <c r="S244" s="1"/>
      <c r="T244" s="1"/>
      <c r="U244" s="1"/>
      <c r="V244" s="1"/>
      <c r="W244" s="1"/>
      <c r="X244" s="1"/>
      <c r="Y244" s="1"/>
    </row>
    <row r="245">
      <c r="A245" s="17"/>
      <c r="B245" s="23"/>
      <c r="C245" s="1"/>
      <c r="D245" s="1"/>
      <c r="E245" s="1"/>
      <c r="F245" s="1"/>
      <c r="G245" s="1"/>
      <c r="H245" s="1"/>
      <c r="I245" s="1"/>
      <c r="J245" s="1"/>
      <c r="K245" s="1"/>
      <c r="L245" s="1"/>
      <c r="M245" s="1"/>
      <c r="N245" s="1"/>
      <c r="O245" s="1"/>
      <c r="P245" s="1"/>
      <c r="Q245" s="1"/>
      <c r="R245" s="1"/>
      <c r="S245" s="1"/>
      <c r="T245" s="1"/>
      <c r="U245" s="1"/>
      <c r="V245" s="1"/>
      <c r="W245" s="1"/>
      <c r="X245" s="1"/>
      <c r="Y245" s="1"/>
    </row>
    <row r="246">
      <c r="A246" s="17"/>
      <c r="B246" s="23"/>
      <c r="C246" s="1"/>
      <c r="D246" s="1"/>
      <c r="E246" s="1"/>
      <c r="F246" s="1"/>
      <c r="G246" s="1"/>
      <c r="H246" s="1"/>
      <c r="I246" s="1"/>
      <c r="J246" s="1"/>
      <c r="K246" s="1"/>
      <c r="L246" s="1"/>
      <c r="M246" s="1"/>
      <c r="N246" s="1"/>
      <c r="O246" s="1"/>
      <c r="P246" s="1"/>
      <c r="Q246" s="1"/>
      <c r="R246" s="1"/>
      <c r="S246" s="1"/>
      <c r="T246" s="1"/>
      <c r="U246" s="1"/>
      <c r="V246" s="1"/>
      <c r="W246" s="1"/>
      <c r="X246" s="1"/>
      <c r="Y246" s="1"/>
    </row>
    <row r="247">
      <c r="A247" s="17"/>
      <c r="B247" s="23"/>
      <c r="C247" s="1"/>
      <c r="D247" s="1"/>
      <c r="E247" s="1"/>
      <c r="F247" s="1"/>
      <c r="G247" s="1"/>
      <c r="H247" s="1"/>
      <c r="I247" s="1"/>
      <c r="J247" s="1"/>
      <c r="K247" s="1"/>
      <c r="L247" s="1"/>
      <c r="M247" s="1"/>
      <c r="N247" s="1"/>
      <c r="O247" s="1"/>
      <c r="P247" s="1"/>
      <c r="Q247" s="1"/>
      <c r="R247" s="1"/>
      <c r="S247" s="1"/>
      <c r="T247" s="1"/>
      <c r="U247" s="1"/>
      <c r="V247" s="1"/>
      <c r="W247" s="1"/>
      <c r="X247" s="1"/>
      <c r="Y247" s="1"/>
    </row>
    <row r="248">
      <c r="A248" s="17"/>
      <c r="B248" s="23"/>
      <c r="C248" s="1"/>
      <c r="D248" s="1"/>
      <c r="E248" s="1"/>
      <c r="F248" s="1"/>
      <c r="G248" s="1"/>
      <c r="H248" s="1"/>
      <c r="I248" s="1"/>
      <c r="J248" s="1"/>
      <c r="K248" s="1"/>
      <c r="L248" s="1"/>
      <c r="M248" s="1"/>
      <c r="N248" s="1"/>
      <c r="O248" s="1"/>
      <c r="P248" s="1"/>
      <c r="Q248" s="1"/>
      <c r="R248" s="1"/>
      <c r="S248" s="1"/>
      <c r="T248" s="1"/>
      <c r="U248" s="1"/>
      <c r="V248" s="1"/>
      <c r="W248" s="1"/>
      <c r="X248" s="1"/>
      <c r="Y248" s="1"/>
    </row>
    <row r="249">
      <c r="A249" s="17"/>
      <c r="B249" s="23"/>
      <c r="C249" s="1"/>
      <c r="D249" s="1"/>
      <c r="E249" s="1"/>
      <c r="F249" s="1"/>
      <c r="G249" s="1"/>
      <c r="H249" s="1"/>
      <c r="I249" s="1"/>
      <c r="J249" s="1"/>
      <c r="K249" s="1"/>
      <c r="L249" s="1"/>
      <c r="M249" s="1"/>
      <c r="N249" s="1"/>
      <c r="O249" s="1"/>
      <c r="P249" s="1"/>
      <c r="Q249" s="1"/>
      <c r="R249" s="1"/>
      <c r="S249" s="1"/>
      <c r="T249" s="1"/>
      <c r="U249" s="1"/>
      <c r="V249" s="1"/>
      <c r="W249" s="1"/>
      <c r="X249" s="1"/>
      <c r="Y249" s="1"/>
    </row>
    <row r="250">
      <c r="A250" s="17"/>
      <c r="B250" s="23"/>
      <c r="C250" s="1"/>
      <c r="D250" s="1"/>
      <c r="E250" s="1"/>
      <c r="F250" s="1"/>
      <c r="G250" s="1"/>
      <c r="H250" s="1"/>
      <c r="I250" s="1"/>
      <c r="J250" s="1"/>
      <c r="K250" s="1"/>
      <c r="L250" s="1"/>
      <c r="M250" s="1"/>
      <c r="N250" s="1"/>
      <c r="O250" s="1"/>
      <c r="P250" s="1"/>
      <c r="Q250" s="1"/>
      <c r="R250" s="1"/>
      <c r="S250" s="1"/>
      <c r="T250" s="1"/>
      <c r="U250" s="1"/>
      <c r="V250" s="1"/>
      <c r="W250" s="1"/>
      <c r="X250" s="1"/>
      <c r="Y250" s="1"/>
    </row>
    <row r="251">
      <c r="A251" s="17"/>
      <c r="B251" s="23"/>
      <c r="C251" s="1"/>
      <c r="D251" s="1"/>
      <c r="E251" s="1"/>
      <c r="F251" s="1"/>
      <c r="G251" s="1"/>
      <c r="H251" s="1"/>
      <c r="I251" s="1"/>
      <c r="J251" s="1"/>
      <c r="K251" s="1"/>
      <c r="L251" s="1"/>
      <c r="M251" s="1"/>
      <c r="N251" s="1"/>
      <c r="O251" s="1"/>
      <c r="P251" s="1"/>
      <c r="Q251" s="1"/>
      <c r="R251" s="1"/>
      <c r="S251" s="1"/>
      <c r="T251" s="1"/>
      <c r="U251" s="1"/>
      <c r="V251" s="1"/>
      <c r="W251" s="1"/>
      <c r="X251" s="1"/>
      <c r="Y251" s="1"/>
    </row>
    <row r="252">
      <c r="A252" s="17"/>
      <c r="B252" s="23"/>
      <c r="C252" s="1"/>
      <c r="D252" s="1"/>
      <c r="E252" s="1"/>
      <c r="F252" s="1"/>
      <c r="G252" s="1"/>
      <c r="H252" s="1"/>
      <c r="I252" s="1"/>
      <c r="J252" s="1"/>
      <c r="K252" s="1"/>
      <c r="L252" s="1"/>
      <c r="M252" s="1"/>
      <c r="N252" s="1"/>
      <c r="O252" s="1"/>
      <c r="P252" s="1"/>
      <c r="Q252" s="1"/>
      <c r="R252" s="1"/>
      <c r="S252" s="1"/>
      <c r="T252" s="1"/>
      <c r="U252" s="1"/>
      <c r="V252" s="1"/>
      <c r="W252" s="1"/>
      <c r="X252" s="1"/>
      <c r="Y252" s="1"/>
    </row>
    <row r="253">
      <c r="A253" s="17"/>
      <c r="B253" s="23"/>
      <c r="C253" s="1"/>
      <c r="D253" s="1"/>
      <c r="E253" s="1"/>
      <c r="F253" s="1"/>
      <c r="G253" s="1"/>
      <c r="H253" s="1"/>
      <c r="I253" s="1"/>
      <c r="J253" s="1"/>
      <c r="K253" s="1"/>
      <c r="L253" s="1"/>
      <c r="M253" s="1"/>
      <c r="N253" s="1"/>
      <c r="O253" s="1"/>
      <c r="P253" s="1"/>
      <c r="Q253" s="1"/>
      <c r="R253" s="1"/>
      <c r="S253" s="1"/>
      <c r="T253" s="1"/>
      <c r="U253" s="1"/>
      <c r="V253" s="1"/>
      <c r="W253" s="1"/>
      <c r="X253" s="1"/>
      <c r="Y253" s="1"/>
    </row>
    <row r="254">
      <c r="A254" s="17"/>
      <c r="B254" s="23"/>
      <c r="C254" s="1"/>
      <c r="D254" s="1"/>
      <c r="E254" s="1"/>
      <c r="F254" s="1"/>
      <c r="G254" s="1"/>
      <c r="H254" s="1"/>
      <c r="I254" s="1"/>
      <c r="J254" s="1"/>
      <c r="K254" s="1"/>
      <c r="L254" s="1"/>
      <c r="M254" s="1"/>
      <c r="N254" s="1"/>
      <c r="O254" s="1"/>
      <c r="P254" s="1"/>
      <c r="Q254" s="1"/>
      <c r="R254" s="1"/>
      <c r="S254" s="1"/>
      <c r="T254" s="1"/>
      <c r="U254" s="1"/>
      <c r="V254" s="1"/>
      <c r="W254" s="1"/>
      <c r="X254" s="1"/>
      <c r="Y254" s="1"/>
    </row>
    <row r="255">
      <c r="A255" s="17"/>
      <c r="B255" s="23"/>
      <c r="C255" s="1"/>
      <c r="D255" s="1"/>
      <c r="E255" s="1"/>
      <c r="F255" s="1"/>
      <c r="G255" s="1"/>
      <c r="H255" s="1"/>
      <c r="I255" s="1"/>
      <c r="J255" s="1"/>
      <c r="K255" s="1"/>
      <c r="L255" s="1"/>
      <c r="M255" s="1"/>
      <c r="N255" s="1"/>
      <c r="O255" s="1"/>
      <c r="P255" s="1"/>
      <c r="Q255" s="1"/>
      <c r="R255" s="1"/>
      <c r="S255" s="1"/>
      <c r="T255" s="1"/>
      <c r="U255" s="1"/>
      <c r="V255" s="1"/>
      <c r="W255" s="1"/>
      <c r="X255" s="1"/>
      <c r="Y255" s="1"/>
    </row>
    <row r="256">
      <c r="A256" s="17"/>
      <c r="B256" s="23"/>
      <c r="C256" s="1"/>
      <c r="D256" s="1"/>
      <c r="E256" s="1"/>
      <c r="F256" s="1"/>
      <c r="G256" s="1"/>
      <c r="H256" s="1"/>
      <c r="I256" s="1"/>
      <c r="J256" s="1"/>
      <c r="K256" s="1"/>
      <c r="L256" s="1"/>
      <c r="M256" s="1"/>
      <c r="N256" s="1"/>
      <c r="O256" s="1"/>
      <c r="P256" s="1"/>
      <c r="Q256" s="1"/>
      <c r="R256" s="1"/>
      <c r="S256" s="1"/>
      <c r="T256" s="1"/>
      <c r="U256" s="1"/>
      <c r="V256" s="1"/>
      <c r="W256" s="1"/>
      <c r="X256" s="1"/>
      <c r="Y256" s="1"/>
    </row>
    <row r="257">
      <c r="A257" s="17"/>
      <c r="B257" s="23"/>
      <c r="C257" s="1"/>
      <c r="D257" s="1"/>
      <c r="E257" s="1"/>
      <c r="F257" s="1"/>
      <c r="G257" s="1"/>
      <c r="H257" s="1"/>
      <c r="I257" s="1"/>
      <c r="J257" s="1"/>
      <c r="K257" s="1"/>
      <c r="L257" s="1"/>
      <c r="M257" s="1"/>
      <c r="N257" s="1"/>
      <c r="O257" s="1"/>
      <c r="P257" s="1"/>
      <c r="Q257" s="1"/>
      <c r="R257" s="1"/>
      <c r="S257" s="1"/>
      <c r="T257" s="1"/>
      <c r="U257" s="1"/>
      <c r="V257" s="1"/>
      <c r="W257" s="1"/>
      <c r="X257" s="1"/>
      <c r="Y257" s="1"/>
    </row>
    <row r="258">
      <c r="A258" s="17"/>
      <c r="B258" s="23"/>
      <c r="C258" s="1"/>
      <c r="D258" s="1"/>
      <c r="E258" s="1"/>
      <c r="F258" s="1"/>
      <c r="G258" s="1"/>
      <c r="H258" s="1"/>
      <c r="I258" s="1"/>
      <c r="J258" s="1"/>
      <c r="K258" s="1"/>
      <c r="L258" s="1"/>
      <c r="M258" s="1"/>
      <c r="N258" s="1"/>
      <c r="O258" s="1"/>
      <c r="P258" s="1"/>
      <c r="Q258" s="1"/>
      <c r="R258" s="1"/>
      <c r="S258" s="1"/>
      <c r="T258" s="1"/>
      <c r="U258" s="1"/>
      <c r="V258" s="1"/>
      <c r="W258" s="1"/>
      <c r="X258" s="1"/>
      <c r="Y258" s="1"/>
    </row>
    <row r="259">
      <c r="A259" s="17"/>
      <c r="B259" s="23"/>
      <c r="C259" s="1"/>
      <c r="D259" s="1"/>
      <c r="E259" s="1"/>
      <c r="F259" s="1"/>
      <c r="G259" s="1"/>
      <c r="H259" s="1"/>
      <c r="I259" s="1"/>
      <c r="J259" s="1"/>
      <c r="K259" s="1"/>
      <c r="L259" s="1"/>
      <c r="M259" s="1"/>
      <c r="N259" s="1"/>
      <c r="O259" s="1"/>
      <c r="P259" s="1"/>
      <c r="Q259" s="1"/>
      <c r="R259" s="1"/>
      <c r="S259" s="1"/>
      <c r="T259" s="1"/>
      <c r="U259" s="1"/>
      <c r="V259" s="1"/>
      <c r="W259" s="1"/>
      <c r="X259" s="1"/>
      <c r="Y259" s="1"/>
    </row>
    <row r="260">
      <c r="A260" s="17"/>
      <c r="B260" s="23"/>
      <c r="C260" s="1"/>
      <c r="D260" s="1"/>
      <c r="E260" s="1"/>
      <c r="F260" s="1"/>
      <c r="G260" s="1"/>
      <c r="H260" s="1"/>
      <c r="I260" s="1"/>
      <c r="J260" s="1"/>
      <c r="K260" s="1"/>
      <c r="L260" s="1"/>
      <c r="M260" s="1"/>
      <c r="N260" s="1"/>
      <c r="O260" s="1"/>
      <c r="P260" s="1"/>
      <c r="Q260" s="1"/>
      <c r="R260" s="1"/>
      <c r="S260" s="1"/>
      <c r="T260" s="1"/>
      <c r="U260" s="1"/>
      <c r="V260" s="1"/>
      <c r="W260" s="1"/>
      <c r="X260" s="1"/>
      <c r="Y260" s="1"/>
    </row>
    <row r="261">
      <c r="A261" s="17"/>
      <c r="B261" s="23"/>
      <c r="C261" s="1"/>
      <c r="D261" s="1"/>
      <c r="E261" s="1"/>
      <c r="F261" s="1"/>
      <c r="G261" s="1"/>
      <c r="H261" s="1"/>
      <c r="I261" s="1"/>
      <c r="J261" s="1"/>
      <c r="K261" s="1"/>
      <c r="L261" s="1"/>
      <c r="M261" s="1"/>
      <c r="N261" s="1"/>
      <c r="O261" s="1"/>
      <c r="P261" s="1"/>
      <c r="Q261" s="1"/>
      <c r="R261" s="1"/>
      <c r="S261" s="1"/>
      <c r="T261" s="1"/>
      <c r="U261" s="1"/>
      <c r="V261" s="1"/>
      <c r="W261" s="1"/>
      <c r="X261" s="1"/>
      <c r="Y261" s="1"/>
    </row>
    <row r="262">
      <c r="A262" s="17"/>
      <c r="B262" s="23"/>
      <c r="C262" s="1"/>
      <c r="D262" s="1"/>
      <c r="E262" s="1"/>
      <c r="F262" s="1"/>
      <c r="G262" s="1"/>
      <c r="H262" s="1"/>
      <c r="I262" s="1"/>
      <c r="J262" s="1"/>
      <c r="K262" s="1"/>
      <c r="L262" s="1"/>
      <c r="M262" s="1"/>
      <c r="N262" s="1"/>
      <c r="O262" s="1"/>
      <c r="P262" s="1"/>
      <c r="Q262" s="1"/>
      <c r="R262" s="1"/>
      <c r="S262" s="1"/>
      <c r="T262" s="1"/>
      <c r="U262" s="1"/>
      <c r="V262" s="1"/>
      <c r="W262" s="1"/>
      <c r="X262" s="1"/>
      <c r="Y262" s="1"/>
    </row>
    <row r="263">
      <c r="A263" s="17"/>
      <c r="B263" s="23"/>
      <c r="C263" s="1"/>
      <c r="D263" s="1"/>
      <c r="E263" s="1"/>
      <c r="F263" s="1"/>
      <c r="G263" s="1"/>
      <c r="H263" s="1"/>
      <c r="I263" s="1"/>
      <c r="J263" s="1"/>
      <c r="K263" s="1"/>
      <c r="L263" s="1"/>
      <c r="M263" s="1"/>
      <c r="N263" s="1"/>
      <c r="O263" s="1"/>
      <c r="P263" s="1"/>
      <c r="Q263" s="1"/>
      <c r="R263" s="1"/>
      <c r="S263" s="1"/>
      <c r="T263" s="1"/>
      <c r="U263" s="1"/>
      <c r="V263" s="1"/>
      <c r="W263" s="1"/>
      <c r="X263" s="1"/>
      <c r="Y263" s="1"/>
    </row>
    <row r="264">
      <c r="A264" s="17"/>
      <c r="B264" s="23"/>
      <c r="C264" s="1"/>
      <c r="D264" s="1"/>
      <c r="E264" s="1"/>
      <c r="F264" s="1"/>
      <c r="G264" s="1"/>
      <c r="H264" s="1"/>
      <c r="I264" s="1"/>
      <c r="J264" s="1"/>
      <c r="K264" s="1"/>
      <c r="L264" s="1"/>
      <c r="M264" s="1"/>
      <c r="N264" s="1"/>
      <c r="O264" s="1"/>
      <c r="P264" s="1"/>
      <c r="Q264" s="1"/>
      <c r="R264" s="1"/>
      <c r="S264" s="1"/>
      <c r="T264" s="1"/>
      <c r="U264" s="1"/>
      <c r="V264" s="1"/>
      <c r="W264" s="1"/>
      <c r="X264" s="1"/>
      <c r="Y264" s="1"/>
    </row>
    <row r="265">
      <c r="A265" s="17"/>
      <c r="B265" s="23"/>
      <c r="C265" s="1"/>
      <c r="D265" s="1"/>
      <c r="E265" s="1"/>
      <c r="F265" s="1"/>
      <c r="G265" s="1"/>
      <c r="H265" s="1"/>
      <c r="I265" s="1"/>
      <c r="J265" s="1"/>
      <c r="K265" s="1"/>
      <c r="L265" s="1"/>
      <c r="M265" s="1"/>
      <c r="N265" s="1"/>
      <c r="O265" s="1"/>
      <c r="P265" s="1"/>
      <c r="Q265" s="1"/>
      <c r="R265" s="1"/>
      <c r="S265" s="1"/>
      <c r="T265" s="1"/>
      <c r="U265" s="1"/>
      <c r="V265" s="1"/>
      <c r="W265" s="1"/>
      <c r="X265" s="1"/>
      <c r="Y265" s="1"/>
    </row>
    <row r="266">
      <c r="A266" s="17"/>
      <c r="B266" s="23"/>
      <c r="C266" s="1"/>
      <c r="D266" s="1"/>
      <c r="E266" s="1"/>
      <c r="F266" s="1"/>
      <c r="G266" s="1"/>
      <c r="H266" s="1"/>
      <c r="I266" s="1"/>
      <c r="J266" s="1"/>
      <c r="K266" s="1"/>
      <c r="L266" s="1"/>
      <c r="M266" s="1"/>
      <c r="N266" s="1"/>
      <c r="O266" s="1"/>
      <c r="P266" s="1"/>
      <c r="Q266" s="1"/>
      <c r="R266" s="1"/>
      <c r="S266" s="1"/>
      <c r="T266" s="1"/>
      <c r="U266" s="1"/>
      <c r="V266" s="1"/>
      <c r="W266" s="1"/>
      <c r="X266" s="1"/>
      <c r="Y266" s="1"/>
    </row>
    <row r="267">
      <c r="A267" s="17"/>
      <c r="B267" s="23"/>
      <c r="C267" s="1"/>
      <c r="D267" s="1"/>
      <c r="E267" s="1"/>
      <c r="F267" s="1"/>
      <c r="G267" s="1"/>
      <c r="H267" s="1"/>
      <c r="I267" s="1"/>
      <c r="J267" s="1"/>
      <c r="K267" s="1"/>
      <c r="L267" s="1"/>
      <c r="M267" s="1"/>
      <c r="N267" s="1"/>
      <c r="O267" s="1"/>
      <c r="P267" s="1"/>
      <c r="Q267" s="1"/>
      <c r="R267" s="1"/>
      <c r="S267" s="1"/>
      <c r="T267" s="1"/>
      <c r="U267" s="1"/>
      <c r="V267" s="1"/>
      <c r="W267" s="1"/>
      <c r="X267" s="1"/>
      <c r="Y267" s="1"/>
    </row>
    <row r="268">
      <c r="A268" s="17"/>
      <c r="B268" s="23"/>
      <c r="C268" s="1"/>
      <c r="D268" s="1"/>
      <c r="E268" s="1"/>
      <c r="F268" s="1"/>
      <c r="G268" s="1"/>
      <c r="H268" s="1"/>
      <c r="I268" s="1"/>
      <c r="J268" s="1"/>
      <c r="K268" s="1"/>
      <c r="L268" s="1"/>
      <c r="M268" s="1"/>
      <c r="N268" s="1"/>
      <c r="O268" s="1"/>
      <c r="P268" s="1"/>
      <c r="Q268" s="1"/>
      <c r="R268" s="1"/>
      <c r="S268" s="1"/>
      <c r="T268" s="1"/>
      <c r="U268" s="1"/>
      <c r="V268" s="1"/>
      <c r="W268" s="1"/>
      <c r="X268" s="1"/>
      <c r="Y268" s="1"/>
    </row>
    <row r="269">
      <c r="A269" s="17"/>
      <c r="B269" s="23"/>
      <c r="C269" s="1"/>
      <c r="D269" s="1"/>
      <c r="E269" s="1"/>
      <c r="F269" s="1"/>
      <c r="G269" s="1"/>
      <c r="H269" s="1"/>
      <c r="I269" s="1"/>
      <c r="J269" s="1"/>
      <c r="K269" s="1"/>
      <c r="L269" s="1"/>
      <c r="M269" s="1"/>
      <c r="N269" s="1"/>
      <c r="O269" s="1"/>
      <c r="P269" s="1"/>
      <c r="Q269" s="1"/>
      <c r="R269" s="1"/>
      <c r="S269" s="1"/>
      <c r="T269" s="1"/>
      <c r="U269" s="1"/>
      <c r="V269" s="1"/>
      <c r="W269" s="1"/>
      <c r="X269" s="1"/>
      <c r="Y269" s="1"/>
    </row>
    <row r="270">
      <c r="A270" s="17"/>
      <c r="B270" s="23"/>
      <c r="C270" s="1"/>
      <c r="D270" s="1"/>
      <c r="E270" s="1"/>
      <c r="F270" s="1"/>
      <c r="G270" s="1"/>
      <c r="H270" s="1"/>
      <c r="I270" s="1"/>
      <c r="J270" s="1"/>
      <c r="K270" s="1"/>
      <c r="L270" s="1"/>
      <c r="M270" s="1"/>
      <c r="N270" s="1"/>
      <c r="O270" s="1"/>
      <c r="P270" s="1"/>
      <c r="Q270" s="1"/>
      <c r="R270" s="1"/>
      <c r="S270" s="1"/>
      <c r="T270" s="1"/>
      <c r="U270" s="1"/>
      <c r="V270" s="1"/>
      <c r="W270" s="1"/>
      <c r="X270" s="1"/>
      <c r="Y270" s="1"/>
    </row>
    <row r="271">
      <c r="A271" s="17"/>
      <c r="B271" s="23"/>
      <c r="C271" s="1"/>
      <c r="D271" s="1"/>
      <c r="E271" s="1"/>
      <c r="F271" s="1"/>
      <c r="G271" s="1"/>
      <c r="H271" s="1"/>
      <c r="I271" s="1"/>
      <c r="J271" s="1"/>
      <c r="K271" s="1"/>
      <c r="L271" s="1"/>
      <c r="M271" s="1"/>
      <c r="N271" s="1"/>
      <c r="O271" s="1"/>
      <c r="P271" s="1"/>
      <c r="Q271" s="1"/>
      <c r="R271" s="1"/>
      <c r="S271" s="1"/>
      <c r="T271" s="1"/>
      <c r="U271" s="1"/>
      <c r="V271" s="1"/>
      <c r="W271" s="1"/>
      <c r="X271" s="1"/>
      <c r="Y271" s="1"/>
    </row>
    <row r="272">
      <c r="A272" s="17"/>
      <c r="B272" s="23"/>
      <c r="C272" s="1"/>
      <c r="D272" s="1"/>
      <c r="E272" s="1"/>
      <c r="F272" s="1"/>
      <c r="G272" s="1"/>
      <c r="H272" s="1"/>
      <c r="I272" s="1"/>
      <c r="J272" s="1"/>
      <c r="K272" s="1"/>
      <c r="L272" s="1"/>
      <c r="M272" s="1"/>
      <c r="N272" s="1"/>
      <c r="O272" s="1"/>
      <c r="P272" s="1"/>
      <c r="Q272" s="1"/>
      <c r="R272" s="1"/>
      <c r="S272" s="1"/>
      <c r="T272" s="1"/>
      <c r="U272" s="1"/>
      <c r="V272" s="1"/>
      <c r="W272" s="1"/>
      <c r="X272" s="1"/>
      <c r="Y272" s="1"/>
    </row>
    <row r="273">
      <c r="A273" s="17"/>
      <c r="B273" s="23"/>
      <c r="C273" s="1"/>
      <c r="D273" s="1"/>
      <c r="E273" s="1"/>
      <c r="F273" s="1"/>
      <c r="G273" s="1"/>
      <c r="H273" s="1"/>
      <c r="I273" s="1"/>
      <c r="J273" s="1"/>
      <c r="K273" s="1"/>
      <c r="L273" s="1"/>
      <c r="M273" s="1"/>
      <c r="N273" s="1"/>
      <c r="O273" s="1"/>
      <c r="P273" s="1"/>
      <c r="Q273" s="1"/>
      <c r="R273" s="1"/>
      <c r="S273" s="1"/>
      <c r="T273" s="1"/>
      <c r="U273" s="1"/>
      <c r="V273" s="1"/>
      <c r="W273" s="1"/>
      <c r="X273" s="1"/>
      <c r="Y273" s="1"/>
    </row>
    <row r="274">
      <c r="A274" s="17"/>
      <c r="B274" s="23"/>
      <c r="C274" s="1"/>
      <c r="D274" s="1"/>
      <c r="E274" s="1"/>
      <c r="F274" s="1"/>
      <c r="G274" s="1"/>
      <c r="H274" s="1"/>
      <c r="I274" s="1"/>
      <c r="J274" s="1"/>
      <c r="K274" s="1"/>
      <c r="L274" s="1"/>
      <c r="M274" s="1"/>
      <c r="N274" s="1"/>
      <c r="O274" s="1"/>
      <c r="P274" s="1"/>
      <c r="Q274" s="1"/>
      <c r="R274" s="1"/>
      <c r="S274" s="1"/>
      <c r="T274" s="1"/>
      <c r="U274" s="1"/>
      <c r="V274" s="1"/>
      <c r="W274" s="1"/>
      <c r="X274" s="1"/>
      <c r="Y274" s="1"/>
    </row>
    <row r="275">
      <c r="A275" s="17"/>
      <c r="B275" s="23"/>
      <c r="C275" s="1"/>
      <c r="D275" s="1"/>
      <c r="E275" s="1"/>
      <c r="F275" s="1"/>
      <c r="G275" s="1"/>
      <c r="H275" s="1"/>
      <c r="I275" s="1"/>
      <c r="J275" s="1"/>
      <c r="K275" s="1"/>
      <c r="L275" s="1"/>
      <c r="M275" s="1"/>
      <c r="N275" s="1"/>
      <c r="O275" s="1"/>
      <c r="P275" s="1"/>
      <c r="Q275" s="1"/>
      <c r="R275" s="1"/>
      <c r="S275" s="1"/>
      <c r="T275" s="1"/>
      <c r="U275" s="1"/>
      <c r="V275" s="1"/>
      <c r="W275" s="1"/>
      <c r="X275" s="1"/>
      <c r="Y275" s="1"/>
    </row>
    <row r="276">
      <c r="A276" s="17"/>
      <c r="B276" s="23"/>
      <c r="C276" s="1"/>
      <c r="D276" s="1"/>
      <c r="E276" s="1"/>
      <c r="F276" s="1"/>
      <c r="G276" s="1"/>
      <c r="H276" s="1"/>
      <c r="I276" s="1"/>
      <c r="J276" s="1"/>
      <c r="K276" s="1"/>
      <c r="L276" s="1"/>
      <c r="M276" s="1"/>
      <c r="N276" s="1"/>
      <c r="O276" s="1"/>
      <c r="P276" s="1"/>
      <c r="Q276" s="1"/>
      <c r="R276" s="1"/>
      <c r="S276" s="1"/>
      <c r="T276" s="1"/>
      <c r="U276" s="1"/>
      <c r="V276" s="1"/>
      <c r="W276" s="1"/>
      <c r="X276" s="1"/>
      <c r="Y276" s="1"/>
    </row>
    <row r="277">
      <c r="A277" s="17"/>
      <c r="B277" s="23"/>
      <c r="C277" s="1"/>
      <c r="D277" s="1"/>
      <c r="E277" s="1"/>
      <c r="F277" s="1"/>
      <c r="G277" s="1"/>
      <c r="H277" s="1"/>
      <c r="I277" s="1"/>
      <c r="J277" s="1"/>
      <c r="K277" s="1"/>
      <c r="L277" s="1"/>
      <c r="M277" s="1"/>
      <c r="N277" s="1"/>
      <c r="O277" s="1"/>
      <c r="P277" s="1"/>
      <c r="Q277" s="1"/>
      <c r="R277" s="1"/>
      <c r="S277" s="1"/>
      <c r="T277" s="1"/>
      <c r="U277" s="1"/>
      <c r="V277" s="1"/>
      <c r="W277" s="1"/>
      <c r="X277" s="1"/>
      <c r="Y277" s="1"/>
    </row>
    <row r="278">
      <c r="A278" s="17"/>
      <c r="B278" s="23"/>
      <c r="C278" s="1"/>
      <c r="D278" s="1"/>
      <c r="E278" s="1"/>
      <c r="F278" s="1"/>
      <c r="G278" s="1"/>
      <c r="H278" s="1"/>
      <c r="I278" s="1"/>
      <c r="J278" s="1"/>
      <c r="K278" s="1"/>
      <c r="L278" s="1"/>
      <c r="M278" s="1"/>
      <c r="N278" s="1"/>
      <c r="O278" s="1"/>
      <c r="P278" s="1"/>
      <c r="Q278" s="1"/>
      <c r="R278" s="1"/>
      <c r="S278" s="1"/>
      <c r="T278" s="1"/>
      <c r="U278" s="1"/>
      <c r="V278" s="1"/>
      <c r="W278" s="1"/>
      <c r="X278" s="1"/>
      <c r="Y278" s="1"/>
    </row>
    <row r="279">
      <c r="A279" s="17"/>
      <c r="B279" s="23"/>
      <c r="C279" s="1"/>
      <c r="D279" s="1"/>
      <c r="E279" s="1"/>
      <c r="F279" s="1"/>
      <c r="G279" s="1"/>
      <c r="H279" s="1"/>
      <c r="I279" s="1"/>
      <c r="J279" s="1"/>
      <c r="K279" s="1"/>
      <c r="L279" s="1"/>
      <c r="M279" s="1"/>
      <c r="N279" s="1"/>
      <c r="O279" s="1"/>
      <c r="P279" s="1"/>
      <c r="Q279" s="1"/>
      <c r="R279" s="1"/>
      <c r="S279" s="1"/>
      <c r="T279" s="1"/>
      <c r="U279" s="1"/>
      <c r="V279" s="1"/>
      <c r="W279" s="1"/>
      <c r="X279" s="1"/>
      <c r="Y279" s="1"/>
    </row>
    <row r="280">
      <c r="A280" s="17"/>
      <c r="B280" s="23"/>
      <c r="C280" s="1"/>
      <c r="D280" s="1"/>
      <c r="E280" s="1"/>
      <c r="F280" s="1"/>
      <c r="G280" s="1"/>
      <c r="H280" s="1"/>
      <c r="I280" s="1"/>
      <c r="J280" s="1"/>
      <c r="K280" s="1"/>
      <c r="L280" s="1"/>
      <c r="M280" s="1"/>
      <c r="N280" s="1"/>
      <c r="O280" s="1"/>
      <c r="P280" s="1"/>
      <c r="Q280" s="1"/>
      <c r="R280" s="1"/>
      <c r="S280" s="1"/>
      <c r="T280" s="1"/>
      <c r="U280" s="1"/>
      <c r="V280" s="1"/>
      <c r="W280" s="1"/>
      <c r="X280" s="1"/>
      <c r="Y280" s="1"/>
    </row>
    <row r="281">
      <c r="A281" s="17"/>
      <c r="B281" s="23"/>
      <c r="C281" s="1"/>
      <c r="D281" s="1"/>
      <c r="E281" s="1"/>
      <c r="F281" s="1"/>
      <c r="G281" s="1"/>
      <c r="H281" s="1"/>
      <c r="I281" s="1"/>
      <c r="J281" s="1"/>
      <c r="K281" s="1"/>
      <c r="L281" s="1"/>
      <c r="M281" s="1"/>
      <c r="N281" s="1"/>
      <c r="O281" s="1"/>
      <c r="P281" s="1"/>
      <c r="Q281" s="1"/>
      <c r="R281" s="1"/>
      <c r="S281" s="1"/>
      <c r="T281" s="1"/>
      <c r="U281" s="1"/>
      <c r="V281" s="1"/>
      <c r="W281" s="1"/>
      <c r="X281" s="1"/>
      <c r="Y281" s="1"/>
    </row>
    <row r="282">
      <c r="A282" s="17"/>
      <c r="B282" s="23"/>
      <c r="C282" s="1"/>
      <c r="D282" s="1"/>
      <c r="E282" s="1"/>
      <c r="F282" s="1"/>
      <c r="G282" s="1"/>
      <c r="H282" s="1"/>
      <c r="I282" s="1"/>
      <c r="J282" s="1"/>
      <c r="K282" s="1"/>
      <c r="L282" s="1"/>
      <c r="M282" s="1"/>
      <c r="N282" s="1"/>
      <c r="O282" s="1"/>
      <c r="P282" s="1"/>
      <c r="Q282" s="1"/>
      <c r="R282" s="1"/>
      <c r="S282" s="1"/>
      <c r="T282" s="1"/>
      <c r="U282" s="1"/>
      <c r="V282" s="1"/>
      <c r="W282" s="1"/>
      <c r="X282" s="1"/>
      <c r="Y282" s="1"/>
    </row>
    <row r="283">
      <c r="A283" s="17"/>
      <c r="B283" s="23"/>
      <c r="C283" s="1"/>
      <c r="D283" s="1"/>
      <c r="E283" s="1"/>
      <c r="F283" s="1"/>
      <c r="G283" s="1"/>
      <c r="H283" s="1"/>
      <c r="I283" s="1"/>
      <c r="J283" s="1"/>
      <c r="K283" s="1"/>
      <c r="L283" s="1"/>
      <c r="M283" s="1"/>
      <c r="N283" s="1"/>
      <c r="O283" s="1"/>
      <c r="P283" s="1"/>
      <c r="Q283" s="1"/>
      <c r="R283" s="1"/>
      <c r="S283" s="1"/>
      <c r="T283" s="1"/>
      <c r="U283" s="1"/>
      <c r="V283" s="1"/>
      <c r="W283" s="1"/>
      <c r="X283" s="1"/>
      <c r="Y283" s="1"/>
    </row>
    <row r="284">
      <c r="A284" s="17"/>
      <c r="B284" s="23"/>
      <c r="C284" s="1"/>
      <c r="D284" s="1"/>
      <c r="E284" s="1"/>
      <c r="F284" s="1"/>
      <c r="G284" s="1"/>
      <c r="H284" s="1"/>
      <c r="I284" s="1"/>
      <c r="J284" s="1"/>
      <c r="K284" s="1"/>
      <c r="L284" s="1"/>
      <c r="M284" s="1"/>
      <c r="N284" s="1"/>
      <c r="O284" s="1"/>
      <c r="P284" s="1"/>
      <c r="Q284" s="1"/>
      <c r="R284" s="1"/>
      <c r="S284" s="1"/>
      <c r="T284" s="1"/>
      <c r="U284" s="1"/>
      <c r="V284" s="1"/>
      <c r="W284" s="1"/>
      <c r="X284" s="1"/>
      <c r="Y284" s="1"/>
    </row>
    <row r="285">
      <c r="A285" s="17"/>
      <c r="B285" s="23"/>
      <c r="C285" s="1"/>
      <c r="D285" s="1"/>
      <c r="E285" s="1"/>
      <c r="F285" s="1"/>
      <c r="G285" s="1"/>
      <c r="H285" s="1"/>
      <c r="I285" s="1"/>
      <c r="J285" s="1"/>
      <c r="K285" s="1"/>
      <c r="L285" s="1"/>
      <c r="M285" s="1"/>
      <c r="N285" s="1"/>
      <c r="O285" s="1"/>
      <c r="P285" s="1"/>
      <c r="Q285" s="1"/>
      <c r="R285" s="1"/>
      <c r="S285" s="1"/>
      <c r="T285" s="1"/>
      <c r="U285" s="1"/>
      <c r="V285" s="1"/>
      <c r="W285" s="1"/>
      <c r="X285" s="1"/>
      <c r="Y285" s="1"/>
    </row>
    <row r="286">
      <c r="A286" s="17"/>
      <c r="B286" s="23"/>
      <c r="C286" s="1"/>
      <c r="D286" s="1"/>
      <c r="E286" s="1"/>
      <c r="F286" s="1"/>
      <c r="G286" s="1"/>
      <c r="H286" s="1"/>
      <c r="I286" s="1"/>
      <c r="J286" s="1"/>
      <c r="K286" s="1"/>
      <c r="L286" s="1"/>
      <c r="M286" s="1"/>
      <c r="N286" s="1"/>
      <c r="O286" s="1"/>
      <c r="P286" s="1"/>
      <c r="Q286" s="1"/>
      <c r="R286" s="1"/>
      <c r="S286" s="1"/>
      <c r="T286" s="1"/>
      <c r="U286" s="1"/>
      <c r="V286" s="1"/>
      <c r="W286" s="1"/>
      <c r="X286" s="1"/>
      <c r="Y286" s="1"/>
    </row>
    <row r="287">
      <c r="A287" s="17"/>
      <c r="B287" s="23"/>
      <c r="C287" s="1"/>
      <c r="D287" s="1"/>
      <c r="E287" s="1"/>
      <c r="F287" s="1"/>
      <c r="G287" s="1"/>
      <c r="H287" s="1"/>
      <c r="I287" s="1"/>
      <c r="J287" s="1"/>
      <c r="K287" s="1"/>
      <c r="L287" s="1"/>
      <c r="M287" s="1"/>
      <c r="N287" s="1"/>
      <c r="O287" s="1"/>
      <c r="P287" s="1"/>
      <c r="Q287" s="1"/>
      <c r="R287" s="1"/>
      <c r="S287" s="1"/>
      <c r="T287" s="1"/>
      <c r="U287" s="1"/>
      <c r="V287" s="1"/>
      <c r="W287" s="1"/>
      <c r="X287" s="1"/>
      <c r="Y287" s="1"/>
    </row>
    <row r="288">
      <c r="A288" s="17"/>
      <c r="B288" s="23"/>
      <c r="C288" s="1"/>
      <c r="D288" s="1"/>
      <c r="E288" s="1"/>
      <c r="F288" s="1"/>
      <c r="G288" s="1"/>
      <c r="H288" s="1"/>
      <c r="I288" s="1"/>
      <c r="J288" s="1"/>
      <c r="K288" s="1"/>
      <c r="L288" s="1"/>
      <c r="M288" s="1"/>
      <c r="N288" s="1"/>
      <c r="O288" s="1"/>
      <c r="P288" s="1"/>
      <c r="Q288" s="1"/>
      <c r="R288" s="1"/>
      <c r="S288" s="1"/>
      <c r="T288" s="1"/>
      <c r="U288" s="1"/>
      <c r="V288" s="1"/>
      <c r="W288" s="1"/>
      <c r="X288" s="1"/>
      <c r="Y288" s="1"/>
    </row>
    <row r="289">
      <c r="A289" s="17"/>
      <c r="B289" s="23"/>
      <c r="C289" s="1"/>
      <c r="D289" s="1"/>
      <c r="E289" s="1"/>
      <c r="F289" s="1"/>
      <c r="G289" s="1"/>
      <c r="H289" s="1"/>
      <c r="I289" s="1"/>
      <c r="J289" s="1"/>
      <c r="K289" s="1"/>
      <c r="L289" s="1"/>
      <c r="M289" s="1"/>
      <c r="N289" s="1"/>
      <c r="O289" s="1"/>
      <c r="P289" s="1"/>
      <c r="Q289" s="1"/>
      <c r="R289" s="1"/>
      <c r="S289" s="1"/>
      <c r="T289" s="1"/>
      <c r="U289" s="1"/>
      <c r="V289" s="1"/>
      <c r="W289" s="1"/>
      <c r="X289" s="1"/>
      <c r="Y289" s="1"/>
    </row>
    <row r="290">
      <c r="A290" s="17"/>
      <c r="B290" s="23"/>
      <c r="C290" s="1"/>
      <c r="D290" s="1"/>
      <c r="E290" s="1"/>
      <c r="F290" s="1"/>
      <c r="G290" s="1"/>
      <c r="H290" s="1"/>
      <c r="I290" s="1"/>
      <c r="J290" s="1"/>
      <c r="K290" s="1"/>
      <c r="L290" s="1"/>
      <c r="M290" s="1"/>
      <c r="N290" s="1"/>
      <c r="O290" s="1"/>
      <c r="P290" s="1"/>
      <c r="Q290" s="1"/>
      <c r="R290" s="1"/>
      <c r="S290" s="1"/>
      <c r="T290" s="1"/>
      <c r="U290" s="1"/>
      <c r="V290" s="1"/>
      <c r="W290" s="1"/>
      <c r="X290" s="1"/>
      <c r="Y290" s="1"/>
    </row>
    <row r="291">
      <c r="A291" s="17"/>
      <c r="B291" s="23"/>
      <c r="C291" s="1"/>
      <c r="D291" s="1"/>
      <c r="E291" s="1"/>
      <c r="F291" s="1"/>
      <c r="G291" s="1"/>
      <c r="H291" s="1"/>
      <c r="I291" s="1"/>
      <c r="J291" s="1"/>
      <c r="K291" s="1"/>
      <c r="L291" s="1"/>
      <c r="M291" s="1"/>
      <c r="N291" s="1"/>
      <c r="O291" s="1"/>
      <c r="P291" s="1"/>
      <c r="Q291" s="1"/>
      <c r="R291" s="1"/>
      <c r="S291" s="1"/>
      <c r="T291" s="1"/>
      <c r="U291" s="1"/>
      <c r="V291" s="1"/>
      <c r="W291" s="1"/>
      <c r="X291" s="1"/>
      <c r="Y291" s="1"/>
    </row>
    <row r="292">
      <c r="A292" s="17"/>
      <c r="B292" s="23"/>
      <c r="C292" s="1"/>
      <c r="D292" s="1"/>
      <c r="E292" s="1"/>
      <c r="F292" s="1"/>
      <c r="G292" s="1"/>
      <c r="H292" s="1"/>
      <c r="I292" s="1"/>
      <c r="J292" s="1"/>
      <c r="K292" s="1"/>
      <c r="L292" s="1"/>
      <c r="M292" s="1"/>
      <c r="N292" s="1"/>
      <c r="O292" s="1"/>
      <c r="P292" s="1"/>
      <c r="Q292" s="1"/>
      <c r="R292" s="1"/>
      <c r="S292" s="1"/>
      <c r="T292" s="1"/>
      <c r="U292" s="1"/>
      <c r="V292" s="1"/>
      <c r="W292" s="1"/>
      <c r="X292" s="1"/>
      <c r="Y292" s="1"/>
    </row>
    <row r="293">
      <c r="A293" s="17"/>
      <c r="B293" s="23"/>
      <c r="C293" s="1"/>
      <c r="D293" s="1"/>
      <c r="E293" s="1"/>
      <c r="F293" s="1"/>
      <c r="G293" s="1"/>
      <c r="H293" s="1"/>
      <c r="I293" s="1"/>
      <c r="J293" s="1"/>
      <c r="K293" s="1"/>
      <c r="L293" s="1"/>
      <c r="M293" s="1"/>
      <c r="N293" s="1"/>
      <c r="O293" s="1"/>
      <c r="P293" s="1"/>
      <c r="Q293" s="1"/>
      <c r="R293" s="1"/>
      <c r="S293" s="1"/>
      <c r="T293" s="1"/>
      <c r="U293" s="1"/>
      <c r="V293" s="1"/>
      <c r="W293" s="1"/>
      <c r="X293" s="1"/>
      <c r="Y293" s="1"/>
    </row>
    <row r="294">
      <c r="A294" s="17"/>
      <c r="B294" s="23"/>
      <c r="C294" s="1"/>
      <c r="D294" s="1"/>
      <c r="E294" s="1"/>
      <c r="F294" s="1"/>
      <c r="G294" s="1"/>
      <c r="H294" s="1"/>
      <c r="I294" s="1"/>
      <c r="J294" s="1"/>
      <c r="K294" s="1"/>
      <c r="L294" s="1"/>
      <c r="M294" s="1"/>
      <c r="N294" s="1"/>
      <c r="O294" s="1"/>
      <c r="P294" s="1"/>
      <c r="Q294" s="1"/>
      <c r="R294" s="1"/>
      <c r="S294" s="1"/>
      <c r="T294" s="1"/>
      <c r="U294" s="1"/>
      <c r="V294" s="1"/>
      <c r="W294" s="1"/>
      <c r="X294" s="1"/>
      <c r="Y294" s="1"/>
    </row>
    <row r="295">
      <c r="A295" s="17"/>
      <c r="B295" s="23"/>
      <c r="C295" s="1"/>
      <c r="D295" s="1"/>
      <c r="E295" s="1"/>
      <c r="F295" s="1"/>
      <c r="G295" s="1"/>
      <c r="H295" s="1"/>
      <c r="I295" s="1"/>
      <c r="J295" s="1"/>
      <c r="K295" s="1"/>
      <c r="L295" s="1"/>
      <c r="M295" s="1"/>
      <c r="N295" s="1"/>
      <c r="O295" s="1"/>
      <c r="P295" s="1"/>
      <c r="Q295" s="1"/>
      <c r="R295" s="1"/>
      <c r="S295" s="1"/>
      <c r="T295" s="1"/>
      <c r="U295" s="1"/>
      <c r="V295" s="1"/>
      <c r="W295" s="1"/>
      <c r="X295" s="1"/>
      <c r="Y295" s="1"/>
    </row>
    <row r="296">
      <c r="A296" s="17"/>
      <c r="B296" s="23"/>
      <c r="C296" s="1"/>
      <c r="D296" s="1"/>
      <c r="E296" s="1"/>
      <c r="F296" s="1"/>
      <c r="G296" s="1"/>
      <c r="H296" s="1"/>
      <c r="I296" s="1"/>
      <c r="J296" s="1"/>
      <c r="K296" s="1"/>
      <c r="L296" s="1"/>
      <c r="M296" s="1"/>
      <c r="N296" s="1"/>
      <c r="O296" s="1"/>
      <c r="P296" s="1"/>
      <c r="Q296" s="1"/>
      <c r="R296" s="1"/>
      <c r="S296" s="1"/>
      <c r="T296" s="1"/>
      <c r="U296" s="1"/>
      <c r="V296" s="1"/>
      <c r="W296" s="1"/>
      <c r="X296" s="1"/>
      <c r="Y296" s="1"/>
    </row>
    <row r="297">
      <c r="A297" s="17"/>
      <c r="B297" s="23"/>
      <c r="C297" s="1"/>
      <c r="D297" s="1"/>
      <c r="E297" s="1"/>
      <c r="F297" s="1"/>
      <c r="G297" s="1"/>
      <c r="H297" s="1"/>
      <c r="I297" s="1"/>
      <c r="J297" s="1"/>
      <c r="K297" s="1"/>
      <c r="L297" s="1"/>
      <c r="M297" s="1"/>
      <c r="N297" s="1"/>
      <c r="O297" s="1"/>
      <c r="P297" s="1"/>
      <c r="Q297" s="1"/>
      <c r="R297" s="1"/>
      <c r="S297" s="1"/>
      <c r="T297" s="1"/>
      <c r="U297" s="1"/>
      <c r="V297" s="1"/>
      <c r="W297" s="1"/>
      <c r="X297" s="1"/>
      <c r="Y297" s="1"/>
    </row>
    <row r="298">
      <c r="A298" s="17"/>
      <c r="B298" s="23"/>
      <c r="C298" s="1"/>
      <c r="D298" s="1"/>
      <c r="E298" s="1"/>
      <c r="F298" s="1"/>
      <c r="G298" s="1"/>
      <c r="H298" s="1"/>
      <c r="I298" s="1"/>
      <c r="J298" s="1"/>
      <c r="K298" s="1"/>
      <c r="L298" s="1"/>
      <c r="M298" s="1"/>
      <c r="N298" s="1"/>
      <c r="O298" s="1"/>
      <c r="P298" s="1"/>
      <c r="Q298" s="1"/>
      <c r="R298" s="1"/>
      <c r="S298" s="1"/>
      <c r="T298" s="1"/>
      <c r="U298" s="1"/>
      <c r="V298" s="1"/>
      <c r="W298" s="1"/>
      <c r="X298" s="1"/>
      <c r="Y298" s="1"/>
    </row>
    <row r="299">
      <c r="A299" s="17"/>
      <c r="B299" s="23"/>
      <c r="C299" s="1"/>
      <c r="D299" s="1"/>
      <c r="E299" s="1"/>
      <c r="F299" s="1"/>
      <c r="G299" s="1"/>
      <c r="H299" s="1"/>
      <c r="I299" s="1"/>
      <c r="J299" s="1"/>
      <c r="K299" s="1"/>
      <c r="L299" s="1"/>
      <c r="M299" s="1"/>
      <c r="N299" s="1"/>
      <c r="O299" s="1"/>
      <c r="P299" s="1"/>
      <c r="Q299" s="1"/>
      <c r="R299" s="1"/>
      <c r="S299" s="1"/>
      <c r="T299" s="1"/>
      <c r="U299" s="1"/>
      <c r="V299" s="1"/>
      <c r="W299" s="1"/>
      <c r="X299" s="1"/>
      <c r="Y299" s="1"/>
    </row>
    <row r="300">
      <c r="A300" s="17"/>
      <c r="B300" s="23"/>
      <c r="C300" s="1"/>
      <c r="D300" s="1"/>
      <c r="E300" s="1"/>
      <c r="F300" s="1"/>
      <c r="G300" s="1"/>
      <c r="H300" s="1"/>
      <c r="I300" s="1"/>
      <c r="J300" s="1"/>
      <c r="K300" s="1"/>
      <c r="L300" s="1"/>
      <c r="M300" s="1"/>
      <c r="N300" s="1"/>
      <c r="O300" s="1"/>
      <c r="P300" s="1"/>
      <c r="Q300" s="1"/>
      <c r="R300" s="1"/>
      <c r="S300" s="1"/>
      <c r="T300" s="1"/>
      <c r="U300" s="1"/>
      <c r="V300" s="1"/>
      <c r="W300" s="1"/>
      <c r="X300" s="1"/>
      <c r="Y300" s="1"/>
    </row>
    <row r="301">
      <c r="A301" s="17"/>
      <c r="B301" s="23"/>
      <c r="C301" s="1"/>
      <c r="D301" s="1"/>
      <c r="E301" s="1"/>
      <c r="F301" s="1"/>
      <c r="G301" s="1"/>
      <c r="H301" s="1"/>
      <c r="I301" s="1"/>
      <c r="J301" s="1"/>
      <c r="K301" s="1"/>
      <c r="L301" s="1"/>
      <c r="M301" s="1"/>
      <c r="N301" s="1"/>
      <c r="O301" s="1"/>
      <c r="P301" s="1"/>
      <c r="Q301" s="1"/>
      <c r="R301" s="1"/>
      <c r="S301" s="1"/>
      <c r="T301" s="1"/>
      <c r="U301" s="1"/>
      <c r="V301" s="1"/>
      <c r="W301" s="1"/>
      <c r="X301" s="1"/>
      <c r="Y301" s="1"/>
    </row>
    <row r="302">
      <c r="A302" s="17"/>
      <c r="B302" s="23"/>
      <c r="C302" s="1"/>
      <c r="D302" s="1"/>
      <c r="E302" s="1"/>
      <c r="F302" s="1"/>
      <c r="G302" s="1"/>
      <c r="H302" s="1"/>
      <c r="I302" s="1"/>
      <c r="J302" s="1"/>
      <c r="K302" s="1"/>
      <c r="L302" s="1"/>
      <c r="M302" s="1"/>
      <c r="N302" s="1"/>
      <c r="O302" s="1"/>
      <c r="P302" s="1"/>
      <c r="Q302" s="1"/>
      <c r="R302" s="1"/>
      <c r="S302" s="1"/>
      <c r="T302" s="1"/>
      <c r="U302" s="1"/>
      <c r="V302" s="1"/>
      <c r="W302" s="1"/>
      <c r="X302" s="1"/>
      <c r="Y302" s="1"/>
    </row>
    <row r="303">
      <c r="A303" s="17"/>
      <c r="B303" s="23"/>
      <c r="C303" s="1"/>
      <c r="D303" s="1"/>
      <c r="E303" s="1"/>
      <c r="F303" s="1"/>
      <c r="G303" s="1"/>
      <c r="H303" s="1"/>
      <c r="I303" s="1"/>
      <c r="J303" s="1"/>
      <c r="K303" s="1"/>
      <c r="L303" s="1"/>
      <c r="M303" s="1"/>
      <c r="N303" s="1"/>
      <c r="O303" s="1"/>
      <c r="P303" s="1"/>
      <c r="Q303" s="1"/>
      <c r="R303" s="1"/>
      <c r="S303" s="1"/>
      <c r="T303" s="1"/>
      <c r="U303" s="1"/>
      <c r="V303" s="1"/>
      <c r="W303" s="1"/>
      <c r="X303" s="1"/>
      <c r="Y303" s="1"/>
    </row>
    <row r="304">
      <c r="A304" s="17"/>
      <c r="B304" s="23"/>
      <c r="C304" s="1"/>
      <c r="D304" s="1"/>
      <c r="E304" s="1"/>
      <c r="F304" s="1"/>
      <c r="G304" s="1"/>
      <c r="H304" s="1"/>
      <c r="I304" s="1"/>
      <c r="J304" s="1"/>
      <c r="K304" s="1"/>
      <c r="L304" s="1"/>
      <c r="M304" s="1"/>
      <c r="N304" s="1"/>
      <c r="O304" s="1"/>
      <c r="P304" s="1"/>
      <c r="Q304" s="1"/>
      <c r="R304" s="1"/>
      <c r="S304" s="1"/>
      <c r="T304" s="1"/>
      <c r="U304" s="1"/>
      <c r="V304" s="1"/>
      <c r="W304" s="1"/>
      <c r="X304" s="1"/>
      <c r="Y304" s="1"/>
    </row>
    <row r="305">
      <c r="A305" s="17"/>
      <c r="B305" s="23"/>
      <c r="C305" s="1"/>
      <c r="D305" s="1"/>
      <c r="E305" s="1"/>
      <c r="F305" s="1"/>
      <c r="G305" s="1"/>
      <c r="H305" s="1"/>
      <c r="I305" s="1"/>
      <c r="J305" s="1"/>
      <c r="K305" s="1"/>
      <c r="L305" s="1"/>
      <c r="M305" s="1"/>
      <c r="N305" s="1"/>
      <c r="O305" s="1"/>
      <c r="P305" s="1"/>
      <c r="Q305" s="1"/>
      <c r="R305" s="1"/>
      <c r="S305" s="1"/>
      <c r="T305" s="1"/>
      <c r="U305" s="1"/>
      <c r="V305" s="1"/>
      <c r="W305" s="1"/>
      <c r="X305" s="1"/>
      <c r="Y305" s="1"/>
    </row>
    <row r="306">
      <c r="A306" s="17"/>
      <c r="B306" s="23"/>
      <c r="C306" s="1"/>
      <c r="D306" s="1"/>
      <c r="E306" s="1"/>
      <c r="F306" s="1"/>
      <c r="G306" s="1"/>
      <c r="H306" s="1"/>
      <c r="I306" s="1"/>
      <c r="J306" s="1"/>
      <c r="K306" s="1"/>
      <c r="L306" s="1"/>
      <c r="M306" s="1"/>
      <c r="N306" s="1"/>
      <c r="O306" s="1"/>
      <c r="P306" s="1"/>
      <c r="Q306" s="1"/>
      <c r="R306" s="1"/>
      <c r="S306" s="1"/>
      <c r="T306" s="1"/>
      <c r="U306" s="1"/>
      <c r="V306" s="1"/>
      <c r="W306" s="1"/>
      <c r="X306" s="1"/>
      <c r="Y306" s="1"/>
    </row>
    <row r="307">
      <c r="A307" s="17"/>
      <c r="B307" s="23"/>
      <c r="C307" s="1"/>
      <c r="D307" s="1"/>
      <c r="E307" s="1"/>
      <c r="F307" s="1"/>
      <c r="G307" s="1"/>
      <c r="H307" s="1"/>
      <c r="I307" s="1"/>
      <c r="J307" s="1"/>
      <c r="K307" s="1"/>
      <c r="L307" s="1"/>
      <c r="M307" s="1"/>
      <c r="N307" s="1"/>
      <c r="O307" s="1"/>
      <c r="P307" s="1"/>
      <c r="Q307" s="1"/>
      <c r="R307" s="1"/>
      <c r="S307" s="1"/>
      <c r="T307" s="1"/>
      <c r="U307" s="1"/>
      <c r="V307" s="1"/>
      <c r="W307" s="1"/>
      <c r="X307" s="1"/>
      <c r="Y307" s="1"/>
    </row>
    <row r="308">
      <c r="A308" s="17"/>
      <c r="B308" s="23"/>
      <c r="C308" s="1"/>
      <c r="D308" s="1"/>
      <c r="E308" s="1"/>
      <c r="F308" s="1"/>
      <c r="G308" s="1"/>
      <c r="H308" s="1"/>
      <c r="I308" s="1"/>
      <c r="J308" s="1"/>
      <c r="K308" s="1"/>
      <c r="L308" s="1"/>
      <c r="M308" s="1"/>
      <c r="N308" s="1"/>
      <c r="O308" s="1"/>
      <c r="P308" s="1"/>
      <c r="Q308" s="1"/>
      <c r="R308" s="1"/>
      <c r="S308" s="1"/>
      <c r="T308" s="1"/>
      <c r="U308" s="1"/>
      <c r="V308" s="1"/>
      <c r="W308" s="1"/>
      <c r="X308" s="1"/>
      <c r="Y308" s="1"/>
    </row>
    <row r="309">
      <c r="A309" s="17"/>
      <c r="B309" s="23"/>
      <c r="C309" s="1"/>
      <c r="D309" s="1"/>
      <c r="E309" s="1"/>
      <c r="F309" s="1"/>
      <c r="G309" s="1"/>
      <c r="H309" s="1"/>
      <c r="I309" s="1"/>
      <c r="J309" s="1"/>
      <c r="K309" s="1"/>
      <c r="L309" s="1"/>
      <c r="M309" s="1"/>
      <c r="N309" s="1"/>
      <c r="O309" s="1"/>
      <c r="P309" s="1"/>
      <c r="Q309" s="1"/>
      <c r="R309" s="1"/>
      <c r="S309" s="1"/>
      <c r="T309" s="1"/>
      <c r="U309" s="1"/>
      <c r="V309" s="1"/>
      <c r="W309" s="1"/>
      <c r="X309" s="1"/>
      <c r="Y309" s="1"/>
    </row>
    <row r="310">
      <c r="A310" s="17"/>
      <c r="B310" s="23"/>
      <c r="C310" s="1"/>
      <c r="D310" s="1"/>
      <c r="E310" s="1"/>
      <c r="F310" s="1"/>
      <c r="G310" s="1"/>
      <c r="H310" s="1"/>
      <c r="I310" s="1"/>
      <c r="J310" s="1"/>
      <c r="K310" s="1"/>
      <c r="L310" s="1"/>
      <c r="M310" s="1"/>
      <c r="N310" s="1"/>
      <c r="O310" s="1"/>
      <c r="P310" s="1"/>
      <c r="Q310" s="1"/>
      <c r="R310" s="1"/>
      <c r="S310" s="1"/>
      <c r="T310" s="1"/>
      <c r="U310" s="1"/>
      <c r="V310" s="1"/>
      <c r="W310" s="1"/>
      <c r="X310" s="1"/>
      <c r="Y310" s="1"/>
    </row>
    <row r="311">
      <c r="A311" s="17"/>
      <c r="B311" s="23"/>
      <c r="C311" s="1"/>
      <c r="D311" s="1"/>
      <c r="E311" s="1"/>
      <c r="F311" s="1"/>
      <c r="G311" s="1"/>
      <c r="H311" s="1"/>
      <c r="I311" s="1"/>
      <c r="J311" s="1"/>
      <c r="K311" s="1"/>
      <c r="L311" s="1"/>
      <c r="M311" s="1"/>
      <c r="N311" s="1"/>
      <c r="O311" s="1"/>
      <c r="P311" s="1"/>
      <c r="Q311" s="1"/>
      <c r="R311" s="1"/>
      <c r="S311" s="1"/>
      <c r="T311" s="1"/>
      <c r="U311" s="1"/>
      <c r="V311" s="1"/>
      <c r="W311" s="1"/>
      <c r="X311" s="1"/>
      <c r="Y311" s="1"/>
    </row>
    <row r="312">
      <c r="A312" s="17"/>
      <c r="B312" s="23"/>
      <c r="C312" s="1"/>
      <c r="D312" s="1"/>
      <c r="E312" s="1"/>
      <c r="F312" s="1"/>
      <c r="G312" s="1"/>
      <c r="H312" s="1"/>
      <c r="I312" s="1"/>
      <c r="J312" s="1"/>
      <c r="K312" s="1"/>
      <c r="L312" s="1"/>
      <c r="M312" s="1"/>
      <c r="N312" s="1"/>
      <c r="O312" s="1"/>
      <c r="P312" s="1"/>
      <c r="Q312" s="1"/>
      <c r="R312" s="1"/>
      <c r="S312" s="1"/>
      <c r="T312" s="1"/>
      <c r="U312" s="1"/>
      <c r="V312" s="1"/>
      <c r="W312" s="1"/>
      <c r="X312" s="1"/>
      <c r="Y312" s="1"/>
    </row>
    <row r="313">
      <c r="A313" s="17"/>
      <c r="B313" s="23"/>
      <c r="C313" s="1"/>
      <c r="D313" s="1"/>
      <c r="E313" s="1"/>
      <c r="F313" s="1"/>
      <c r="G313" s="1"/>
      <c r="H313" s="1"/>
      <c r="I313" s="1"/>
      <c r="J313" s="1"/>
      <c r="K313" s="1"/>
      <c r="L313" s="1"/>
      <c r="M313" s="1"/>
      <c r="N313" s="1"/>
      <c r="O313" s="1"/>
      <c r="P313" s="1"/>
      <c r="Q313" s="1"/>
      <c r="R313" s="1"/>
      <c r="S313" s="1"/>
      <c r="T313" s="1"/>
      <c r="U313" s="1"/>
      <c r="V313" s="1"/>
      <c r="W313" s="1"/>
      <c r="X313" s="1"/>
      <c r="Y313" s="1"/>
    </row>
    <row r="314">
      <c r="A314" s="17"/>
      <c r="B314" s="23"/>
      <c r="C314" s="1"/>
      <c r="D314" s="1"/>
      <c r="E314" s="1"/>
      <c r="F314" s="1"/>
      <c r="G314" s="1"/>
      <c r="H314" s="1"/>
      <c r="I314" s="1"/>
      <c r="J314" s="1"/>
      <c r="K314" s="1"/>
      <c r="L314" s="1"/>
      <c r="M314" s="1"/>
      <c r="N314" s="1"/>
      <c r="O314" s="1"/>
      <c r="P314" s="1"/>
      <c r="Q314" s="1"/>
      <c r="R314" s="1"/>
      <c r="S314" s="1"/>
      <c r="T314" s="1"/>
      <c r="U314" s="1"/>
      <c r="V314" s="1"/>
      <c r="W314" s="1"/>
      <c r="X314" s="1"/>
      <c r="Y314" s="1"/>
    </row>
    <row r="315">
      <c r="A315" s="17"/>
      <c r="B315" s="23"/>
      <c r="C315" s="1"/>
      <c r="D315" s="1"/>
      <c r="E315" s="1"/>
      <c r="F315" s="1"/>
      <c r="G315" s="1"/>
      <c r="H315" s="1"/>
      <c r="I315" s="1"/>
      <c r="J315" s="1"/>
      <c r="K315" s="1"/>
      <c r="L315" s="1"/>
      <c r="M315" s="1"/>
      <c r="N315" s="1"/>
      <c r="O315" s="1"/>
      <c r="P315" s="1"/>
      <c r="Q315" s="1"/>
      <c r="R315" s="1"/>
      <c r="S315" s="1"/>
      <c r="T315" s="1"/>
      <c r="U315" s="1"/>
      <c r="V315" s="1"/>
      <c r="W315" s="1"/>
      <c r="X315" s="1"/>
      <c r="Y315" s="1"/>
    </row>
    <row r="316">
      <c r="A316" s="17"/>
      <c r="B316" s="23"/>
      <c r="C316" s="1"/>
      <c r="D316" s="1"/>
      <c r="E316" s="1"/>
      <c r="F316" s="1"/>
      <c r="G316" s="1"/>
      <c r="H316" s="1"/>
      <c r="I316" s="1"/>
      <c r="J316" s="1"/>
      <c r="K316" s="1"/>
      <c r="L316" s="1"/>
      <c r="M316" s="1"/>
      <c r="N316" s="1"/>
      <c r="O316" s="1"/>
      <c r="P316" s="1"/>
      <c r="Q316" s="1"/>
      <c r="R316" s="1"/>
      <c r="S316" s="1"/>
      <c r="T316" s="1"/>
      <c r="U316" s="1"/>
      <c r="V316" s="1"/>
      <c r="W316" s="1"/>
      <c r="X316" s="1"/>
      <c r="Y316" s="1"/>
    </row>
    <row r="317">
      <c r="A317" s="17"/>
      <c r="B317" s="23"/>
      <c r="C317" s="1"/>
      <c r="D317" s="1"/>
      <c r="E317" s="1"/>
      <c r="F317" s="1"/>
      <c r="G317" s="1"/>
      <c r="H317" s="1"/>
      <c r="I317" s="1"/>
      <c r="J317" s="1"/>
      <c r="K317" s="1"/>
      <c r="L317" s="1"/>
      <c r="M317" s="1"/>
      <c r="N317" s="1"/>
      <c r="O317" s="1"/>
      <c r="P317" s="1"/>
      <c r="Q317" s="1"/>
      <c r="R317" s="1"/>
      <c r="S317" s="1"/>
      <c r="T317" s="1"/>
      <c r="U317" s="1"/>
      <c r="V317" s="1"/>
      <c r="W317" s="1"/>
      <c r="X317" s="1"/>
      <c r="Y317" s="1"/>
    </row>
    <row r="318">
      <c r="A318" s="17"/>
      <c r="B318" s="23"/>
      <c r="C318" s="1"/>
      <c r="D318" s="1"/>
      <c r="E318" s="1"/>
      <c r="F318" s="1"/>
      <c r="G318" s="1"/>
      <c r="H318" s="1"/>
      <c r="I318" s="1"/>
      <c r="J318" s="1"/>
      <c r="K318" s="1"/>
      <c r="L318" s="1"/>
      <c r="M318" s="1"/>
      <c r="N318" s="1"/>
      <c r="O318" s="1"/>
      <c r="P318" s="1"/>
      <c r="Q318" s="1"/>
      <c r="R318" s="1"/>
      <c r="S318" s="1"/>
      <c r="T318" s="1"/>
      <c r="U318" s="1"/>
      <c r="V318" s="1"/>
      <c r="W318" s="1"/>
      <c r="X318" s="1"/>
      <c r="Y318" s="1"/>
    </row>
    <row r="319">
      <c r="A319" s="17"/>
      <c r="B319" s="23"/>
      <c r="C319" s="1"/>
      <c r="D319" s="1"/>
      <c r="E319" s="1"/>
      <c r="F319" s="1"/>
      <c r="G319" s="1"/>
      <c r="H319" s="1"/>
      <c r="I319" s="1"/>
      <c r="J319" s="1"/>
      <c r="K319" s="1"/>
      <c r="L319" s="1"/>
      <c r="M319" s="1"/>
      <c r="N319" s="1"/>
      <c r="O319" s="1"/>
      <c r="P319" s="1"/>
      <c r="Q319" s="1"/>
      <c r="R319" s="1"/>
      <c r="S319" s="1"/>
      <c r="T319" s="1"/>
      <c r="U319" s="1"/>
      <c r="V319" s="1"/>
      <c r="W319" s="1"/>
      <c r="X319" s="1"/>
      <c r="Y319" s="1"/>
    </row>
    <row r="320">
      <c r="A320" s="17"/>
      <c r="B320" s="23"/>
      <c r="C320" s="1"/>
      <c r="D320" s="1"/>
      <c r="E320" s="1"/>
      <c r="F320" s="1"/>
      <c r="G320" s="1"/>
      <c r="H320" s="1"/>
      <c r="I320" s="1"/>
      <c r="J320" s="1"/>
      <c r="K320" s="1"/>
      <c r="L320" s="1"/>
      <c r="M320" s="1"/>
      <c r="N320" s="1"/>
      <c r="O320" s="1"/>
      <c r="P320" s="1"/>
      <c r="Q320" s="1"/>
      <c r="R320" s="1"/>
      <c r="S320" s="1"/>
      <c r="T320" s="1"/>
      <c r="U320" s="1"/>
      <c r="V320" s="1"/>
      <c r="W320" s="1"/>
      <c r="X320" s="1"/>
      <c r="Y320" s="1"/>
    </row>
    <row r="321">
      <c r="A321" s="17"/>
      <c r="B321" s="23"/>
      <c r="C321" s="1"/>
      <c r="D321" s="1"/>
      <c r="E321" s="1"/>
      <c r="F321" s="1"/>
      <c r="G321" s="1"/>
      <c r="H321" s="1"/>
      <c r="I321" s="1"/>
      <c r="J321" s="1"/>
      <c r="K321" s="1"/>
      <c r="L321" s="1"/>
      <c r="M321" s="1"/>
      <c r="N321" s="1"/>
      <c r="O321" s="1"/>
      <c r="P321" s="1"/>
      <c r="Q321" s="1"/>
      <c r="R321" s="1"/>
      <c r="S321" s="1"/>
      <c r="T321" s="1"/>
      <c r="U321" s="1"/>
      <c r="V321" s="1"/>
      <c r="W321" s="1"/>
      <c r="X321" s="1"/>
      <c r="Y321" s="1"/>
    </row>
    <row r="322">
      <c r="A322" s="17"/>
      <c r="B322" s="23"/>
      <c r="C322" s="1"/>
      <c r="D322" s="1"/>
      <c r="E322" s="1"/>
      <c r="F322" s="1"/>
      <c r="G322" s="1"/>
      <c r="H322" s="1"/>
      <c r="I322" s="1"/>
      <c r="J322" s="1"/>
      <c r="K322" s="1"/>
      <c r="L322" s="1"/>
      <c r="M322" s="1"/>
      <c r="N322" s="1"/>
      <c r="O322" s="1"/>
      <c r="P322" s="1"/>
      <c r="Q322" s="1"/>
      <c r="R322" s="1"/>
      <c r="S322" s="1"/>
      <c r="T322" s="1"/>
      <c r="U322" s="1"/>
      <c r="V322" s="1"/>
      <c r="W322" s="1"/>
      <c r="X322" s="1"/>
      <c r="Y322" s="1"/>
    </row>
    <row r="323">
      <c r="A323" s="17"/>
      <c r="B323" s="23"/>
      <c r="C323" s="1"/>
      <c r="D323" s="1"/>
      <c r="E323" s="1"/>
      <c r="F323" s="1"/>
      <c r="G323" s="1"/>
      <c r="H323" s="1"/>
      <c r="I323" s="1"/>
      <c r="J323" s="1"/>
      <c r="K323" s="1"/>
      <c r="L323" s="1"/>
      <c r="M323" s="1"/>
      <c r="N323" s="1"/>
      <c r="O323" s="1"/>
      <c r="P323" s="1"/>
      <c r="Q323" s="1"/>
      <c r="R323" s="1"/>
      <c r="S323" s="1"/>
      <c r="T323" s="1"/>
      <c r="U323" s="1"/>
      <c r="V323" s="1"/>
      <c r="W323" s="1"/>
      <c r="X323" s="1"/>
      <c r="Y323" s="1"/>
    </row>
    <row r="324">
      <c r="A324" s="17"/>
      <c r="B324" s="23"/>
      <c r="C324" s="1"/>
      <c r="D324" s="1"/>
      <c r="E324" s="1"/>
      <c r="F324" s="1"/>
      <c r="G324" s="1"/>
      <c r="H324" s="1"/>
      <c r="I324" s="1"/>
      <c r="J324" s="1"/>
      <c r="K324" s="1"/>
      <c r="L324" s="1"/>
      <c r="M324" s="1"/>
      <c r="N324" s="1"/>
      <c r="O324" s="1"/>
      <c r="P324" s="1"/>
      <c r="Q324" s="1"/>
      <c r="R324" s="1"/>
      <c r="S324" s="1"/>
      <c r="T324" s="1"/>
      <c r="U324" s="1"/>
      <c r="V324" s="1"/>
      <c r="W324" s="1"/>
      <c r="X324" s="1"/>
      <c r="Y324" s="1"/>
    </row>
    <row r="325">
      <c r="A325" s="17"/>
      <c r="B325" s="23"/>
      <c r="C325" s="1"/>
      <c r="D325" s="1"/>
      <c r="E325" s="1"/>
      <c r="F325" s="1"/>
      <c r="G325" s="1"/>
      <c r="H325" s="1"/>
      <c r="I325" s="1"/>
      <c r="J325" s="1"/>
      <c r="K325" s="1"/>
      <c r="L325" s="1"/>
      <c r="M325" s="1"/>
      <c r="N325" s="1"/>
      <c r="O325" s="1"/>
      <c r="P325" s="1"/>
      <c r="Q325" s="1"/>
      <c r="R325" s="1"/>
      <c r="S325" s="1"/>
      <c r="T325" s="1"/>
      <c r="U325" s="1"/>
      <c r="V325" s="1"/>
      <c r="W325" s="1"/>
      <c r="X325" s="1"/>
      <c r="Y325" s="1"/>
    </row>
    <row r="326">
      <c r="A326" s="17"/>
      <c r="B326" s="23"/>
      <c r="C326" s="1"/>
      <c r="D326" s="1"/>
      <c r="E326" s="1"/>
      <c r="F326" s="1"/>
      <c r="G326" s="1"/>
      <c r="H326" s="1"/>
      <c r="I326" s="1"/>
      <c r="J326" s="1"/>
      <c r="K326" s="1"/>
      <c r="L326" s="1"/>
      <c r="M326" s="1"/>
      <c r="N326" s="1"/>
      <c r="O326" s="1"/>
      <c r="P326" s="1"/>
      <c r="Q326" s="1"/>
      <c r="R326" s="1"/>
      <c r="S326" s="1"/>
      <c r="T326" s="1"/>
      <c r="U326" s="1"/>
      <c r="V326" s="1"/>
      <c r="W326" s="1"/>
      <c r="X326" s="1"/>
      <c r="Y326" s="1"/>
    </row>
    <row r="327">
      <c r="A327" s="17"/>
      <c r="B327" s="23"/>
      <c r="C327" s="1"/>
      <c r="D327" s="1"/>
      <c r="E327" s="1"/>
      <c r="F327" s="1"/>
      <c r="G327" s="1"/>
      <c r="H327" s="1"/>
      <c r="I327" s="1"/>
      <c r="J327" s="1"/>
      <c r="K327" s="1"/>
      <c r="L327" s="1"/>
      <c r="M327" s="1"/>
      <c r="N327" s="1"/>
      <c r="O327" s="1"/>
      <c r="P327" s="1"/>
      <c r="Q327" s="1"/>
      <c r="R327" s="1"/>
      <c r="S327" s="1"/>
      <c r="T327" s="1"/>
      <c r="U327" s="1"/>
      <c r="V327" s="1"/>
      <c r="W327" s="1"/>
      <c r="X327" s="1"/>
      <c r="Y327" s="1"/>
    </row>
    <row r="328">
      <c r="A328" s="17"/>
      <c r="B328" s="23"/>
      <c r="C328" s="1"/>
      <c r="D328" s="1"/>
      <c r="E328" s="1"/>
      <c r="F328" s="1"/>
      <c r="G328" s="1"/>
      <c r="H328" s="1"/>
      <c r="I328" s="1"/>
      <c r="J328" s="1"/>
      <c r="K328" s="1"/>
      <c r="L328" s="1"/>
      <c r="M328" s="1"/>
      <c r="N328" s="1"/>
      <c r="O328" s="1"/>
      <c r="P328" s="1"/>
      <c r="Q328" s="1"/>
      <c r="R328" s="1"/>
      <c r="S328" s="1"/>
      <c r="T328" s="1"/>
      <c r="U328" s="1"/>
      <c r="V328" s="1"/>
      <c r="W328" s="1"/>
      <c r="X328" s="1"/>
      <c r="Y328" s="1"/>
    </row>
    <row r="329">
      <c r="A329" s="17"/>
      <c r="B329" s="23"/>
      <c r="C329" s="1"/>
      <c r="D329" s="1"/>
      <c r="E329" s="1"/>
      <c r="F329" s="1"/>
      <c r="G329" s="1"/>
      <c r="H329" s="1"/>
      <c r="I329" s="1"/>
      <c r="J329" s="1"/>
      <c r="K329" s="1"/>
      <c r="L329" s="1"/>
      <c r="M329" s="1"/>
      <c r="N329" s="1"/>
      <c r="O329" s="1"/>
      <c r="P329" s="1"/>
      <c r="Q329" s="1"/>
      <c r="R329" s="1"/>
      <c r="S329" s="1"/>
      <c r="T329" s="1"/>
      <c r="U329" s="1"/>
      <c r="V329" s="1"/>
      <c r="W329" s="1"/>
      <c r="X329" s="1"/>
      <c r="Y329" s="1"/>
    </row>
    <row r="330">
      <c r="A330" s="17"/>
      <c r="B330" s="23"/>
      <c r="C330" s="1"/>
      <c r="D330" s="1"/>
      <c r="E330" s="1"/>
      <c r="F330" s="1"/>
      <c r="G330" s="1"/>
      <c r="H330" s="1"/>
      <c r="I330" s="1"/>
      <c r="J330" s="1"/>
      <c r="K330" s="1"/>
      <c r="L330" s="1"/>
      <c r="M330" s="1"/>
      <c r="N330" s="1"/>
      <c r="O330" s="1"/>
      <c r="P330" s="1"/>
      <c r="Q330" s="1"/>
      <c r="R330" s="1"/>
      <c r="S330" s="1"/>
      <c r="T330" s="1"/>
      <c r="U330" s="1"/>
      <c r="V330" s="1"/>
      <c r="W330" s="1"/>
      <c r="X330" s="1"/>
      <c r="Y330" s="1"/>
    </row>
    <row r="331">
      <c r="A331" s="17"/>
      <c r="B331" s="23"/>
      <c r="C331" s="1"/>
      <c r="D331" s="1"/>
      <c r="E331" s="1"/>
      <c r="F331" s="1"/>
      <c r="G331" s="1"/>
      <c r="H331" s="1"/>
      <c r="I331" s="1"/>
      <c r="J331" s="1"/>
      <c r="K331" s="1"/>
      <c r="L331" s="1"/>
      <c r="M331" s="1"/>
      <c r="N331" s="1"/>
      <c r="O331" s="1"/>
      <c r="P331" s="1"/>
      <c r="Q331" s="1"/>
      <c r="R331" s="1"/>
      <c r="S331" s="1"/>
      <c r="T331" s="1"/>
      <c r="U331" s="1"/>
      <c r="V331" s="1"/>
      <c r="W331" s="1"/>
      <c r="X331" s="1"/>
      <c r="Y331" s="1"/>
    </row>
    <row r="332">
      <c r="A332" s="17"/>
      <c r="B332" s="23"/>
      <c r="C332" s="1"/>
      <c r="D332" s="1"/>
      <c r="E332" s="1"/>
      <c r="F332" s="1"/>
      <c r="G332" s="1"/>
      <c r="H332" s="1"/>
      <c r="I332" s="1"/>
      <c r="J332" s="1"/>
      <c r="K332" s="1"/>
      <c r="L332" s="1"/>
      <c r="M332" s="1"/>
      <c r="N332" s="1"/>
      <c r="O332" s="1"/>
      <c r="P332" s="1"/>
      <c r="Q332" s="1"/>
      <c r="R332" s="1"/>
      <c r="S332" s="1"/>
      <c r="T332" s="1"/>
      <c r="U332" s="1"/>
      <c r="V332" s="1"/>
      <c r="W332" s="1"/>
      <c r="X332" s="1"/>
      <c r="Y332" s="1"/>
    </row>
    <row r="333">
      <c r="A333" s="17"/>
      <c r="B333" s="23"/>
      <c r="C333" s="1"/>
      <c r="D333" s="1"/>
      <c r="E333" s="1"/>
      <c r="F333" s="1"/>
      <c r="G333" s="1"/>
      <c r="H333" s="1"/>
      <c r="I333" s="1"/>
      <c r="J333" s="1"/>
      <c r="K333" s="1"/>
      <c r="L333" s="1"/>
      <c r="M333" s="1"/>
      <c r="N333" s="1"/>
      <c r="O333" s="1"/>
      <c r="P333" s="1"/>
      <c r="Q333" s="1"/>
      <c r="R333" s="1"/>
      <c r="S333" s="1"/>
      <c r="T333" s="1"/>
      <c r="U333" s="1"/>
      <c r="V333" s="1"/>
      <c r="W333" s="1"/>
      <c r="X333" s="1"/>
      <c r="Y333" s="1"/>
    </row>
    <row r="334">
      <c r="A334" s="17"/>
      <c r="B334" s="23"/>
      <c r="C334" s="1"/>
      <c r="D334" s="1"/>
      <c r="E334" s="1"/>
      <c r="F334" s="1"/>
      <c r="G334" s="1"/>
      <c r="H334" s="1"/>
      <c r="I334" s="1"/>
      <c r="J334" s="1"/>
      <c r="K334" s="1"/>
      <c r="L334" s="1"/>
      <c r="M334" s="1"/>
      <c r="N334" s="1"/>
      <c r="O334" s="1"/>
      <c r="P334" s="1"/>
      <c r="Q334" s="1"/>
      <c r="R334" s="1"/>
      <c r="S334" s="1"/>
      <c r="T334" s="1"/>
      <c r="U334" s="1"/>
      <c r="V334" s="1"/>
      <c r="W334" s="1"/>
      <c r="X334" s="1"/>
      <c r="Y334" s="1"/>
    </row>
    <row r="335">
      <c r="A335" s="17"/>
      <c r="B335" s="23"/>
      <c r="C335" s="1"/>
      <c r="D335" s="1"/>
      <c r="E335" s="1"/>
      <c r="F335" s="1"/>
      <c r="G335" s="1"/>
      <c r="H335" s="1"/>
      <c r="I335" s="1"/>
      <c r="J335" s="1"/>
      <c r="K335" s="1"/>
      <c r="L335" s="1"/>
      <c r="M335" s="1"/>
      <c r="N335" s="1"/>
      <c r="O335" s="1"/>
      <c r="P335" s="1"/>
      <c r="Q335" s="1"/>
      <c r="R335" s="1"/>
      <c r="S335" s="1"/>
      <c r="T335" s="1"/>
      <c r="U335" s="1"/>
      <c r="V335" s="1"/>
      <c r="W335" s="1"/>
      <c r="X335" s="1"/>
      <c r="Y335" s="1"/>
    </row>
    <row r="336">
      <c r="A336" s="17"/>
      <c r="B336" s="23"/>
      <c r="C336" s="1"/>
      <c r="D336" s="1"/>
      <c r="E336" s="1"/>
      <c r="F336" s="1"/>
      <c r="G336" s="1"/>
      <c r="H336" s="1"/>
      <c r="I336" s="1"/>
      <c r="J336" s="1"/>
      <c r="K336" s="1"/>
      <c r="L336" s="1"/>
      <c r="M336" s="1"/>
      <c r="N336" s="1"/>
      <c r="O336" s="1"/>
      <c r="P336" s="1"/>
      <c r="Q336" s="1"/>
      <c r="R336" s="1"/>
      <c r="S336" s="1"/>
      <c r="T336" s="1"/>
      <c r="U336" s="1"/>
      <c r="V336" s="1"/>
      <c r="W336" s="1"/>
      <c r="X336" s="1"/>
      <c r="Y336" s="1"/>
    </row>
    <row r="337">
      <c r="A337" s="17"/>
      <c r="B337" s="23"/>
      <c r="C337" s="1"/>
      <c r="D337" s="1"/>
      <c r="E337" s="1"/>
      <c r="F337" s="1"/>
      <c r="G337" s="1"/>
      <c r="H337" s="1"/>
      <c r="I337" s="1"/>
      <c r="J337" s="1"/>
      <c r="K337" s="1"/>
      <c r="L337" s="1"/>
      <c r="M337" s="1"/>
      <c r="N337" s="1"/>
      <c r="O337" s="1"/>
      <c r="P337" s="1"/>
      <c r="Q337" s="1"/>
      <c r="R337" s="1"/>
      <c r="S337" s="1"/>
      <c r="T337" s="1"/>
      <c r="U337" s="1"/>
      <c r="V337" s="1"/>
      <c r="W337" s="1"/>
      <c r="X337" s="1"/>
      <c r="Y337" s="1"/>
    </row>
    <row r="338">
      <c r="A338" s="17"/>
      <c r="B338" s="23"/>
      <c r="C338" s="1"/>
      <c r="D338" s="1"/>
      <c r="E338" s="1"/>
      <c r="F338" s="1"/>
      <c r="G338" s="1"/>
      <c r="H338" s="1"/>
      <c r="I338" s="1"/>
      <c r="J338" s="1"/>
      <c r="K338" s="1"/>
      <c r="L338" s="1"/>
      <c r="M338" s="1"/>
      <c r="N338" s="1"/>
      <c r="O338" s="1"/>
      <c r="P338" s="1"/>
      <c r="Q338" s="1"/>
      <c r="R338" s="1"/>
      <c r="S338" s="1"/>
      <c r="T338" s="1"/>
      <c r="U338" s="1"/>
      <c r="V338" s="1"/>
      <c r="W338" s="1"/>
      <c r="X338" s="1"/>
      <c r="Y338" s="1"/>
    </row>
    <row r="339">
      <c r="A339" s="17"/>
      <c r="B339" s="23"/>
      <c r="C339" s="1"/>
      <c r="D339" s="1"/>
      <c r="E339" s="1"/>
      <c r="F339" s="1"/>
      <c r="G339" s="1"/>
      <c r="H339" s="1"/>
      <c r="I339" s="1"/>
      <c r="J339" s="1"/>
      <c r="K339" s="1"/>
      <c r="L339" s="1"/>
      <c r="M339" s="1"/>
      <c r="N339" s="1"/>
      <c r="O339" s="1"/>
      <c r="P339" s="1"/>
      <c r="Q339" s="1"/>
      <c r="R339" s="1"/>
      <c r="S339" s="1"/>
      <c r="T339" s="1"/>
      <c r="U339" s="1"/>
      <c r="V339" s="1"/>
      <c r="W339" s="1"/>
      <c r="X339" s="1"/>
      <c r="Y339" s="1"/>
    </row>
    <row r="340">
      <c r="A340" s="17"/>
      <c r="B340" s="23"/>
      <c r="C340" s="1"/>
      <c r="D340" s="1"/>
      <c r="E340" s="1"/>
      <c r="F340" s="1"/>
      <c r="G340" s="1"/>
      <c r="H340" s="1"/>
      <c r="I340" s="1"/>
      <c r="J340" s="1"/>
      <c r="K340" s="1"/>
      <c r="L340" s="1"/>
      <c r="M340" s="1"/>
      <c r="N340" s="1"/>
      <c r="O340" s="1"/>
      <c r="P340" s="1"/>
      <c r="Q340" s="1"/>
      <c r="R340" s="1"/>
      <c r="S340" s="1"/>
      <c r="T340" s="1"/>
      <c r="U340" s="1"/>
      <c r="V340" s="1"/>
      <c r="W340" s="1"/>
      <c r="X340" s="1"/>
      <c r="Y340" s="1"/>
    </row>
    <row r="341">
      <c r="A341" s="17"/>
      <c r="B341" s="23"/>
      <c r="C341" s="1"/>
      <c r="D341" s="1"/>
      <c r="E341" s="1"/>
      <c r="F341" s="1"/>
      <c r="G341" s="1"/>
      <c r="H341" s="1"/>
      <c r="I341" s="1"/>
      <c r="J341" s="1"/>
      <c r="K341" s="1"/>
      <c r="L341" s="1"/>
      <c r="M341" s="1"/>
      <c r="N341" s="1"/>
      <c r="O341" s="1"/>
      <c r="P341" s="1"/>
      <c r="Q341" s="1"/>
      <c r="R341" s="1"/>
      <c r="S341" s="1"/>
      <c r="T341" s="1"/>
      <c r="U341" s="1"/>
      <c r="V341" s="1"/>
      <c r="W341" s="1"/>
      <c r="X341" s="1"/>
      <c r="Y341" s="1"/>
    </row>
    <row r="342">
      <c r="A342" s="17"/>
      <c r="B342" s="23"/>
      <c r="C342" s="1"/>
      <c r="D342" s="1"/>
      <c r="E342" s="1"/>
      <c r="F342" s="1"/>
      <c r="G342" s="1"/>
      <c r="H342" s="1"/>
      <c r="I342" s="1"/>
      <c r="J342" s="1"/>
      <c r="K342" s="1"/>
      <c r="L342" s="1"/>
      <c r="M342" s="1"/>
      <c r="N342" s="1"/>
      <c r="O342" s="1"/>
      <c r="P342" s="1"/>
      <c r="Q342" s="1"/>
      <c r="R342" s="1"/>
      <c r="S342" s="1"/>
      <c r="T342" s="1"/>
      <c r="U342" s="1"/>
      <c r="V342" s="1"/>
      <c r="W342" s="1"/>
      <c r="X342" s="1"/>
      <c r="Y342" s="1"/>
    </row>
    <row r="343">
      <c r="A343" s="17"/>
      <c r="B343" s="23"/>
      <c r="C343" s="1"/>
      <c r="D343" s="1"/>
      <c r="E343" s="1"/>
      <c r="F343" s="1"/>
      <c r="G343" s="1"/>
      <c r="H343" s="1"/>
      <c r="I343" s="1"/>
      <c r="J343" s="1"/>
      <c r="K343" s="1"/>
      <c r="L343" s="1"/>
      <c r="M343" s="1"/>
      <c r="N343" s="1"/>
      <c r="O343" s="1"/>
      <c r="P343" s="1"/>
      <c r="Q343" s="1"/>
      <c r="R343" s="1"/>
      <c r="S343" s="1"/>
      <c r="T343" s="1"/>
      <c r="U343" s="1"/>
      <c r="V343" s="1"/>
      <c r="W343" s="1"/>
      <c r="X343" s="1"/>
      <c r="Y343" s="1"/>
    </row>
    <row r="344">
      <c r="A344" s="17"/>
      <c r="B344" s="23"/>
      <c r="C344" s="1"/>
      <c r="D344" s="1"/>
      <c r="E344" s="1"/>
      <c r="F344" s="1"/>
      <c r="G344" s="1"/>
      <c r="H344" s="1"/>
      <c r="I344" s="1"/>
      <c r="J344" s="1"/>
      <c r="K344" s="1"/>
      <c r="L344" s="1"/>
      <c r="M344" s="1"/>
      <c r="N344" s="1"/>
      <c r="O344" s="1"/>
      <c r="P344" s="1"/>
      <c r="Q344" s="1"/>
      <c r="R344" s="1"/>
      <c r="S344" s="1"/>
      <c r="T344" s="1"/>
      <c r="U344" s="1"/>
      <c r="V344" s="1"/>
      <c r="W344" s="1"/>
      <c r="X344" s="1"/>
      <c r="Y344" s="1"/>
    </row>
    <row r="345">
      <c r="A345" s="17"/>
      <c r="B345" s="23"/>
      <c r="C345" s="1"/>
      <c r="D345" s="1"/>
      <c r="E345" s="1"/>
      <c r="F345" s="1"/>
      <c r="G345" s="1"/>
      <c r="H345" s="1"/>
      <c r="I345" s="1"/>
      <c r="J345" s="1"/>
      <c r="K345" s="1"/>
      <c r="L345" s="1"/>
      <c r="M345" s="1"/>
      <c r="N345" s="1"/>
      <c r="O345" s="1"/>
      <c r="P345" s="1"/>
      <c r="Q345" s="1"/>
      <c r="R345" s="1"/>
      <c r="S345" s="1"/>
      <c r="T345" s="1"/>
      <c r="U345" s="1"/>
      <c r="V345" s="1"/>
      <c r="W345" s="1"/>
      <c r="X345" s="1"/>
      <c r="Y345" s="1"/>
    </row>
    <row r="346">
      <c r="A346" s="17"/>
      <c r="B346" s="23"/>
      <c r="C346" s="1"/>
      <c r="D346" s="1"/>
      <c r="E346" s="1"/>
      <c r="F346" s="1"/>
      <c r="G346" s="1"/>
      <c r="H346" s="1"/>
      <c r="I346" s="1"/>
      <c r="J346" s="1"/>
      <c r="K346" s="1"/>
      <c r="L346" s="1"/>
      <c r="M346" s="1"/>
      <c r="N346" s="1"/>
      <c r="O346" s="1"/>
      <c r="P346" s="1"/>
      <c r="Q346" s="1"/>
      <c r="R346" s="1"/>
      <c r="S346" s="1"/>
      <c r="T346" s="1"/>
      <c r="U346" s="1"/>
      <c r="V346" s="1"/>
      <c r="W346" s="1"/>
      <c r="X346" s="1"/>
      <c r="Y346" s="1"/>
    </row>
    <row r="347">
      <c r="A347" s="17"/>
      <c r="B347" s="23"/>
      <c r="C347" s="1"/>
      <c r="D347" s="1"/>
      <c r="E347" s="1"/>
      <c r="F347" s="1"/>
      <c r="G347" s="1"/>
      <c r="H347" s="1"/>
      <c r="I347" s="1"/>
      <c r="J347" s="1"/>
      <c r="K347" s="1"/>
      <c r="L347" s="1"/>
      <c r="M347" s="1"/>
      <c r="N347" s="1"/>
      <c r="O347" s="1"/>
      <c r="P347" s="1"/>
      <c r="Q347" s="1"/>
      <c r="R347" s="1"/>
      <c r="S347" s="1"/>
      <c r="T347" s="1"/>
      <c r="U347" s="1"/>
      <c r="V347" s="1"/>
      <c r="W347" s="1"/>
      <c r="X347" s="1"/>
      <c r="Y347" s="1"/>
    </row>
    <row r="348">
      <c r="A348" s="17"/>
      <c r="B348" s="23"/>
      <c r="C348" s="1"/>
      <c r="D348" s="1"/>
      <c r="E348" s="1"/>
      <c r="F348" s="1"/>
      <c r="G348" s="1"/>
      <c r="H348" s="1"/>
      <c r="I348" s="1"/>
      <c r="J348" s="1"/>
      <c r="K348" s="1"/>
      <c r="L348" s="1"/>
      <c r="M348" s="1"/>
      <c r="N348" s="1"/>
      <c r="O348" s="1"/>
      <c r="P348" s="1"/>
      <c r="Q348" s="1"/>
      <c r="R348" s="1"/>
      <c r="S348" s="1"/>
      <c r="T348" s="1"/>
      <c r="U348" s="1"/>
      <c r="V348" s="1"/>
      <c r="W348" s="1"/>
      <c r="X348" s="1"/>
      <c r="Y348" s="1"/>
    </row>
    <row r="349">
      <c r="A349" s="17"/>
      <c r="B349" s="23"/>
      <c r="C349" s="1"/>
      <c r="D349" s="1"/>
      <c r="E349" s="1"/>
      <c r="F349" s="1"/>
      <c r="G349" s="1"/>
      <c r="H349" s="1"/>
      <c r="I349" s="1"/>
      <c r="J349" s="1"/>
      <c r="K349" s="1"/>
      <c r="L349" s="1"/>
      <c r="M349" s="1"/>
      <c r="N349" s="1"/>
      <c r="O349" s="1"/>
      <c r="P349" s="1"/>
      <c r="Q349" s="1"/>
      <c r="R349" s="1"/>
      <c r="S349" s="1"/>
      <c r="T349" s="1"/>
      <c r="U349" s="1"/>
      <c r="V349" s="1"/>
      <c r="W349" s="1"/>
      <c r="X349" s="1"/>
      <c r="Y349" s="1"/>
    </row>
    <row r="350">
      <c r="A350" s="17"/>
      <c r="B350" s="23"/>
      <c r="C350" s="1"/>
      <c r="D350" s="1"/>
      <c r="E350" s="1"/>
      <c r="F350" s="1"/>
      <c r="G350" s="1"/>
      <c r="H350" s="1"/>
      <c r="I350" s="1"/>
      <c r="J350" s="1"/>
      <c r="K350" s="1"/>
      <c r="L350" s="1"/>
      <c r="M350" s="1"/>
      <c r="N350" s="1"/>
      <c r="O350" s="1"/>
      <c r="P350" s="1"/>
      <c r="Q350" s="1"/>
      <c r="R350" s="1"/>
      <c r="S350" s="1"/>
      <c r="T350" s="1"/>
      <c r="U350" s="1"/>
      <c r="V350" s="1"/>
      <c r="W350" s="1"/>
      <c r="X350" s="1"/>
      <c r="Y350" s="1"/>
    </row>
    <row r="351">
      <c r="A351" s="17"/>
      <c r="B351" s="23"/>
      <c r="C351" s="1"/>
      <c r="D351" s="1"/>
      <c r="E351" s="1"/>
      <c r="F351" s="1"/>
      <c r="G351" s="1"/>
      <c r="H351" s="1"/>
      <c r="I351" s="1"/>
      <c r="J351" s="1"/>
      <c r="K351" s="1"/>
      <c r="L351" s="1"/>
      <c r="M351" s="1"/>
      <c r="N351" s="1"/>
      <c r="O351" s="1"/>
      <c r="P351" s="1"/>
      <c r="Q351" s="1"/>
      <c r="R351" s="1"/>
      <c r="S351" s="1"/>
      <c r="T351" s="1"/>
      <c r="U351" s="1"/>
      <c r="V351" s="1"/>
      <c r="W351" s="1"/>
      <c r="X351" s="1"/>
      <c r="Y351" s="1"/>
    </row>
    <row r="352">
      <c r="A352" s="17"/>
      <c r="B352" s="23"/>
      <c r="C352" s="1"/>
      <c r="D352" s="1"/>
      <c r="E352" s="1"/>
      <c r="F352" s="1"/>
      <c r="G352" s="1"/>
      <c r="H352" s="1"/>
      <c r="I352" s="1"/>
      <c r="J352" s="1"/>
      <c r="K352" s="1"/>
      <c r="L352" s="1"/>
      <c r="M352" s="1"/>
      <c r="N352" s="1"/>
      <c r="O352" s="1"/>
      <c r="P352" s="1"/>
      <c r="Q352" s="1"/>
      <c r="R352" s="1"/>
      <c r="S352" s="1"/>
      <c r="T352" s="1"/>
      <c r="U352" s="1"/>
      <c r="V352" s="1"/>
      <c r="W352" s="1"/>
      <c r="X352" s="1"/>
      <c r="Y352" s="1"/>
    </row>
    <row r="353">
      <c r="A353" s="17"/>
      <c r="B353" s="23"/>
      <c r="C353" s="1"/>
      <c r="D353" s="1"/>
      <c r="E353" s="1"/>
      <c r="F353" s="1"/>
      <c r="G353" s="1"/>
      <c r="H353" s="1"/>
      <c r="I353" s="1"/>
      <c r="J353" s="1"/>
      <c r="K353" s="1"/>
      <c r="L353" s="1"/>
      <c r="M353" s="1"/>
      <c r="N353" s="1"/>
      <c r="O353" s="1"/>
      <c r="P353" s="1"/>
      <c r="Q353" s="1"/>
      <c r="R353" s="1"/>
      <c r="S353" s="1"/>
      <c r="T353" s="1"/>
      <c r="U353" s="1"/>
      <c r="V353" s="1"/>
      <c r="W353" s="1"/>
      <c r="X353" s="1"/>
      <c r="Y353" s="1"/>
    </row>
    <row r="354">
      <c r="A354" s="17"/>
      <c r="B354" s="23"/>
      <c r="C354" s="1"/>
      <c r="D354" s="1"/>
      <c r="E354" s="1"/>
      <c r="F354" s="1"/>
      <c r="G354" s="1"/>
      <c r="H354" s="1"/>
      <c r="I354" s="1"/>
      <c r="J354" s="1"/>
      <c r="K354" s="1"/>
      <c r="L354" s="1"/>
      <c r="M354" s="1"/>
      <c r="N354" s="1"/>
      <c r="O354" s="1"/>
      <c r="P354" s="1"/>
      <c r="Q354" s="1"/>
      <c r="R354" s="1"/>
      <c r="S354" s="1"/>
      <c r="T354" s="1"/>
      <c r="U354" s="1"/>
      <c r="V354" s="1"/>
      <c r="W354" s="1"/>
      <c r="X354" s="1"/>
      <c r="Y354" s="1"/>
    </row>
    <row r="355">
      <c r="A355" s="17"/>
      <c r="B355" s="23"/>
      <c r="C355" s="1"/>
      <c r="D355" s="1"/>
      <c r="E355" s="1"/>
      <c r="F355" s="1"/>
      <c r="G355" s="1"/>
      <c r="H355" s="1"/>
      <c r="I355" s="1"/>
      <c r="J355" s="1"/>
      <c r="K355" s="1"/>
      <c r="L355" s="1"/>
      <c r="M355" s="1"/>
      <c r="N355" s="1"/>
      <c r="O355" s="1"/>
      <c r="P355" s="1"/>
      <c r="Q355" s="1"/>
      <c r="R355" s="1"/>
      <c r="S355" s="1"/>
      <c r="T355" s="1"/>
      <c r="U355" s="1"/>
      <c r="V355" s="1"/>
      <c r="W355" s="1"/>
      <c r="X355" s="1"/>
      <c r="Y355" s="1"/>
    </row>
    <row r="356">
      <c r="A356" s="17"/>
      <c r="B356" s="23"/>
      <c r="C356" s="1"/>
      <c r="D356" s="1"/>
      <c r="E356" s="1"/>
      <c r="F356" s="1"/>
      <c r="G356" s="1"/>
      <c r="H356" s="1"/>
      <c r="I356" s="1"/>
      <c r="J356" s="1"/>
      <c r="K356" s="1"/>
      <c r="L356" s="1"/>
      <c r="M356" s="1"/>
      <c r="N356" s="1"/>
      <c r="O356" s="1"/>
      <c r="P356" s="1"/>
      <c r="Q356" s="1"/>
      <c r="R356" s="1"/>
      <c r="S356" s="1"/>
      <c r="T356" s="1"/>
      <c r="U356" s="1"/>
      <c r="V356" s="1"/>
      <c r="W356" s="1"/>
      <c r="X356" s="1"/>
      <c r="Y356" s="1"/>
    </row>
    <row r="357">
      <c r="A357" s="17"/>
      <c r="B357" s="23"/>
      <c r="C357" s="1"/>
      <c r="D357" s="1"/>
      <c r="E357" s="1"/>
      <c r="F357" s="1"/>
      <c r="G357" s="1"/>
      <c r="H357" s="1"/>
      <c r="I357" s="1"/>
      <c r="J357" s="1"/>
      <c r="K357" s="1"/>
      <c r="L357" s="1"/>
      <c r="M357" s="1"/>
      <c r="N357" s="1"/>
      <c r="O357" s="1"/>
      <c r="P357" s="1"/>
      <c r="Q357" s="1"/>
      <c r="R357" s="1"/>
      <c r="S357" s="1"/>
      <c r="T357" s="1"/>
      <c r="U357" s="1"/>
      <c r="V357" s="1"/>
      <c r="W357" s="1"/>
      <c r="X357" s="1"/>
      <c r="Y357" s="1"/>
    </row>
    <row r="358">
      <c r="A358" s="17"/>
      <c r="B358" s="23"/>
      <c r="C358" s="1"/>
      <c r="D358" s="1"/>
      <c r="E358" s="1"/>
      <c r="F358" s="1"/>
      <c r="G358" s="1"/>
      <c r="H358" s="1"/>
      <c r="I358" s="1"/>
      <c r="J358" s="1"/>
      <c r="K358" s="1"/>
      <c r="L358" s="1"/>
      <c r="M358" s="1"/>
      <c r="N358" s="1"/>
      <c r="O358" s="1"/>
      <c r="P358" s="1"/>
      <c r="Q358" s="1"/>
      <c r="R358" s="1"/>
      <c r="S358" s="1"/>
      <c r="T358" s="1"/>
      <c r="U358" s="1"/>
      <c r="V358" s="1"/>
      <c r="W358" s="1"/>
      <c r="X358" s="1"/>
      <c r="Y358" s="1"/>
    </row>
    <row r="359">
      <c r="A359" s="17"/>
      <c r="B359" s="23"/>
      <c r="C359" s="1"/>
      <c r="D359" s="1"/>
      <c r="E359" s="1"/>
      <c r="F359" s="1"/>
      <c r="G359" s="1"/>
      <c r="H359" s="1"/>
      <c r="I359" s="1"/>
      <c r="J359" s="1"/>
      <c r="K359" s="1"/>
      <c r="L359" s="1"/>
      <c r="M359" s="1"/>
      <c r="N359" s="1"/>
      <c r="O359" s="1"/>
      <c r="P359" s="1"/>
      <c r="Q359" s="1"/>
      <c r="R359" s="1"/>
      <c r="S359" s="1"/>
      <c r="T359" s="1"/>
      <c r="U359" s="1"/>
      <c r="V359" s="1"/>
      <c r="W359" s="1"/>
      <c r="X359" s="1"/>
      <c r="Y359" s="1"/>
    </row>
    <row r="360">
      <c r="A360" s="17"/>
      <c r="B360" s="23"/>
      <c r="C360" s="1"/>
      <c r="D360" s="1"/>
      <c r="E360" s="1"/>
      <c r="F360" s="1"/>
      <c r="G360" s="1"/>
      <c r="H360" s="1"/>
      <c r="I360" s="1"/>
      <c r="J360" s="1"/>
      <c r="K360" s="1"/>
      <c r="L360" s="1"/>
      <c r="M360" s="1"/>
      <c r="N360" s="1"/>
      <c r="O360" s="1"/>
      <c r="P360" s="1"/>
      <c r="Q360" s="1"/>
      <c r="R360" s="1"/>
      <c r="S360" s="1"/>
      <c r="T360" s="1"/>
      <c r="U360" s="1"/>
      <c r="V360" s="1"/>
      <c r="W360" s="1"/>
      <c r="X360" s="1"/>
      <c r="Y360" s="1"/>
    </row>
    <row r="361">
      <c r="A361" s="17"/>
      <c r="B361" s="23"/>
      <c r="C361" s="1"/>
      <c r="D361" s="1"/>
      <c r="E361" s="1"/>
      <c r="F361" s="1"/>
      <c r="G361" s="1"/>
      <c r="H361" s="1"/>
      <c r="I361" s="1"/>
      <c r="J361" s="1"/>
      <c r="K361" s="1"/>
      <c r="L361" s="1"/>
      <c r="M361" s="1"/>
      <c r="N361" s="1"/>
      <c r="O361" s="1"/>
      <c r="P361" s="1"/>
      <c r="Q361" s="1"/>
      <c r="R361" s="1"/>
      <c r="S361" s="1"/>
      <c r="T361" s="1"/>
      <c r="U361" s="1"/>
      <c r="V361" s="1"/>
      <c r="W361" s="1"/>
      <c r="X361" s="1"/>
      <c r="Y361" s="1"/>
    </row>
    <row r="362">
      <c r="A362" s="17"/>
      <c r="B362" s="23"/>
      <c r="C362" s="1"/>
      <c r="D362" s="1"/>
      <c r="E362" s="1"/>
      <c r="F362" s="1"/>
      <c r="G362" s="1"/>
      <c r="H362" s="1"/>
      <c r="I362" s="1"/>
      <c r="J362" s="1"/>
      <c r="K362" s="1"/>
      <c r="L362" s="1"/>
      <c r="M362" s="1"/>
      <c r="N362" s="1"/>
      <c r="O362" s="1"/>
      <c r="P362" s="1"/>
      <c r="Q362" s="1"/>
      <c r="R362" s="1"/>
      <c r="S362" s="1"/>
      <c r="T362" s="1"/>
      <c r="U362" s="1"/>
      <c r="V362" s="1"/>
      <c r="W362" s="1"/>
      <c r="X362" s="1"/>
      <c r="Y362" s="1"/>
    </row>
    <row r="363">
      <c r="A363" s="17"/>
      <c r="B363" s="23"/>
      <c r="C363" s="1"/>
      <c r="D363" s="1"/>
      <c r="E363" s="1"/>
      <c r="F363" s="1"/>
      <c r="G363" s="1"/>
      <c r="H363" s="1"/>
      <c r="I363" s="1"/>
      <c r="J363" s="1"/>
      <c r="K363" s="1"/>
      <c r="L363" s="1"/>
      <c r="M363" s="1"/>
      <c r="N363" s="1"/>
      <c r="O363" s="1"/>
      <c r="P363" s="1"/>
      <c r="Q363" s="1"/>
      <c r="R363" s="1"/>
      <c r="S363" s="1"/>
      <c r="T363" s="1"/>
      <c r="U363" s="1"/>
      <c r="V363" s="1"/>
      <c r="W363" s="1"/>
      <c r="X363" s="1"/>
      <c r="Y363" s="1"/>
    </row>
    <row r="364">
      <c r="A364" s="17"/>
      <c r="B364" s="23"/>
      <c r="C364" s="1"/>
      <c r="D364" s="1"/>
      <c r="E364" s="1"/>
      <c r="F364" s="1"/>
      <c r="G364" s="1"/>
      <c r="H364" s="1"/>
      <c r="I364" s="1"/>
      <c r="J364" s="1"/>
      <c r="K364" s="1"/>
      <c r="L364" s="1"/>
      <c r="M364" s="1"/>
      <c r="N364" s="1"/>
      <c r="O364" s="1"/>
      <c r="P364" s="1"/>
      <c r="Q364" s="1"/>
      <c r="R364" s="1"/>
      <c r="S364" s="1"/>
      <c r="T364" s="1"/>
      <c r="U364" s="1"/>
      <c r="V364" s="1"/>
      <c r="W364" s="1"/>
      <c r="X364" s="1"/>
      <c r="Y364" s="1"/>
    </row>
    <row r="365">
      <c r="A365" s="17"/>
      <c r="B365" s="23"/>
      <c r="C365" s="1"/>
      <c r="D365" s="1"/>
      <c r="E365" s="1"/>
      <c r="F365" s="1"/>
      <c r="G365" s="1"/>
      <c r="H365" s="1"/>
      <c r="I365" s="1"/>
      <c r="J365" s="1"/>
      <c r="K365" s="1"/>
      <c r="L365" s="1"/>
      <c r="M365" s="1"/>
      <c r="N365" s="1"/>
      <c r="O365" s="1"/>
      <c r="P365" s="1"/>
      <c r="Q365" s="1"/>
      <c r="R365" s="1"/>
      <c r="S365" s="1"/>
      <c r="T365" s="1"/>
      <c r="U365" s="1"/>
      <c r="V365" s="1"/>
      <c r="W365" s="1"/>
      <c r="X365" s="1"/>
      <c r="Y365" s="1"/>
    </row>
    <row r="366">
      <c r="A366" s="17"/>
      <c r="B366" s="23"/>
      <c r="C366" s="1"/>
      <c r="D366" s="1"/>
      <c r="E366" s="1"/>
      <c r="F366" s="1"/>
      <c r="G366" s="1"/>
      <c r="H366" s="1"/>
      <c r="I366" s="1"/>
      <c r="J366" s="1"/>
      <c r="K366" s="1"/>
      <c r="L366" s="1"/>
      <c r="M366" s="1"/>
      <c r="N366" s="1"/>
      <c r="O366" s="1"/>
      <c r="P366" s="1"/>
      <c r="Q366" s="1"/>
      <c r="R366" s="1"/>
      <c r="S366" s="1"/>
      <c r="T366" s="1"/>
      <c r="U366" s="1"/>
      <c r="V366" s="1"/>
      <c r="W366" s="1"/>
      <c r="X366" s="1"/>
      <c r="Y366" s="1"/>
    </row>
    <row r="367">
      <c r="A367" s="17"/>
      <c r="B367" s="23"/>
      <c r="C367" s="1"/>
      <c r="D367" s="1"/>
      <c r="E367" s="1"/>
      <c r="F367" s="1"/>
      <c r="G367" s="1"/>
      <c r="H367" s="1"/>
      <c r="I367" s="1"/>
      <c r="J367" s="1"/>
      <c r="K367" s="1"/>
      <c r="L367" s="1"/>
      <c r="M367" s="1"/>
      <c r="N367" s="1"/>
      <c r="O367" s="1"/>
      <c r="P367" s="1"/>
      <c r="Q367" s="1"/>
      <c r="R367" s="1"/>
      <c r="S367" s="1"/>
      <c r="T367" s="1"/>
      <c r="U367" s="1"/>
      <c r="V367" s="1"/>
      <c r="W367" s="1"/>
      <c r="X367" s="1"/>
      <c r="Y367" s="1"/>
    </row>
    <row r="368">
      <c r="A368" s="17"/>
      <c r="B368" s="23"/>
      <c r="C368" s="1"/>
      <c r="D368" s="1"/>
      <c r="E368" s="1"/>
      <c r="F368" s="1"/>
      <c r="G368" s="1"/>
      <c r="H368" s="1"/>
      <c r="I368" s="1"/>
      <c r="J368" s="1"/>
      <c r="K368" s="1"/>
      <c r="L368" s="1"/>
      <c r="M368" s="1"/>
      <c r="N368" s="1"/>
      <c r="O368" s="1"/>
      <c r="P368" s="1"/>
      <c r="Q368" s="1"/>
      <c r="R368" s="1"/>
      <c r="S368" s="1"/>
      <c r="T368" s="1"/>
      <c r="U368" s="1"/>
      <c r="V368" s="1"/>
      <c r="W368" s="1"/>
      <c r="X368" s="1"/>
      <c r="Y368" s="1"/>
    </row>
    <row r="369">
      <c r="A369" s="17"/>
      <c r="B369" s="23"/>
      <c r="C369" s="1"/>
      <c r="D369" s="1"/>
      <c r="E369" s="1"/>
      <c r="F369" s="1"/>
      <c r="G369" s="1"/>
      <c r="H369" s="1"/>
      <c r="I369" s="1"/>
      <c r="J369" s="1"/>
      <c r="K369" s="1"/>
      <c r="L369" s="1"/>
      <c r="M369" s="1"/>
      <c r="N369" s="1"/>
      <c r="O369" s="1"/>
      <c r="P369" s="1"/>
      <c r="Q369" s="1"/>
      <c r="R369" s="1"/>
      <c r="S369" s="1"/>
      <c r="T369" s="1"/>
      <c r="U369" s="1"/>
      <c r="V369" s="1"/>
      <c r="W369" s="1"/>
      <c r="X369" s="1"/>
      <c r="Y369" s="1"/>
    </row>
    <row r="370">
      <c r="A370" s="17"/>
      <c r="B370" s="23"/>
      <c r="C370" s="1"/>
      <c r="D370" s="1"/>
      <c r="E370" s="1"/>
      <c r="F370" s="1"/>
      <c r="G370" s="1"/>
      <c r="H370" s="1"/>
      <c r="I370" s="1"/>
      <c r="J370" s="1"/>
      <c r="K370" s="1"/>
      <c r="L370" s="1"/>
      <c r="M370" s="1"/>
      <c r="N370" s="1"/>
      <c r="O370" s="1"/>
      <c r="P370" s="1"/>
      <c r="Q370" s="1"/>
      <c r="R370" s="1"/>
      <c r="S370" s="1"/>
      <c r="T370" s="1"/>
      <c r="U370" s="1"/>
      <c r="V370" s="1"/>
      <c r="W370" s="1"/>
      <c r="X370" s="1"/>
      <c r="Y370" s="1"/>
    </row>
    <row r="371">
      <c r="A371" s="17"/>
      <c r="B371" s="23"/>
      <c r="C371" s="1"/>
      <c r="D371" s="1"/>
      <c r="E371" s="1"/>
      <c r="F371" s="1"/>
      <c r="G371" s="1"/>
      <c r="H371" s="1"/>
      <c r="I371" s="1"/>
      <c r="J371" s="1"/>
      <c r="K371" s="1"/>
      <c r="L371" s="1"/>
      <c r="M371" s="1"/>
      <c r="N371" s="1"/>
      <c r="O371" s="1"/>
      <c r="P371" s="1"/>
      <c r="Q371" s="1"/>
      <c r="R371" s="1"/>
      <c r="S371" s="1"/>
      <c r="T371" s="1"/>
      <c r="U371" s="1"/>
      <c r="V371" s="1"/>
      <c r="W371" s="1"/>
      <c r="X371" s="1"/>
      <c r="Y371" s="1"/>
    </row>
    <row r="372">
      <c r="A372" s="17"/>
      <c r="B372" s="23"/>
      <c r="C372" s="1"/>
      <c r="D372" s="1"/>
      <c r="E372" s="1"/>
      <c r="F372" s="1"/>
      <c r="G372" s="1"/>
      <c r="H372" s="1"/>
      <c r="I372" s="1"/>
      <c r="J372" s="1"/>
      <c r="K372" s="1"/>
      <c r="L372" s="1"/>
      <c r="M372" s="1"/>
      <c r="N372" s="1"/>
      <c r="O372" s="1"/>
      <c r="P372" s="1"/>
      <c r="Q372" s="1"/>
      <c r="R372" s="1"/>
      <c r="S372" s="1"/>
      <c r="T372" s="1"/>
      <c r="U372" s="1"/>
      <c r="V372" s="1"/>
      <c r="W372" s="1"/>
      <c r="X372" s="1"/>
      <c r="Y372" s="1"/>
    </row>
    <row r="373">
      <c r="A373" s="17"/>
      <c r="B373" s="23"/>
      <c r="C373" s="1"/>
      <c r="D373" s="1"/>
      <c r="E373" s="1"/>
      <c r="F373" s="1"/>
      <c r="G373" s="1"/>
      <c r="H373" s="1"/>
      <c r="I373" s="1"/>
      <c r="J373" s="1"/>
      <c r="K373" s="1"/>
      <c r="L373" s="1"/>
      <c r="M373" s="1"/>
      <c r="N373" s="1"/>
      <c r="O373" s="1"/>
      <c r="P373" s="1"/>
      <c r="Q373" s="1"/>
      <c r="R373" s="1"/>
      <c r="S373" s="1"/>
      <c r="T373" s="1"/>
      <c r="U373" s="1"/>
      <c r="V373" s="1"/>
      <c r="W373" s="1"/>
      <c r="X373" s="1"/>
      <c r="Y373" s="1"/>
    </row>
    <row r="374">
      <c r="A374" s="17"/>
      <c r="B374" s="23"/>
      <c r="C374" s="1"/>
      <c r="D374" s="1"/>
      <c r="E374" s="1"/>
      <c r="F374" s="1"/>
      <c r="G374" s="1"/>
      <c r="H374" s="1"/>
      <c r="I374" s="1"/>
      <c r="J374" s="1"/>
      <c r="K374" s="1"/>
      <c r="L374" s="1"/>
      <c r="M374" s="1"/>
      <c r="N374" s="1"/>
      <c r="O374" s="1"/>
      <c r="P374" s="1"/>
      <c r="Q374" s="1"/>
      <c r="R374" s="1"/>
      <c r="S374" s="1"/>
      <c r="T374" s="1"/>
      <c r="U374" s="1"/>
      <c r="V374" s="1"/>
      <c r="W374" s="1"/>
      <c r="X374" s="1"/>
      <c r="Y374" s="1"/>
    </row>
    <row r="375">
      <c r="A375" s="17"/>
      <c r="B375" s="23"/>
      <c r="C375" s="1"/>
      <c r="D375" s="1"/>
      <c r="E375" s="1"/>
      <c r="F375" s="1"/>
      <c r="G375" s="1"/>
      <c r="H375" s="1"/>
      <c r="I375" s="1"/>
      <c r="J375" s="1"/>
      <c r="K375" s="1"/>
      <c r="L375" s="1"/>
      <c r="M375" s="1"/>
      <c r="N375" s="1"/>
      <c r="O375" s="1"/>
      <c r="P375" s="1"/>
      <c r="Q375" s="1"/>
      <c r="R375" s="1"/>
      <c r="S375" s="1"/>
      <c r="T375" s="1"/>
      <c r="U375" s="1"/>
      <c r="V375" s="1"/>
      <c r="W375" s="1"/>
      <c r="X375" s="1"/>
      <c r="Y375" s="1"/>
    </row>
    <row r="376">
      <c r="A376" s="17"/>
      <c r="B376" s="23"/>
      <c r="C376" s="1"/>
      <c r="D376" s="1"/>
      <c r="E376" s="1"/>
      <c r="F376" s="1"/>
      <c r="G376" s="1"/>
      <c r="H376" s="1"/>
      <c r="I376" s="1"/>
      <c r="J376" s="1"/>
      <c r="K376" s="1"/>
      <c r="L376" s="1"/>
      <c r="M376" s="1"/>
      <c r="N376" s="1"/>
      <c r="O376" s="1"/>
      <c r="P376" s="1"/>
      <c r="Q376" s="1"/>
      <c r="R376" s="1"/>
      <c r="S376" s="1"/>
      <c r="T376" s="1"/>
      <c r="U376" s="1"/>
      <c r="V376" s="1"/>
      <c r="W376" s="1"/>
      <c r="X376" s="1"/>
      <c r="Y376" s="1"/>
    </row>
    <row r="377">
      <c r="A377" s="17"/>
      <c r="B377" s="23"/>
      <c r="C377" s="1"/>
      <c r="D377" s="1"/>
      <c r="E377" s="1"/>
      <c r="F377" s="1"/>
      <c r="G377" s="1"/>
      <c r="H377" s="1"/>
      <c r="I377" s="1"/>
      <c r="J377" s="1"/>
      <c r="K377" s="1"/>
      <c r="L377" s="1"/>
      <c r="M377" s="1"/>
      <c r="N377" s="1"/>
      <c r="O377" s="1"/>
      <c r="P377" s="1"/>
      <c r="Q377" s="1"/>
      <c r="R377" s="1"/>
      <c r="S377" s="1"/>
      <c r="T377" s="1"/>
      <c r="U377" s="1"/>
      <c r="V377" s="1"/>
      <c r="W377" s="1"/>
      <c r="X377" s="1"/>
      <c r="Y377" s="1"/>
    </row>
    <row r="378">
      <c r="A378" s="17"/>
      <c r="B378" s="23"/>
      <c r="C378" s="1"/>
      <c r="D378" s="1"/>
      <c r="E378" s="1"/>
      <c r="F378" s="1"/>
      <c r="G378" s="1"/>
      <c r="H378" s="1"/>
      <c r="I378" s="1"/>
      <c r="J378" s="1"/>
      <c r="K378" s="1"/>
      <c r="L378" s="1"/>
      <c r="M378" s="1"/>
      <c r="N378" s="1"/>
      <c r="O378" s="1"/>
      <c r="P378" s="1"/>
      <c r="Q378" s="1"/>
      <c r="R378" s="1"/>
      <c r="S378" s="1"/>
      <c r="T378" s="1"/>
      <c r="U378" s="1"/>
      <c r="V378" s="1"/>
      <c r="W378" s="1"/>
      <c r="X378" s="1"/>
      <c r="Y378" s="1"/>
    </row>
    <row r="379">
      <c r="A379" s="17"/>
      <c r="B379" s="23"/>
      <c r="C379" s="1"/>
      <c r="D379" s="1"/>
      <c r="E379" s="1"/>
      <c r="F379" s="1"/>
      <c r="G379" s="1"/>
      <c r="H379" s="1"/>
      <c r="I379" s="1"/>
      <c r="J379" s="1"/>
      <c r="K379" s="1"/>
      <c r="L379" s="1"/>
      <c r="M379" s="1"/>
      <c r="N379" s="1"/>
      <c r="O379" s="1"/>
      <c r="P379" s="1"/>
      <c r="Q379" s="1"/>
      <c r="R379" s="1"/>
      <c r="S379" s="1"/>
      <c r="T379" s="1"/>
      <c r="U379" s="1"/>
      <c r="V379" s="1"/>
      <c r="W379" s="1"/>
      <c r="X379" s="1"/>
      <c r="Y379" s="1"/>
    </row>
    <row r="380">
      <c r="A380" s="17"/>
      <c r="B380" s="23"/>
      <c r="C380" s="1"/>
      <c r="D380" s="1"/>
      <c r="E380" s="1"/>
      <c r="F380" s="1"/>
      <c r="G380" s="1"/>
      <c r="H380" s="1"/>
      <c r="I380" s="1"/>
      <c r="J380" s="1"/>
      <c r="K380" s="1"/>
      <c r="L380" s="1"/>
      <c r="M380" s="1"/>
      <c r="N380" s="1"/>
      <c r="O380" s="1"/>
      <c r="P380" s="1"/>
      <c r="Q380" s="1"/>
      <c r="R380" s="1"/>
      <c r="S380" s="1"/>
      <c r="T380" s="1"/>
      <c r="U380" s="1"/>
      <c r="V380" s="1"/>
      <c r="W380" s="1"/>
      <c r="X380" s="1"/>
      <c r="Y380" s="1"/>
    </row>
    <row r="381">
      <c r="A381" s="17"/>
      <c r="B381" s="23"/>
      <c r="C381" s="1"/>
      <c r="D381" s="1"/>
      <c r="E381" s="1"/>
      <c r="F381" s="1"/>
      <c r="G381" s="1"/>
      <c r="H381" s="1"/>
      <c r="I381" s="1"/>
      <c r="J381" s="1"/>
      <c r="K381" s="1"/>
      <c r="L381" s="1"/>
      <c r="M381" s="1"/>
      <c r="N381" s="1"/>
      <c r="O381" s="1"/>
      <c r="P381" s="1"/>
      <c r="Q381" s="1"/>
      <c r="R381" s="1"/>
      <c r="S381" s="1"/>
      <c r="T381" s="1"/>
      <c r="U381" s="1"/>
      <c r="V381" s="1"/>
      <c r="W381" s="1"/>
      <c r="X381" s="1"/>
      <c r="Y381" s="1"/>
    </row>
    <row r="382">
      <c r="A382" s="17"/>
      <c r="B382" s="23"/>
      <c r="C382" s="1"/>
      <c r="D382" s="1"/>
      <c r="E382" s="1"/>
      <c r="F382" s="1"/>
      <c r="G382" s="1"/>
      <c r="H382" s="1"/>
      <c r="I382" s="1"/>
      <c r="J382" s="1"/>
      <c r="K382" s="1"/>
      <c r="L382" s="1"/>
      <c r="M382" s="1"/>
      <c r="N382" s="1"/>
      <c r="O382" s="1"/>
      <c r="P382" s="1"/>
      <c r="Q382" s="1"/>
      <c r="R382" s="1"/>
      <c r="S382" s="1"/>
      <c r="T382" s="1"/>
      <c r="U382" s="1"/>
      <c r="V382" s="1"/>
      <c r="W382" s="1"/>
      <c r="X382" s="1"/>
      <c r="Y382" s="1"/>
    </row>
    <row r="383">
      <c r="A383" s="17"/>
      <c r="B383" s="23"/>
      <c r="C383" s="1"/>
      <c r="D383" s="1"/>
      <c r="E383" s="1"/>
      <c r="F383" s="1"/>
      <c r="G383" s="1"/>
      <c r="H383" s="1"/>
      <c r="I383" s="1"/>
      <c r="J383" s="1"/>
      <c r="K383" s="1"/>
      <c r="L383" s="1"/>
      <c r="M383" s="1"/>
      <c r="N383" s="1"/>
      <c r="O383" s="1"/>
      <c r="P383" s="1"/>
      <c r="Q383" s="1"/>
      <c r="R383" s="1"/>
      <c r="S383" s="1"/>
      <c r="T383" s="1"/>
      <c r="U383" s="1"/>
      <c r="V383" s="1"/>
      <c r="W383" s="1"/>
      <c r="X383" s="1"/>
      <c r="Y383" s="1"/>
    </row>
    <row r="384">
      <c r="A384" s="17"/>
      <c r="B384" s="23"/>
      <c r="C384" s="1"/>
      <c r="D384" s="1"/>
      <c r="E384" s="1"/>
      <c r="F384" s="1"/>
      <c r="G384" s="1"/>
      <c r="H384" s="1"/>
      <c r="I384" s="1"/>
      <c r="J384" s="1"/>
      <c r="K384" s="1"/>
      <c r="L384" s="1"/>
      <c r="M384" s="1"/>
      <c r="N384" s="1"/>
      <c r="O384" s="1"/>
      <c r="P384" s="1"/>
      <c r="Q384" s="1"/>
      <c r="R384" s="1"/>
      <c r="S384" s="1"/>
      <c r="T384" s="1"/>
      <c r="U384" s="1"/>
      <c r="V384" s="1"/>
      <c r="W384" s="1"/>
      <c r="X384" s="1"/>
      <c r="Y384" s="1"/>
    </row>
    <row r="385">
      <c r="A385" s="17"/>
      <c r="B385" s="23"/>
      <c r="C385" s="1"/>
      <c r="D385" s="1"/>
      <c r="E385" s="1"/>
      <c r="F385" s="1"/>
      <c r="G385" s="1"/>
      <c r="H385" s="1"/>
      <c r="I385" s="1"/>
      <c r="J385" s="1"/>
      <c r="K385" s="1"/>
      <c r="L385" s="1"/>
      <c r="M385" s="1"/>
      <c r="N385" s="1"/>
      <c r="O385" s="1"/>
      <c r="P385" s="1"/>
      <c r="Q385" s="1"/>
      <c r="R385" s="1"/>
      <c r="S385" s="1"/>
      <c r="T385" s="1"/>
      <c r="U385" s="1"/>
      <c r="V385" s="1"/>
      <c r="W385" s="1"/>
      <c r="X385" s="1"/>
      <c r="Y385" s="1"/>
    </row>
    <row r="386">
      <c r="A386" s="17"/>
      <c r="B386" s="23"/>
      <c r="C386" s="1"/>
      <c r="D386" s="1"/>
      <c r="E386" s="1"/>
      <c r="F386" s="1"/>
      <c r="G386" s="1"/>
      <c r="H386" s="1"/>
      <c r="I386" s="1"/>
      <c r="J386" s="1"/>
      <c r="K386" s="1"/>
      <c r="L386" s="1"/>
      <c r="M386" s="1"/>
      <c r="N386" s="1"/>
      <c r="O386" s="1"/>
      <c r="P386" s="1"/>
      <c r="Q386" s="1"/>
      <c r="R386" s="1"/>
      <c r="S386" s="1"/>
      <c r="T386" s="1"/>
      <c r="U386" s="1"/>
      <c r="V386" s="1"/>
      <c r="W386" s="1"/>
      <c r="X386" s="1"/>
      <c r="Y386" s="1"/>
    </row>
    <row r="387">
      <c r="A387" s="17"/>
      <c r="B387" s="23"/>
      <c r="C387" s="1"/>
      <c r="D387" s="1"/>
      <c r="E387" s="1"/>
      <c r="F387" s="1"/>
      <c r="G387" s="1"/>
      <c r="H387" s="1"/>
      <c r="I387" s="1"/>
      <c r="J387" s="1"/>
      <c r="K387" s="1"/>
      <c r="L387" s="1"/>
      <c r="M387" s="1"/>
      <c r="N387" s="1"/>
      <c r="O387" s="1"/>
      <c r="P387" s="1"/>
      <c r="Q387" s="1"/>
      <c r="R387" s="1"/>
      <c r="S387" s="1"/>
      <c r="T387" s="1"/>
      <c r="U387" s="1"/>
      <c r="V387" s="1"/>
      <c r="W387" s="1"/>
      <c r="X387" s="1"/>
      <c r="Y387" s="1"/>
    </row>
    <row r="388">
      <c r="A388" s="17"/>
      <c r="B388" s="23"/>
      <c r="C388" s="1"/>
      <c r="D388" s="1"/>
      <c r="E388" s="1"/>
      <c r="F388" s="1"/>
      <c r="G388" s="1"/>
      <c r="H388" s="1"/>
      <c r="I388" s="1"/>
      <c r="J388" s="1"/>
      <c r="K388" s="1"/>
      <c r="L388" s="1"/>
      <c r="M388" s="1"/>
      <c r="N388" s="1"/>
      <c r="O388" s="1"/>
      <c r="P388" s="1"/>
      <c r="Q388" s="1"/>
      <c r="R388" s="1"/>
      <c r="S388" s="1"/>
      <c r="T388" s="1"/>
      <c r="U388" s="1"/>
      <c r="V388" s="1"/>
      <c r="W388" s="1"/>
      <c r="X388" s="1"/>
      <c r="Y388" s="1"/>
    </row>
    <row r="389">
      <c r="A389" s="17"/>
      <c r="B389" s="23"/>
      <c r="C389" s="1"/>
      <c r="D389" s="1"/>
      <c r="E389" s="1"/>
      <c r="F389" s="1"/>
      <c r="G389" s="1"/>
      <c r="H389" s="1"/>
      <c r="I389" s="1"/>
      <c r="J389" s="1"/>
      <c r="K389" s="1"/>
      <c r="L389" s="1"/>
      <c r="M389" s="1"/>
      <c r="N389" s="1"/>
      <c r="O389" s="1"/>
      <c r="P389" s="1"/>
      <c r="Q389" s="1"/>
      <c r="R389" s="1"/>
      <c r="S389" s="1"/>
      <c r="T389" s="1"/>
      <c r="U389" s="1"/>
      <c r="V389" s="1"/>
      <c r="W389" s="1"/>
      <c r="X389" s="1"/>
      <c r="Y389" s="1"/>
    </row>
    <row r="390">
      <c r="A390" s="17"/>
      <c r="B390" s="23"/>
      <c r="C390" s="1"/>
      <c r="D390" s="1"/>
      <c r="E390" s="1"/>
      <c r="F390" s="1"/>
      <c r="G390" s="1"/>
      <c r="H390" s="1"/>
      <c r="I390" s="1"/>
      <c r="J390" s="1"/>
      <c r="K390" s="1"/>
      <c r="L390" s="1"/>
      <c r="M390" s="1"/>
      <c r="N390" s="1"/>
      <c r="O390" s="1"/>
      <c r="P390" s="1"/>
      <c r="Q390" s="1"/>
      <c r="R390" s="1"/>
      <c r="S390" s="1"/>
      <c r="T390" s="1"/>
      <c r="U390" s="1"/>
      <c r="V390" s="1"/>
      <c r="W390" s="1"/>
      <c r="X390" s="1"/>
      <c r="Y390" s="1"/>
    </row>
    <row r="391">
      <c r="A391" s="17"/>
      <c r="B391" s="23"/>
      <c r="C391" s="1"/>
      <c r="D391" s="1"/>
      <c r="E391" s="1"/>
      <c r="F391" s="1"/>
      <c r="G391" s="1"/>
      <c r="H391" s="1"/>
      <c r="I391" s="1"/>
      <c r="J391" s="1"/>
      <c r="K391" s="1"/>
      <c r="L391" s="1"/>
      <c r="M391" s="1"/>
      <c r="N391" s="1"/>
      <c r="O391" s="1"/>
      <c r="P391" s="1"/>
      <c r="Q391" s="1"/>
      <c r="R391" s="1"/>
      <c r="S391" s="1"/>
      <c r="T391" s="1"/>
      <c r="U391" s="1"/>
      <c r="V391" s="1"/>
      <c r="W391" s="1"/>
      <c r="X391" s="1"/>
      <c r="Y391" s="1"/>
    </row>
    <row r="392">
      <c r="A392" s="17"/>
      <c r="B392" s="23"/>
      <c r="C392" s="1"/>
      <c r="D392" s="1"/>
      <c r="E392" s="1"/>
      <c r="F392" s="1"/>
      <c r="G392" s="1"/>
      <c r="H392" s="1"/>
      <c r="I392" s="1"/>
      <c r="J392" s="1"/>
      <c r="K392" s="1"/>
      <c r="L392" s="1"/>
      <c r="M392" s="1"/>
      <c r="N392" s="1"/>
      <c r="O392" s="1"/>
      <c r="P392" s="1"/>
      <c r="Q392" s="1"/>
      <c r="R392" s="1"/>
      <c r="S392" s="1"/>
      <c r="T392" s="1"/>
      <c r="U392" s="1"/>
      <c r="V392" s="1"/>
      <c r="W392" s="1"/>
      <c r="X392" s="1"/>
      <c r="Y392" s="1"/>
    </row>
    <row r="393">
      <c r="A393" s="17"/>
      <c r="B393" s="23"/>
      <c r="C393" s="1"/>
      <c r="D393" s="1"/>
      <c r="E393" s="1"/>
      <c r="F393" s="1"/>
      <c r="G393" s="1"/>
      <c r="H393" s="1"/>
      <c r="I393" s="1"/>
      <c r="J393" s="1"/>
      <c r="K393" s="1"/>
      <c r="L393" s="1"/>
      <c r="M393" s="1"/>
      <c r="N393" s="1"/>
      <c r="O393" s="1"/>
      <c r="P393" s="1"/>
      <c r="Q393" s="1"/>
      <c r="R393" s="1"/>
      <c r="S393" s="1"/>
      <c r="T393" s="1"/>
      <c r="U393" s="1"/>
      <c r="V393" s="1"/>
      <c r="W393" s="1"/>
      <c r="X393" s="1"/>
      <c r="Y393" s="1"/>
    </row>
    <row r="394">
      <c r="A394" s="17"/>
      <c r="B394" s="23"/>
      <c r="C394" s="1"/>
      <c r="D394" s="1"/>
      <c r="E394" s="1"/>
      <c r="F394" s="1"/>
      <c r="G394" s="1"/>
      <c r="H394" s="1"/>
      <c r="I394" s="1"/>
      <c r="J394" s="1"/>
      <c r="K394" s="1"/>
      <c r="L394" s="1"/>
      <c r="M394" s="1"/>
      <c r="N394" s="1"/>
      <c r="O394" s="1"/>
      <c r="P394" s="1"/>
      <c r="Q394" s="1"/>
      <c r="R394" s="1"/>
      <c r="S394" s="1"/>
      <c r="T394" s="1"/>
      <c r="U394" s="1"/>
      <c r="V394" s="1"/>
      <c r="W394" s="1"/>
      <c r="X394" s="1"/>
      <c r="Y394" s="1"/>
    </row>
    <row r="395">
      <c r="A395" s="17"/>
      <c r="B395" s="23"/>
      <c r="C395" s="1"/>
      <c r="D395" s="1"/>
      <c r="E395" s="1"/>
      <c r="F395" s="1"/>
      <c r="G395" s="1"/>
      <c r="H395" s="1"/>
      <c r="I395" s="1"/>
      <c r="J395" s="1"/>
      <c r="K395" s="1"/>
      <c r="L395" s="1"/>
      <c r="M395" s="1"/>
      <c r="N395" s="1"/>
      <c r="O395" s="1"/>
      <c r="P395" s="1"/>
      <c r="Q395" s="1"/>
      <c r="R395" s="1"/>
      <c r="S395" s="1"/>
      <c r="T395" s="1"/>
      <c r="U395" s="1"/>
      <c r="V395" s="1"/>
      <c r="W395" s="1"/>
      <c r="X395" s="1"/>
      <c r="Y395" s="1"/>
    </row>
    <row r="396">
      <c r="A396" s="17"/>
      <c r="B396" s="23"/>
      <c r="C396" s="1"/>
      <c r="D396" s="1"/>
      <c r="E396" s="1"/>
      <c r="F396" s="1"/>
      <c r="G396" s="1"/>
      <c r="H396" s="1"/>
      <c r="I396" s="1"/>
      <c r="J396" s="1"/>
      <c r="K396" s="1"/>
      <c r="L396" s="1"/>
      <c r="M396" s="1"/>
      <c r="N396" s="1"/>
      <c r="O396" s="1"/>
      <c r="P396" s="1"/>
      <c r="Q396" s="1"/>
      <c r="R396" s="1"/>
      <c r="S396" s="1"/>
      <c r="T396" s="1"/>
      <c r="U396" s="1"/>
      <c r="V396" s="1"/>
      <c r="W396" s="1"/>
      <c r="X396" s="1"/>
      <c r="Y396" s="1"/>
    </row>
    <row r="397">
      <c r="A397" s="17"/>
      <c r="B397" s="23"/>
      <c r="C397" s="1"/>
      <c r="D397" s="1"/>
      <c r="E397" s="1"/>
      <c r="F397" s="1"/>
      <c r="G397" s="1"/>
      <c r="H397" s="1"/>
      <c r="I397" s="1"/>
      <c r="J397" s="1"/>
      <c r="K397" s="1"/>
      <c r="L397" s="1"/>
      <c r="M397" s="1"/>
      <c r="N397" s="1"/>
      <c r="O397" s="1"/>
      <c r="P397" s="1"/>
      <c r="Q397" s="1"/>
      <c r="R397" s="1"/>
      <c r="S397" s="1"/>
      <c r="T397" s="1"/>
      <c r="U397" s="1"/>
      <c r="V397" s="1"/>
      <c r="W397" s="1"/>
      <c r="X397" s="1"/>
      <c r="Y397" s="1"/>
    </row>
    <row r="398">
      <c r="A398" s="17"/>
      <c r="B398" s="23"/>
      <c r="C398" s="1"/>
      <c r="D398" s="1"/>
      <c r="E398" s="1"/>
      <c r="F398" s="1"/>
      <c r="G398" s="1"/>
      <c r="H398" s="1"/>
      <c r="I398" s="1"/>
      <c r="J398" s="1"/>
      <c r="K398" s="1"/>
      <c r="L398" s="1"/>
      <c r="M398" s="1"/>
      <c r="N398" s="1"/>
      <c r="O398" s="1"/>
      <c r="P398" s="1"/>
      <c r="Q398" s="1"/>
      <c r="R398" s="1"/>
      <c r="S398" s="1"/>
      <c r="T398" s="1"/>
      <c r="U398" s="1"/>
      <c r="V398" s="1"/>
      <c r="W398" s="1"/>
      <c r="X398" s="1"/>
      <c r="Y398" s="1"/>
    </row>
    <row r="399">
      <c r="A399" s="17"/>
      <c r="B399" s="23"/>
      <c r="C399" s="1"/>
      <c r="D399" s="1"/>
      <c r="E399" s="1"/>
      <c r="F399" s="1"/>
      <c r="G399" s="1"/>
      <c r="H399" s="1"/>
      <c r="I399" s="1"/>
      <c r="J399" s="1"/>
      <c r="K399" s="1"/>
      <c r="L399" s="1"/>
      <c r="M399" s="1"/>
      <c r="N399" s="1"/>
      <c r="O399" s="1"/>
      <c r="P399" s="1"/>
      <c r="Q399" s="1"/>
      <c r="R399" s="1"/>
      <c r="S399" s="1"/>
      <c r="T399" s="1"/>
      <c r="U399" s="1"/>
      <c r="V399" s="1"/>
      <c r="W399" s="1"/>
      <c r="X399" s="1"/>
      <c r="Y399" s="1"/>
    </row>
    <row r="400">
      <c r="A400" s="17"/>
      <c r="B400" s="23"/>
      <c r="C400" s="1"/>
      <c r="D400" s="1"/>
      <c r="E400" s="1"/>
      <c r="F400" s="1"/>
      <c r="G400" s="1"/>
      <c r="H400" s="1"/>
      <c r="I400" s="1"/>
      <c r="J400" s="1"/>
      <c r="K400" s="1"/>
      <c r="L400" s="1"/>
      <c r="M400" s="1"/>
      <c r="N400" s="1"/>
      <c r="O400" s="1"/>
      <c r="P400" s="1"/>
      <c r="Q400" s="1"/>
      <c r="R400" s="1"/>
      <c r="S400" s="1"/>
      <c r="T400" s="1"/>
      <c r="U400" s="1"/>
      <c r="V400" s="1"/>
      <c r="W400" s="1"/>
      <c r="X400" s="1"/>
      <c r="Y400" s="1"/>
    </row>
    <row r="401">
      <c r="A401" s="17"/>
      <c r="B401" s="23"/>
      <c r="C401" s="1"/>
      <c r="D401" s="1"/>
      <c r="E401" s="1"/>
      <c r="F401" s="1"/>
      <c r="G401" s="1"/>
      <c r="H401" s="1"/>
      <c r="I401" s="1"/>
      <c r="J401" s="1"/>
      <c r="K401" s="1"/>
      <c r="L401" s="1"/>
      <c r="M401" s="1"/>
      <c r="N401" s="1"/>
      <c r="O401" s="1"/>
      <c r="P401" s="1"/>
      <c r="Q401" s="1"/>
      <c r="R401" s="1"/>
      <c r="S401" s="1"/>
      <c r="T401" s="1"/>
      <c r="U401" s="1"/>
      <c r="V401" s="1"/>
      <c r="W401" s="1"/>
      <c r="X401" s="1"/>
      <c r="Y401" s="1"/>
    </row>
    <row r="402">
      <c r="A402" s="17"/>
      <c r="B402" s="23"/>
      <c r="C402" s="1"/>
      <c r="D402" s="1"/>
      <c r="E402" s="1"/>
      <c r="F402" s="1"/>
      <c r="G402" s="1"/>
      <c r="H402" s="1"/>
      <c r="I402" s="1"/>
      <c r="J402" s="1"/>
      <c r="K402" s="1"/>
      <c r="L402" s="1"/>
      <c r="M402" s="1"/>
      <c r="N402" s="1"/>
      <c r="O402" s="1"/>
      <c r="P402" s="1"/>
      <c r="Q402" s="1"/>
      <c r="R402" s="1"/>
      <c r="S402" s="1"/>
      <c r="T402" s="1"/>
      <c r="U402" s="1"/>
      <c r="V402" s="1"/>
      <c r="W402" s="1"/>
      <c r="X402" s="1"/>
      <c r="Y402" s="1"/>
    </row>
    <row r="403">
      <c r="A403" s="17"/>
      <c r="B403" s="23"/>
      <c r="C403" s="1"/>
      <c r="D403" s="1"/>
      <c r="E403" s="1"/>
      <c r="F403" s="1"/>
      <c r="G403" s="1"/>
      <c r="H403" s="1"/>
      <c r="I403" s="1"/>
      <c r="J403" s="1"/>
      <c r="K403" s="1"/>
      <c r="L403" s="1"/>
      <c r="M403" s="1"/>
      <c r="N403" s="1"/>
      <c r="O403" s="1"/>
      <c r="P403" s="1"/>
      <c r="Q403" s="1"/>
      <c r="R403" s="1"/>
      <c r="S403" s="1"/>
      <c r="T403" s="1"/>
      <c r="U403" s="1"/>
      <c r="V403" s="1"/>
      <c r="W403" s="1"/>
      <c r="X403" s="1"/>
      <c r="Y403" s="1"/>
    </row>
    <row r="404">
      <c r="A404" s="17"/>
      <c r="B404" s="23"/>
      <c r="C404" s="1"/>
      <c r="D404" s="1"/>
      <c r="E404" s="1"/>
      <c r="F404" s="1"/>
      <c r="G404" s="1"/>
      <c r="H404" s="1"/>
      <c r="I404" s="1"/>
      <c r="J404" s="1"/>
      <c r="K404" s="1"/>
      <c r="L404" s="1"/>
      <c r="M404" s="1"/>
      <c r="N404" s="1"/>
      <c r="O404" s="1"/>
      <c r="P404" s="1"/>
      <c r="Q404" s="1"/>
      <c r="R404" s="1"/>
      <c r="S404" s="1"/>
      <c r="T404" s="1"/>
      <c r="U404" s="1"/>
      <c r="V404" s="1"/>
      <c r="W404" s="1"/>
      <c r="X404" s="1"/>
      <c r="Y404" s="1"/>
    </row>
    <row r="405">
      <c r="A405" s="17"/>
      <c r="B405" s="23"/>
      <c r="C405" s="1"/>
      <c r="D405" s="1"/>
      <c r="E405" s="1"/>
      <c r="F405" s="1"/>
      <c r="G405" s="1"/>
      <c r="H405" s="1"/>
      <c r="I405" s="1"/>
      <c r="J405" s="1"/>
      <c r="K405" s="1"/>
      <c r="L405" s="1"/>
      <c r="M405" s="1"/>
      <c r="N405" s="1"/>
      <c r="O405" s="1"/>
      <c r="P405" s="1"/>
      <c r="Q405" s="1"/>
      <c r="R405" s="1"/>
      <c r="S405" s="1"/>
      <c r="T405" s="1"/>
      <c r="U405" s="1"/>
      <c r="V405" s="1"/>
      <c r="W405" s="1"/>
      <c r="X405" s="1"/>
      <c r="Y405" s="1"/>
    </row>
    <row r="406">
      <c r="A406" s="17"/>
      <c r="B406" s="23"/>
      <c r="C406" s="1"/>
      <c r="D406" s="1"/>
      <c r="E406" s="1"/>
      <c r="F406" s="1"/>
      <c r="G406" s="1"/>
      <c r="H406" s="1"/>
      <c r="I406" s="1"/>
      <c r="J406" s="1"/>
      <c r="K406" s="1"/>
      <c r="L406" s="1"/>
      <c r="M406" s="1"/>
      <c r="N406" s="1"/>
      <c r="O406" s="1"/>
      <c r="P406" s="1"/>
      <c r="Q406" s="1"/>
      <c r="R406" s="1"/>
      <c r="S406" s="1"/>
      <c r="T406" s="1"/>
      <c r="U406" s="1"/>
      <c r="V406" s="1"/>
      <c r="W406" s="1"/>
      <c r="X406" s="1"/>
      <c r="Y406" s="1"/>
    </row>
    <row r="407">
      <c r="A407" s="17"/>
      <c r="B407" s="23"/>
      <c r="C407" s="1"/>
      <c r="D407" s="1"/>
      <c r="E407" s="1"/>
      <c r="F407" s="1"/>
      <c r="G407" s="1"/>
      <c r="H407" s="1"/>
      <c r="I407" s="1"/>
      <c r="J407" s="1"/>
      <c r="K407" s="1"/>
      <c r="L407" s="1"/>
      <c r="M407" s="1"/>
      <c r="N407" s="1"/>
      <c r="O407" s="1"/>
      <c r="P407" s="1"/>
      <c r="Q407" s="1"/>
      <c r="R407" s="1"/>
      <c r="S407" s="1"/>
      <c r="T407" s="1"/>
      <c r="U407" s="1"/>
      <c r="V407" s="1"/>
      <c r="W407" s="1"/>
      <c r="X407" s="1"/>
      <c r="Y407" s="1"/>
    </row>
    <row r="408">
      <c r="A408" s="17"/>
      <c r="B408" s="23"/>
      <c r="C408" s="1"/>
      <c r="D408" s="1"/>
      <c r="E408" s="1"/>
      <c r="F408" s="1"/>
      <c r="G408" s="1"/>
      <c r="H408" s="1"/>
      <c r="I408" s="1"/>
      <c r="J408" s="1"/>
      <c r="K408" s="1"/>
      <c r="L408" s="1"/>
      <c r="M408" s="1"/>
      <c r="N408" s="1"/>
      <c r="O408" s="1"/>
      <c r="P408" s="1"/>
      <c r="Q408" s="1"/>
      <c r="R408" s="1"/>
      <c r="S408" s="1"/>
      <c r="T408" s="1"/>
      <c r="U408" s="1"/>
      <c r="V408" s="1"/>
      <c r="W408" s="1"/>
      <c r="X408" s="1"/>
      <c r="Y408" s="1"/>
    </row>
    <row r="409">
      <c r="A409" s="17"/>
      <c r="B409" s="23"/>
      <c r="C409" s="1"/>
      <c r="D409" s="1"/>
      <c r="E409" s="1"/>
      <c r="F409" s="1"/>
      <c r="G409" s="1"/>
      <c r="H409" s="1"/>
      <c r="I409" s="1"/>
      <c r="J409" s="1"/>
      <c r="K409" s="1"/>
      <c r="L409" s="1"/>
      <c r="M409" s="1"/>
      <c r="N409" s="1"/>
      <c r="O409" s="1"/>
      <c r="P409" s="1"/>
      <c r="Q409" s="1"/>
      <c r="R409" s="1"/>
      <c r="S409" s="1"/>
      <c r="T409" s="1"/>
      <c r="U409" s="1"/>
      <c r="V409" s="1"/>
      <c r="W409" s="1"/>
      <c r="X409" s="1"/>
      <c r="Y409" s="1"/>
    </row>
    <row r="410">
      <c r="A410" s="17"/>
      <c r="B410" s="23"/>
      <c r="C410" s="1"/>
      <c r="D410" s="1"/>
      <c r="E410" s="1"/>
      <c r="F410" s="1"/>
      <c r="G410" s="1"/>
      <c r="H410" s="1"/>
      <c r="I410" s="1"/>
      <c r="J410" s="1"/>
      <c r="K410" s="1"/>
      <c r="L410" s="1"/>
      <c r="M410" s="1"/>
      <c r="N410" s="1"/>
      <c r="O410" s="1"/>
      <c r="P410" s="1"/>
      <c r="Q410" s="1"/>
      <c r="R410" s="1"/>
      <c r="S410" s="1"/>
      <c r="T410" s="1"/>
      <c r="U410" s="1"/>
      <c r="V410" s="1"/>
      <c r="W410" s="1"/>
      <c r="X410" s="1"/>
      <c r="Y410" s="1"/>
    </row>
    <row r="411">
      <c r="A411" s="17"/>
      <c r="B411" s="23"/>
      <c r="C411" s="1"/>
      <c r="D411" s="1"/>
      <c r="E411" s="1"/>
      <c r="F411" s="1"/>
      <c r="G411" s="1"/>
      <c r="H411" s="1"/>
      <c r="I411" s="1"/>
      <c r="J411" s="1"/>
      <c r="K411" s="1"/>
      <c r="L411" s="1"/>
      <c r="M411" s="1"/>
      <c r="N411" s="1"/>
      <c r="O411" s="1"/>
      <c r="P411" s="1"/>
      <c r="Q411" s="1"/>
      <c r="R411" s="1"/>
      <c r="S411" s="1"/>
      <c r="T411" s="1"/>
      <c r="U411" s="1"/>
      <c r="V411" s="1"/>
      <c r="W411" s="1"/>
      <c r="X411" s="1"/>
      <c r="Y411" s="1"/>
    </row>
    <row r="412">
      <c r="A412" s="17"/>
      <c r="B412" s="23"/>
      <c r="C412" s="1"/>
      <c r="D412" s="1"/>
      <c r="E412" s="1"/>
      <c r="F412" s="1"/>
      <c r="G412" s="1"/>
      <c r="H412" s="1"/>
      <c r="I412" s="1"/>
      <c r="J412" s="1"/>
      <c r="K412" s="1"/>
      <c r="L412" s="1"/>
      <c r="M412" s="1"/>
      <c r="N412" s="1"/>
      <c r="O412" s="1"/>
      <c r="P412" s="1"/>
      <c r="Q412" s="1"/>
      <c r="R412" s="1"/>
      <c r="S412" s="1"/>
      <c r="T412" s="1"/>
      <c r="U412" s="1"/>
      <c r="V412" s="1"/>
      <c r="W412" s="1"/>
      <c r="X412" s="1"/>
      <c r="Y412" s="1"/>
    </row>
    <row r="413">
      <c r="A413" s="17"/>
      <c r="B413" s="23"/>
      <c r="C413" s="1"/>
      <c r="D413" s="1"/>
      <c r="E413" s="1"/>
      <c r="F413" s="1"/>
      <c r="G413" s="1"/>
      <c r="H413" s="1"/>
      <c r="I413" s="1"/>
      <c r="J413" s="1"/>
      <c r="K413" s="1"/>
      <c r="L413" s="1"/>
      <c r="M413" s="1"/>
      <c r="N413" s="1"/>
      <c r="O413" s="1"/>
      <c r="P413" s="1"/>
      <c r="Q413" s="1"/>
      <c r="R413" s="1"/>
      <c r="S413" s="1"/>
      <c r="T413" s="1"/>
      <c r="U413" s="1"/>
      <c r="V413" s="1"/>
      <c r="W413" s="1"/>
      <c r="X413" s="1"/>
      <c r="Y413" s="1"/>
    </row>
    <row r="414">
      <c r="A414" s="17"/>
      <c r="B414" s="23"/>
      <c r="C414" s="1"/>
      <c r="D414" s="1"/>
      <c r="E414" s="1"/>
      <c r="F414" s="1"/>
      <c r="G414" s="1"/>
      <c r="H414" s="1"/>
      <c r="I414" s="1"/>
      <c r="J414" s="1"/>
      <c r="K414" s="1"/>
      <c r="L414" s="1"/>
      <c r="M414" s="1"/>
      <c r="N414" s="1"/>
      <c r="O414" s="1"/>
      <c r="P414" s="1"/>
      <c r="Q414" s="1"/>
      <c r="R414" s="1"/>
      <c r="S414" s="1"/>
      <c r="T414" s="1"/>
      <c r="U414" s="1"/>
      <c r="V414" s="1"/>
      <c r="W414" s="1"/>
      <c r="X414" s="1"/>
      <c r="Y414" s="1"/>
    </row>
    <row r="415">
      <c r="A415" s="17"/>
      <c r="B415" s="23"/>
      <c r="C415" s="1"/>
      <c r="D415" s="1"/>
      <c r="E415" s="1"/>
      <c r="F415" s="1"/>
      <c r="G415" s="1"/>
      <c r="H415" s="1"/>
      <c r="I415" s="1"/>
      <c r="J415" s="1"/>
      <c r="K415" s="1"/>
      <c r="L415" s="1"/>
      <c r="M415" s="1"/>
      <c r="N415" s="1"/>
      <c r="O415" s="1"/>
      <c r="P415" s="1"/>
      <c r="Q415" s="1"/>
      <c r="R415" s="1"/>
      <c r="S415" s="1"/>
      <c r="T415" s="1"/>
      <c r="U415" s="1"/>
      <c r="V415" s="1"/>
      <c r="W415" s="1"/>
      <c r="X415" s="1"/>
      <c r="Y415" s="1"/>
    </row>
    <row r="416">
      <c r="A416" s="17"/>
      <c r="B416" s="23"/>
      <c r="C416" s="1"/>
      <c r="D416" s="1"/>
      <c r="E416" s="1"/>
      <c r="F416" s="1"/>
      <c r="G416" s="1"/>
      <c r="H416" s="1"/>
      <c r="I416" s="1"/>
      <c r="J416" s="1"/>
      <c r="K416" s="1"/>
      <c r="L416" s="1"/>
      <c r="M416" s="1"/>
      <c r="N416" s="1"/>
      <c r="O416" s="1"/>
      <c r="P416" s="1"/>
      <c r="Q416" s="1"/>
      <c r="R416" s="1"/>
      <c r="S416" s="1"/>
      <c r="T416" s="1"/>
      <c r="U416" s="1"/>
      <c r="V416" s="1"/>
      <c r="W416" s="1"/>
      <c r="X416" s="1"/>
      <c r="Y416" s="1"/>
    </row>
    <row r="417">
      <c r="A417" s="17"/>
      <c r="B417" s="23"/>
      <c r="C417" s="1"/>
      <c r="D417" s="1"/>
      <c r="E417" s="1"/>
      <c r="F417" s="1"/>
      <c r="G417" s="1"/>
      <c r="H417" s="1"/>
      <c r="I417" s="1"/>
      <c r="J417" s="1"/>
      <c r="K417" s="1"/>
      <c r="L417" s="1"/>
      <c r="M417" s="1"/>
      <c r="N417" s="1"/>
      <c r="O417" s="1"/>
      <c r="P417" s="1"/>
      <c r="Q417" s="1"/>
      <c r="R417" s="1"/>
      <c r="S417" s="1"/>
      <c r="T417" s="1"/>
      <c r="U417" s="1"/>
      <c r="V417" s="1"/>
      <c r="W417" s="1"/>
      <c r="X417" s="1"/>
      <c r="Y417" s="1"/>
    </row>
    <row r="418">
      <c r="A418" s="17"/>
      <c r="B418" s="23"/>
      <c r="C418" s="1"/>
      <c r="D418" s="1"/>
      <c r="E418" s="1"/>
      <c r="F418" s="1"/>
      <c r="G418" s="1"/>
      <c r="H418" s="1"/>
      <c r="I418" s="1"/>
      <c r="J418" s="1"/>
      <c r="K418" s="1"/>
      <c r="L418" s="1"/>
      <c r="M418" s="1"/>
      <c r="N418" s="1"/>
      <c r="O418" s="1"/>
      <c r="P418" s="1"/>
      <c r="Q418" s="1"/>
      <c r="R418" s="1"/>
      <c r="S418" s="1"/>
      <c r="T418" s="1"/>
      <c r="U418" s="1"/>
      <c r="V418" s="1"/>
      <c r="W418" s="1"/>
      <c r="X418" s="1"/>
      <c r="Y418" s="1"/>
    </row>
    <row r="419">
      <c r="A419" s="17"/>
      <c r="B419" s="23"/>
      <c r="C419" s="1"/>
      <c r="D419" s="1"/>
      <c r="E419" s="1"/>
      <c r="F419" s="1"/>
      <c r="G419" s="1"/>
      <c r="H419" s="1"/>
      <c r="I419" s="1"/>
      <c r="J419" s="1"/>
      <c r="K419" s="1"/>
      <c r="L419" s="1"/>
      <c r="M419" s="1"/>
      <c r="N419" s="1"/>
      <c r="O419" s="1"/>
      <c r="P419" s="1"/>
      <c r="Q419" s="1"/>
      <c r="R419" s="1"/>
      <c r="S419" s="1"/>
      <c r="T419" s="1"/>
      <c r="U419" s="1"/>
      <c r="V419" s="1"/>
      <c r="W419" s="1"/>
      <c r="X419" s="1"/>
      <c r="Y419" s="1"/>
    </row>
    <row r="420">
      <c r="A420" s="17"/>
      <c r="B420" s="23"/>
      <c r="C420" s="1"/>
      <c r="D420" s="1"/>
      <c r="E420" s="1"/>
      <c r="F420" s="1"/>
      <c r="G420" s="1"/>
      <c r="H420" s="1"/>
      <c r="I420" s="1"/>
      <c r="J420" s="1"/>
      <c r="K420" s="1"/>
      <c r="L420" s="1"/>
      <c r="M420" s="1"/>
      <c r="N420" s="1"/>
      <c r="O420" s="1"/>
      <c r="P420" s="1"/>
      <c r="Q420" s="1"/>
      <c r="R420" s="1"/>
      <c r="S420" s="1"/>
      <c r="T420" s="1"/>
      <c r="U420" s="1"/>
      <c r="V420" s="1"/>
      <c r="W420" s="1"/>
      <c r="X420" s="1"/>
      <c r="Y420" s="1"/>
    </row>
    <row r="421">
      <c r="A421" s="17"/>
      <c r="B421" s="23"/>
      <c r="C421" s="1"/>
      <c r="D421" s="1"/>
      <c r="E421" s="1"/>
      <c r="F421" s="1"/>
      <c r="G421" s="1"/>
      <c r="H421" s="1"/>
      <c r="I421" s="1"/>
      <c r="J421" s="1"/>
      <c r="K421" s="1"/>
      <c r="L421" s="1"/>
      <c r="M421" s="1"/>
      <c r="N421" s="1"/>
      <c r="O421" s="1"/>
      <c r="P421" s="1"/>
      <c r="Q421" s="1"/>
      <c r="R421" s="1"/>
      <c r="S421" s="1"/>
      <c r="T421" s="1"/>
      <c r="U421" s="1"/>
      <c r="V421" s="1"/>
      <c r="W421" s="1"/>
      <c r="X421" s="1"/>
      <c r="Y421" s="1"/>
    </row>
    <row r="422">
      <c r="A422" s="17"/>
      <c r="B422" s="23"/>
      <c r="C422" s="1"/>
      <c r="D422" s="1"/>
      <c r="E422" s="1"/>
      <c r="F422" s="1"/>
      <c r="G422" s="1"/>
      <c r="H422" s="1"/>
      <c r="I422" s="1"/>
      <c r="J422" s="1"/>
      <c r="K422" s="1"/>
      <c r="L422" s="1"/>
      <c r="M422" s="1"/>
      <c r="N422" s="1"/>
      <c r="O422" s="1"/>
      <c r="P422" s="1"/>
      <c r="Q422" s="1"/>
      <c r="R422" s="1"/>
      <c r="S422" s="1"/>
      <c r="T422" s="1"/>
      <c r="U422" s="1"/>
      <c r="V422" s="1"/>
      <c r="W422" s="1"/>
      <c r="X422" s="1"/>
      <c r="Y422" s="1"/>
    </row>
    <row r="423">
      <c r="A423" s="17"/>
      <c r="B423" s="23"/>
      <c r="C423" s="1"/>
      <c r="D423" s="1"/>
      <c r="E423" s="1"/>
      <c r="F423" s="1"/>
      <c r="G423" s="1"/>
      <c r="H423" s="1"/>
      <c r="I423" s="1"/>
      <c r="J423" s="1"/>
      <c r="K423" s="1"/>
      <c r="L423" s="1"/>
      <c r="M423" s="1"/>
      <c r="N423" s="1"/>
      <c r="O423" s="1"/>
      <c r="P423" s="1"/>
      <c r="Q423" s="1"/>
      <c r="R423" s="1"/>
      <c r="S423" s="1"/>
      <c r="T423" s="1"/>
      <c r="U423" s="1"/>
      <c r="V423" s="1"/>
      <c r="W423" s="1"/>
      <c r="X423" s="1"/>
      <c r="Y423" s="1"/>
    </row>
    <row r="424">
      <c r="A424" s="17"/>
      <c r="B424" s="23"/>
      <c r="C424" s="1"/>
      <c r="D424" s="1"/>
      <c r="E424" s="1"/>
      <c r="F424" s="1"/>
      <c r="G424" s="1"/>
      <c r="H424" s="1"/>
      <c r="I424" s="1"/>
      <c r="J424" s="1"/>
      <c r="K424" s="1"/>
      <c r="L424" s="1"/>
      <c r="M424" s="1"/>
      <c r="N424" s="1"/>
      <c r="O424" s="1"/>
      <c r="P424" s="1"/>
      <c r="Q424" s="1"/>
      <c r="R424" s="1"/>
      <c r="S424" s="1"/>
      <c r="T424" s="1"/>
      <c r="U424" s="1"/>
      <c r="V424" s="1"/>
      <c r="W424" s="1"/>
      <c r="X424" s="1"/>
      <c r="Y424" s="1"/>
    </row>
    <row r="425">
      <c r="A425" s="17"/>
      <c r="B425" s="23"/>
      <c r="C425" s="1"/>
      <c r="D425" s="1"/>
      <c r="E425" s="1"/>
      <c r="F425" s="1"/>
      <c r="G425" s="1"/>
      <c r="H425" s="1"/>
      <c r="I425" s="1"/>
      <c r="J425" s="1"/>
      <c r="K425" s="1"/>
      <c r="L425" s="1"/>
      <c r="M425" s="1"/>
      <c r="N425" s="1"/>
      <c r="O425" s="1"/>
      <c r="P425" s="1"/>
      <c r="Q425" s="1"/>
      <c r="R425" s="1"/>
      <c r="S425" s="1"/>
      <c r="T425" s="1"/>
      <c r="U425" s="1"/>
      <c r="V425" s="1"/>
      <c r="W425" s="1"/>
      <c r="X425" s="1"/>
      <c r="Y425" s="1"/>
    </row>
    <row r="426">
      <c r="A426" s="17"/>
      <c r="B426" s="23"/>
      <c r="C426" s="1"/>
      <c r="D426" s="1"/>
      <c r="E426" s="1"/>
      <c r="F426" s="1"/>
      <c r="G426" s="1"/>
      <c r="H426" s="1"/>
      <c r="I426" s="1"/>
      <c r="J426" s="1"/>
      <c r="K426" s="1"/>
      <c r="L426" s="1"/>
      <c r="M426" s="1"/>
      <c r="N426" s="1"/>
      <c r="O426" s="1"/>
      <c r="P426" s="1"/>
      <c r="Q426" s="1"/>
      <c r="R426" s="1"/>
      <c r="S426" s="1"/>
      <c r="T426" s="1"/>
      <c r="U426" s="1"/>
      <c r="V426" s="1"/>
      <c r="W426" s="1"/>
      <c r="X426" s="1"/>
      <c r="Y426" s="1"/>
    </row>
    <row r="427">
      <c r="A427" s="17"/>
      <c r="B427" s="23"/>
      <c r="C427" s="1"/>
      <c r="D427" s="1"/>
      <c r="E427" s="1"/>
      <c r="F427" s="1"/>
      <c r="G427" s="1"/>
      <c r="H427" s="1"/>
      <c r="I427" s="1"/>
      <c r="J427" s="1"/>
      <c r="K427" s="1"/>
      <c r="L427" s="1"/>
      <c r="M427" s="1"/>
      <c r="N427" s="1"/>
      <c r="O427" s="1"/>
      <c r="P427" s="1"/>
      <c r="Q427" s="1"/>
      <c r="R427" s="1"/>
      <c r="S427" s="1"/>
      <c r="T427" s="1"/>
      <c r="U427" s="1"/>
      <c r="V427" s="1"/>
      <c r="W427" s="1"/>
      <c r="X427" s="1"/>
      <c r="Y427" s="1"/>
    </row>
    <row r="428">
      <c r="A428" s="17"/>
      <c r="B428" s="23"/>
      <c r="C428" s="1"/>
      <c r="D428" s="1"/>
      <c r="E428" s="1"/>
      <c r="F428" s="1"/>
      <c r="G428" s="1"/>
      <c r="H428" s="1"/>
      <c r="I428" s="1"/>
      <c r="J428" s="1"/>
      <c r="K428" s="1"/>
      <c r="L428" s="1"/>
      <c r="M428" s="1"/>
      <c r="N428" s="1"/>
      <c r="O428" s="1"/>
      <c r="P428" s="1"/>
      <c r="Q428" s="1"/>
      <c r="R428" s="1"/>
      <c r="S428" s="1"/>
      <c r="T428" s="1"/>
      <c r="U428" s="1"/>
      <c r="V428" s="1"/>
      <c r="W428" s="1"/>
      <c r="X428" s="1"/>
      <c r="Y428" s="1"/>
    </row>
    <row r="429">
      <c r="A429" s="17"/>
      <c r="B429" s="23"/>
      <c r="C429" s="1"/>
      <c r="D429" s="1"/>
      <c r="E429" s="1"/>
      <c r="F429" s="1"/>
      <c r="G429" s="1"/>
      <c r="H429" s="1"/>
      <c r="I429" s="1"/>
      <c r="J429" s="1"/>
      <c r="K429" s="1"/>
      <c r="L429" s="1"/>
      <c r="M429" s="1"/>
      <c r="N429" s="1"/>
      <c r="O429" s="1"/>
      <c r="P429" s="1"/>
      <c r="Q429" s="1"/>
      <c r="R429" s="1"/>
      <c r="S429" s="1"/>
      <c r="T429" s="1"/>
      <c r="U429" s="1"/>
      <c r="V429" s="1"/>
      <c r="W429" s="1"/>
      <c r="X429" s="1"/>
      <c r="Y429" s="1"/>
    </row>
    <row r="430">
      <c r="A430" s="17"/>
      <c r="B430" s="23"/>
      <c r="C430" s="1"/>
      <c r="D430" s="1"/>
      <c r="E430" s="1"/>
      <c r="F430" s="1"/>
      <c r="G430" s="1"/>
      <c r="H430" s="1"/>
      <c r="I430" s="1"/>
      <c r="J430" s="1"/>
      <c r="K430" s="1"/>
      <c r="L430" s="1"/>
      <c r="M430" s="1"/>
      <c r="N430" s="1"/>
      <c r="O430" s="1"/>
      <c r="P430" s="1"/>
      <c r="Q430" s="1"/>
      <c r="R430" s="1"/>
      <c r="S430" s="1"/>
      <c r="T430" s="1"/>
      <c r="U430" s="1"/>
      <c r="V430" s="1"/>
      <c r="W430" s="1"/>
      <c r="X430" s="1"/>
      <c r="Y430" s="1"/>
    </row>
    <row r="431">
      <c r="A431" s="17"/>
      <c r="B431" s="23"/>
      <c r="C431" s="1"/>
      <c r="D431" s="1"/>
      <c r="E431" s="1"/>
      <c r="F431" s="1"/>
      <c r="G431" s="1"/>
      <c r="H431" s="1"/>
      <c r="I431" s="1"/>
      <c r="J431" s="1"/>
      <c r="K431" s="1"/>
      <c r="L431" s="1"/>
      <c r="M431" s="1"/>
      <c r="N431" s="1"/>
      <c r="O431" s="1"/>
      <c r="P431" s="1"/>
      <c r="Q431" s="1"/>
      <c r="R431" s="1"/>
      <c r="S431" s="1"/>
      <c r="T431" s="1"/>
      <c r="U431" s="1"/>
      <c r="V431" s="1"/>
      <c r="W431" s="1"/>
      <c r="X431" s="1"/>
      <c r="Y431" s="1"/>
    </row>
    <row r="432">
      <c r="A432" s="17"/>
      <c r="B432" s="23"/>
      <c r="C432" s="1"/>
      <c r="D432" s="1"/>
      <c r="E432" s="1"/>
      <c r="F432" s="1"/>
      <c r="G432" s="1"/>
      <c r="H432" s="1"/>
      <c r="I432" s="1"/>
      <c r="J432" s="1"/>
      <c r="K432" s="1"/>
      <c r="L432" s="1"/>
      <c r="M432" s="1"/>
      <c r="N432" s="1"/>
      <c r="O432" s="1"/>
      <c r="P432" s="1"/>
      <c r="Q432" s="1"/>
      <c r="R432" s="1"/>
      <c r="S432" s="1"/>
      <c r="T432" s="1"/>
      <c r="U432" s="1"/>
      <c r="V432" s="1"/>
      <c r="W432" s="1"/>
      <c r="X432" s="1"/>
      <c r="Y432" s="1"/>
    </row>
    <row r="433">
      <c r="A433" s="17"/>
      <c r="B433" s="23"/>
      <c r="C433" s="1"/>
      <c r="D433" s="1"/>
      <c r="E433" s="1"/>
      <c r="F433" s="1"/>
      <c r="G433" s="1"/>
      <c r="H433" s="1"/>
      <c r="I433" s="1"/>
      <c r="J433" s="1"/>
      <c r="K433" s="1"/>
      <c r="L433" s="1"/>
      <c r="M433" s="1"/>
      <c r="N433" s="1"/>
      <c r="O433" s="1"/>
      <c r="P433" s="1"/>
      <c r="Q433" s="1"/>
      <c r="R433" s="1"/>
      <c r="S433" s="1"/>
      <c r="T433" s="1"/>
      <c r="U433" s="1"/>
      <c r="V433" s="1"/>
      <c r="W433" s="1"/>
      <c r="X433" s="1"/>
      <c r="Y433" s="1"/>
    </row>
    <row r="434">
      <c r="A434" s="17"/>
      <c r="B434" s="23"/>
      <c r="C434" s="1"/>
      <c r="D434" s="1"/>
      <c r="E434" s="1"/>
      <c r="F434" s="1"/>
      <c r="G434" s="1"/>
      <c r="H434" s="1"/>
      <c r="I434" s="1"/>
      <c r="J434" s="1"/>
      <c r="K434" s="1"/>
      <c r="L434" s="1"/>
      <c r="M434" s="1"/>
      <c r="N434" s="1"/>
      <c r="O434" s="1"/>
      <c r="P434" s="1"/>
      <c r="Q434" s="1"/>
      <c r="R434" s="1"/>
      <c r="S434" s="1"/>
      <c r="T434" s="1"/>
      <c r="U434" s="1"/>
      <c r="V434" s="1"/>
      <c r="W434" s="1"/>
      <c r="X434" s="1"/>
      <c r="Y434" s="1"/>
    </row>
    <row r="435">
      <c r="A435" s="17"/>
      <c r="B435" s="23"/>
      <c r="C435" s="1"/>
      <c r="D435" s="1"/>
      <c r="E435" s="1"/>
      <c r="F435" s="1"/>
      <c r="G435" s="1"/>
      <c r="H435" s="1"/>
      <c r="I435" s="1"/>
      <c r="J435" s="1"/>
      <c r="K435" s="1"/>
      <c r="L435" s="1"/>
      <c r="M435" s="1"/>
      <c r="N435" s="1"/>
      <c r="O435" s="1"/>
      <c r="P435" s="1"/>
      <c r="Q435" s="1"/>
      <c r="R435" s="1"/>
      <c r="S435" s="1"/>
      <c r="T435" s="1"/>
      <c r="U435" s="1"/>
      <c r="V435" s="1"/>
      <c r="W435" s="1"/>
      <c r="X435" s="1"/>
      <c r="Y435" s="1"/>
    </row>
    <row r="436">
      <c r="A436" s="17"/>
      <c r="B436" s="23"/>
      <c r="C436" s="1"/>
      <c r="D436" s="1"/>
      <c r="E436" s="1"/>
      <c r="F436" s="1"/>
      <c r="G436" s="1"/>
      <c r="H436" s="1"/>
      <c r="I436" s="1"/>
      <c r="J436" s="1"/>
      <c r="K436" s="1"/>
      <c r="L436" s="1"/>
      <c r="M436" s="1"/>
      <c r="N436" s="1"/>
      <c r="O436" s="1"/>
      <c r="P436" s="1"/>
      <c r="Q436" s="1"/>
      <c r="R436" s="1"/>
      <c r="S436" s="1"/>
      <c r="T436" s="1"/>
      <c r="U436" s="1"/>
      <c r="V436" s="1"/>
      <c r="W436" s="1"/>
      <c r="X436" s="1"/>
      <c r="Y436" s="1"/>
    </row>
    <row r="437">
      <c r="A437" s="17"/>
      <c r="B437" s="23"/>
      <c r="C437" s="1"/>
      <c r="D437" s="1"/>
      <c r="E437" s="1"/>
      <c r="F437" s="1"/>
      <c r="G437" s="1"/>
      <c r="H437" s="1"/>
      <c r="I437" s="1"/>
      <c r="J437" s="1"/>
      <c r="K437" s="1"/>
      <c r="L437" s="1"/>
      <c r="M437" s="1"/>
      <c r="N437" s="1"/>
      <c r="O437" s="1"/>
      <c r="P437" s="1"/>
      <c r="Q437" s="1"/>
      <c r="R437" s="1"/>
      <c r="S437" s="1"/>
      <c r="T437" s="1"/>
      <c r="U437" s="1"/>
      <c r="V437" s="1"/>
      <c r="W437" s="1"/>
      <c r="X437" s="1"/>
      <c r="Y437" s="1"/>
    </row>
    <row r="438">
      <c r="A438" s="17"/>
      <c r="B438" s="23"/>
      <c r="C438" s="1"/>
      <c r="D438" s="1"/>
      <c r="E438" s="1"/>
      <c r="F438" s="1"/>
      <c r="G438" s="1"/>
      <c r="H438" s="1"/>
      <c r="I438" s="1"/>
      <c r="J438" s="1"/>
      <c r="K438" s="1"/>
      <c r="L438" s="1"/>
      <c r="M438" s="1"/>
      <c r="N438" s="1"/>
      <c r="O438" s="1"/>
      <c r="P438" s="1"/>
      <c r="Q438" s="1"/>
      <c r="R438" s="1"/>
      <c r="S438" s="1"/>
      <c r="T438" s="1"/>
      <c r="U438" s="1"/>
      <c r="V438" s="1"/>
      <c r="W438" s="1"/>
      <c r="X438" s="1"/>
      <c r="Y438" s="1"/>
    </row>
    <row r="439">
      <c r="A439" s="17"/>
      <c r="B439" s="23"/>
      <c r="C439" s="1"/>
      <c r="D439" s="1"/>
      <c r="E439" s="1"/>
      <c r="F439" s="1"/>
      <c r="G439" s="1"/>
      <c r="H439" s="1"/>
      <c r="I439" s="1"/>
      <c r="J439" s="1"/>
      <c r="K439" s="1"/>
      <c r="L439" s="1"/>
      <c r="M439" s="1"/>
      <c r="N439" s="1"/>
      <c r="O439" s="1"/>
      <c r="P439" s="1"/>
      <c r="Q439" s="1"/>
      <c r="R439" s="1"/>
      <c r="S439" s="1"/>
      <c r="T439" s="1"/>
      <c r="U439" s="1"/>
      <c r="V439" s="1"/>
      <c r="W439" s="1"/>
      <c r="X439" s="1"/>
      <c r="Y439" s="1"/>
    </row>
    <row r="440">
      <c r="A440" s="17"/>
      <c r="B440" s="23"/>
      <c r="C440" s="1"/>
      <c r="D440" s="1"/>
      <c r="E440" s="1"/>
      <c r="F440" s="1"/>
      <c r="G440" s="1"/>
      <c r="H440" s="1"/>
      <c r="I440" s="1"/>
      <c r="J440" s="1"/>
      <c r="K440" s="1"/>
      <c r="L440" s="1"/>
      <c r="M440" s="1"/>
      <c r="N440" s="1"/>
      <c r="O440" s="1"/>
      <c r="P440" s="1"/>
      <c r="Q440" s="1"/>
      <c r="R440" s="1"/>
      <c r="S440" s="1"/>
      <c r="T440" s="1"/>
      <c r="U440" s="1"/>
      <c r="V440" s="1"/>
      <c r="W440" s="1"/>
      <c r="X440" s="1"/>
      <c r="Y440" s="1"/>
    </row>
    <row r="441">
      <c r="A441" s="17"/>
      <c r="B441" s="23"/>
      <c r="C441" s="1"/>
      <c r="D441" s="1"/>
      <c r="E441" s="1"/>
      <c r="F441" s="1"/>
      <c r="G441" s="1"/>
      <c r="H441" s="1"/>
      <c r="I441" s="1"/>
      <c r="J441" s="1"/>
      <c r="K441" s="1"/>
      <c r="L441" s="1"/>
      <c r="M441" s="1"/>
      <c r="N441" s="1"/>
      <c r="O441" s="1"/>
      <c r="P441" s="1"/>
      <c r="Q441" s="1"/>
      <c r="R441" s="1"/>
      <c r="S441" s="1"/>
      <c r="T441" s="1"/>
      <c r="U441" s="1"/>
      <c r="V441" s="1"/>
      <c r="W441" s="1"/>
      <c r="X441" s="1"/>
      <c r="Y441" s="1"/>
    </row>
    <row r="442">
      <c r="A442" s="17"/>
      <c r="B442" s="23"/>
      <c r="C442" s="1"/>
      <c r="D442" s="1"/>
      <c r="E442" s="1"/>
      <c r="F442" s="1"/>
      <c r="G442" s="1"/>
      <c r="H442" s="1"/>
      <c r="I442" s="1"/>
      <c r="J442" s="1"/>
      <c r="K442" s="1"/>
      <c r="L442" s="1"/>
      <c r="M442" s="1"/>
      <c r="N442" s="1"/>
      <c r="O442" s="1"/>
      <c r="P442" s="1"/>
      <c r="Q442" s="1"/>
      <c r="R442" s="1"/>
      <c r="S442" s="1"/>
      <c r="T442" s="1"/>
      <c r="U442" s="1"/>
      <c r="V442" s="1"/>
      <c r="W442" s="1"/>
      <c r="X442" s="1"/>
      <c r="Y442" s="1"/>
    </row>
    <row r="443">
      <c r="A443" s="17"/>
      <c r="B443" s="23"/>
      <c r="C443" s="1"/>
      <c r="D443" s="1"/>
      <c r="E443" s="1"/>
      <c r="F443" s="1"/>
      <c r="G443" s="1"/>
      <c r="H443" s="1"/>
      <c r="I443" s="1"/>
      <c r="J443" s="1"/>
      <c r="K443" s="1"/>
      <c r="L443" s="1"/>
      <c r="M443" s="1"/>
      <c r="N443" s="1"/>
      <c r="O443" s="1"/>
      <c r="P443" s="1"/>
      <c r="Q443" s="1"/>
      <c r="R443" s="1"/>
      <c r="S443" s="1"/>
      <c r="T443" s="1"/>
      <c r="U443" s="1"/>
      <c r="V443" s="1"/>
      <c r="W443" s="1"/>
      <c r="X443" s="1"/>
      <c r="Y443" s="1"/>
    </row>
    <row r="444">
      <c r="A444" s="17"/>
      <c r="B444" s="23"/>
      <c r="C444" s="1"/>
      <c r="D444" s="1"/>
      <c r="E444" s="1"/>
      <c r="F444" s="1"/>
      <c r="G444" s="1"/>
      <c r="H444" s="1"/>
      <c r="I444" s="1"/>
      <c r="J444" s="1"/>
      <c r="K444" s="1"/>
      <c r="L444" s="1"/>
      <c r="M444" s="1"/>
      <c r="N444" s="1"/>
      <c r="O444" s="1"/>
      <c r="P444" s="1"/>
      <c r="Q444" s="1"/>
      <c r="R444" s="1"/>
      <c r="S444" s="1"/>
      <c r="T444" s="1"/>
      <c r="U444" s="1"/>
      <c r="V444" s="1"/>
      <c r="W444" s="1"/>
      <c r="X444" s="1"/>
      <c r="Y444" s="1"/>
    </row>
    <row r="445">
      <c r="A445" s="17"/>
      <c r="B445" s="23"/>
      <c r="C445" s="1"/>
      <c r="D445" s="1"/>
      <c r="E445" s="1"/>
      <c r="F445" s="1"/>
      <c r="G445" s="1"/>
      <c r="H445" s="1"/>
      <c r="I445" s="1"/>
      <c r="J445" s="1"/>
      <c r="K445" s="1"/>
      <c r="L445" s="1"/>
      <c r="M445" s="1"/>
      <c r="N445" s="1"/>
      <c r="O445" s="1"/>
      <c r="P445" s="1"/>
      <c r="Q445" s="1"/>
      <c r="R445" s="1"/>
      <c r="S445" s="1"/>
      <c r="T445" s="1"/>
      <c r="U445" s="1"/>
      <c r="V445" s="1"/>
      <c r="W445" s="1"/>
      <c r="X445" s="1"/>
      <c r="Y445" s="1"/>
    </row>
    <row r="446">
      <c r="A446" s="17"/>
      <c r="B446" s="23"/>
      <c r="C446" s="1"/>
      <c r="D446" s="1"/>
      <c r="E446" s="1"/>
      <c r="F446" s="1"/>
      <c r="G446" s="1"/>
      <c r="H446" s="1"/>
      <c r="I446" s="1"/>
      <c r="J446" s="1"/>
      <c r="K446" s="1"/>
      <c r="L446" s="1"/>
      <c r="M446" s="1"/>
      <c r="N446" s="1"/>
      <c r="O446" s="1"/>
      <c r="P446" s="1"/>
      <c r="Q446" s="1"/>
      <c r="R446" s="1"/>
      <c r="S446" s="1"/>
      <c r="T446" s="1"/>
      <c r="U446" s="1"/>
      <c r="V446" s="1"/>
      <c r="W446" s="1"/>
      <c r="X446" s="1"/>
      <c r="Y446" s="1"/>
    </row>
    <row r="447">
      <c r="A447" s="17"/>
      <c r="B447" s="23"/>
      <c r="C447" s="1"/>
      <c r="D447" s="1"/>
      <c r="E447" s="1"/>
      <c r="F447" s="1"/>
      <c r="G447" s="1"/>
      <c r="H447" s="1"/>
      <c r="I447" s="1"/>
      <c r="J447" s="1"/>
      <c r="K447" s="1"/>
      <c r="L447" s="1"/>
      <c r="M447" s="1"/>
      <c r="N447" s="1"/>
      <c r="O447" s="1"/>
      <c r="P447" s="1"/>
      <c r="Q447" s="1"/>
      <c r="R447" s="1"/>
      <c r="S447" s="1"/>
      <c r="T447" s="1"/>
      <c r="U447" s="1"/>
      <c r="V447" s="1"/>
      <c r="W447" s="1"/>
      <c r="X447" s="1"/>
      <c r="Y447" s="1"/>
    </row>
    <row r="448">
      <c r="A448" s="17"/>
      <c r="B448" s="23"/>
      <c r="C448" s="1"/>
      <c r="D448" s="1"/>
      <c r="E448" s="1"/>
      <c r="F448" s="1"/>
      <c r="G448" s="1"/>
      <c r="H448" s="1"/>
      <c r="I448" s="1"/>
      <c r="J448" s="1"/>
      <c r="K448" s="1"/>
      <c r="L448" s="1"/>
      <c r="M448" s="1"/>
      <c r="N448" s="1"/>
      <c r="O448" s="1"/>
      <c r="P448" s="1"/>
      <c r="Q448" s="1"/>
      <c r="R448" s="1"/>
      <c r="S448" s="1"/>
      <c r="T448" s="1"/>
      <c r="U448" s="1"/>
      <c r="V448" s="1"/>
      <c r="W448" s="1"/>
      <c r="X448" s="1"/>
      <c r="Y448" s="1"/>
    </row>
    <row r="449">
      <c r="A449" s="17"/>
      <c r="B449" s="23"/>
      <c r="C449" s="1"/>
      <c r="D449" s="1"/>
      <c r="E449" s="1"/>
      <c r="F449" s="1"/>
      <c r="G449" s="1"/>
      <c r="H449" s="1"/>
      <c r="I449" s="1"/>
      <c r="J449" s="1"/>
      <c r="K449" s="1"/>
      <c r="L449" s="1"/>
      <c r="M449" s="1"/>
      <c r="N449" s="1"/>
      <c r="O449" s="1"/>
      <c r="P449" s="1"/>
      <c r="Q449" s="1"/>
      <c r="R449" s="1"/>
      <c r="S449" s="1"/>
      <c r="T449" s="1"/>
      <c r="U449" s="1"/>
      <c r="V449" s="1"/>
      <c r="W449" s="1"/>
      <c r="X449" s="1"/>
      <c r="Y449" s="1"/>
    </row>
    <row r="450">
      <c r="A450" s="17"/>
      <c r="B450" s="23"/>
      <c r="C450" s="1"/>
      <c r="D450" s="1"/>
      <c r="E450" s="1"/>
      <c r="F450" s="1"/>
      <c r="G450" s="1"/>
      <c r="H450" s="1"/>
      <c r="I450" s="1"/>
      <c r="J450" s="1"/>
      <c r="K450" s="1"/>
      <c r="L450" s="1"/>
      <c r="M450" s="1"/>
      <c r="N450" s="1"/>
      <c r="O450" s="1"/>
      <c r="P450" s="1"/>
      <c r="Q450" s="1"/>
      <c r="R450" s="1"/>
      <c r="S450" s="1"/>
      <c r="T450" s="1"/>
      <c r="U450" s="1"/>
      <c r="V450" s="1"/>
      <c r="W450" s="1"/>
      <c r="X450" s="1"/>
      <c r="Y450" s="1"/>
    </row>
    <row r="451">
      <c r="A451" s="17"/>
      <c r="B451" s="23"/>
      <c r="C451" s="1"/>
      <c r="D451" s="1"/>
      <c r="E451" s="1"/>
      <c r="F451" s="1"/>
      <c r="G451" s="1"/>
      <c r="H451" s="1"/>
      <c r="I451" s="1"/>
      <c r="J451" s="1"/>
      <c r="K451" s="1"/>
      <c r="L451" s="1"/>
      <c r="M451" s="1"/>
      <c r="N451" s="1"/>
      <c r="O451" s="1"/>
      <c r="P451" s="1"/>
      <c r="Q451" s="1"/>
      <c r="R451" s="1"/>
      <c r="S451" s="1"/>
      <c r="T451" s="1"/>
      <c r="U451" s="1"/>
      <c r="V451" s="1"/>
      <c r="W451" s="1"/>
      <c r="X451" s="1"/>
      <c r="Y451" s="1"/>
    </row>
    <row r="452">
      <c r="A452" s="17"/>
      <c r="B452" s="23"/>
      <c r="C452" s="1"/>
      <c r="D452" s="1"/>
      <c r="E452" s="1"/>
      <c r="F452" s="1"/>
      <c r="G452" s="1"/>
      <c r="H452" s="1"/>
      <c r="I452" s="1"/>
      <c r="J452" s="1"/>
      <c r="K452" s="1"/>
      <c r="L452" s="1"/>
      <c r="M452" s="1"/>
      <c r="N452" s="1"/>
      <c r="O452" s="1"/>
      <c r="P452" s="1"/>
      <c r="Q452" s="1"/>
      <c r="R452" s="1"/>
      <c r="S452" s="1"/>
      <c r="T452" s="1"/>
      <c r="U452" s="1"/>
      <c r="V452" s="1"/>
      <c r="W452" s="1"/>
      <c r="X452" s="1"/>
      <c r="Y452" s="1"/>
    </row>
    <row r="453">
      <c r="A453" s="17"/>
      <c r="B453" s="23"/>
      <c r="C453" s="1"/>
      <c r="D453" s="1"/>
      <c r="E453" s="1"/>
      <c r="F453" s="1"/>
      <c r="G453" s="1"/>
      <c r="H453" s="1"/>
      <c r="I453" s="1"/>
      <c r="J453" s="1"/>
      <c r="K453" s="1"/>
      <c r="L453" s="1"/>
      <c r="M453" s="1"/>
      <c r="N453" s="1"/>
      <c r="O453" s="1"/>
      <c r="P453" s="1"/>
      <c r="Q453" s="1"/>
      <c r="R453" s="1"/>
      <c r="S453" s="1"/>
      <c r="T453" s="1"/>
      <c r="U453" s="1"/>
      <c r="V453" s="1"/>
      <c r="W453" s="1"/>
      <c r="X453" s="1"/>
      <c r="Y453" s="1"/>
    </row>
    <row r="454">
      <c r="A454" s="17"/>
      <c r="B454" s="23"/>
      <c r="C454" s="1"/>
      <c r="D454" s="1"/>
      <c r="E454" s="1"/>
      <c r="F454" s="1"/>
      <c r="G454" s="1"/>
      <c r="H454" s="1"/>
      <c r="I454" s="1"/>
      <c r="J454" s="1"/>
      <c r="K454" s="1"/>
      <c r="L454" s="1"/>
      <c r="M454" s="1"/>
      <c r="N454" s="1"/>
      <c r="O454" s="1"/>
      <c r="P454" s="1"/>
      <c r="Q454" s="1"/>
      <c r="R454" s="1"/>
      <c r="S454" s="1"/>
      <c r="T454" s="1"/>
      <c r="U454" s="1"/>
      <c r="V454" s="1"/>
      <c r="W454" s="1"/>
      <c r="X454" s="1"/>
      <c r="Y454" s="1"/>
    </row>
    <row r="455">
      <c r="A455" s="17"/>
      <c r="B455" s="23"/>
      <c r="C455" s="1"/>
      <c r="D455" s="1"/>
      <c r="E455" s="1"/>
      <c r="F455" s="1"/>
      <c r="G455" s="1"/>
      <c r="H455" s="1"/>
      <c r="I455" s="1"/>
      <c r="J455" s="1"/>
      <c r="K455" s="1"/>
      <c r="L455" s="1"/>
      <c r="M455" s="1"/>
      <c r="N455" s="1"/>
      <c r="O455" s="1"/>
      <c r="P455" s="1"/>
      <c r="Q455" s="1"/>
      <c r="R455" s="1"/>
      <c r="S455" s="1"/>
      <c r="T455" s="1"/>
      <c r="U455" s="1"/>
      <c r="V455" s="1"/>
      <c r="W455" s="1"/>
      <c r="X455" s="1"/>
      <c r="Y455" s="1"/>
    </row>
    <row r="456">
      <c r="A456" s="17"/>
      <c r="B456" s="23"/>
      <c r="C456" s="1"/>
      <c r="D456" s="1"/>
      <c r="E456" s="1"/>
      <c r="F456" s="1"/>
      <c r="G456" s="1"/>
      <c r="H456" s="1"/>
      <c r="I456" s="1"/>
      <c r="J456" s="1"/>
      <c r="K456" s="1"/>
      <c r="L456" s="1"/>
      <c r="M456" s="1"/>
      <c r="N456" s="1"/>
      <c r="O456" s="1"/>
      <c r="P456" s="1"/>
      <c r="Q456" s="1"/>
      <c r="R456" s="1"/>
      <c r="S456" s="1"/>
      <c r="T456" s="1"/>
      <c r="U456" s="1"/>
      <c r="V456" s="1"/>
      <c r="W456" s="1"/>
      <c r="X456" s="1"/>
      <c r="Y456" s="1"/>
    </row>
    <row r="457">
      <c r="A457" s="17"/>
      <c r="B457" s="23"/>
      <c r="C457" s="1"/>
      <c r="D457" s="1"/>
      <c r="E457" s="1"/>
      <c r="F457" s="1"/>
      <c r="G457" s="1"/>
      <c r="H457" s="1"/>
      <c r="I457" s="1"/>
      <c r="J457" s="1"/>
      <c r="K457" s="1"/>
      <c r="L457" s="1"/>
      <c r="M457" s="1"/>
      <c r="N457" s="1"/>
      <c r="O457" s="1"/>
      <c r="P457" s="1"/>
      <c r="Q457" s="1"/>
      <c r="R457" s="1"/>
      <c r="S457" s="1"/>
      <c r="T457" s="1"/>
      <c r="U457" s="1"/>
      <c r="V457" s="1"/>
      <c r="W457" s="1"/>
      <c r="X457" s="1"/>
      <c r="Y457" s="1"/>
    </row>
    <row r="458">
      <c r="A458" s="17"/>
      <c r="B458" s="23"/>
      <c r="C458" s="1"/>
      <c r="D458" s="1"/>
      <c r="E458" s="1"/>
      <c r="F458" s="1"/>
      <c r="G458" s="1"/>
      <c r="H458" s="1"/>
      <c r="I458" s="1"/>
      <c r="J458" s="1"/>
      <c r="K458" s="1"/>
      <c r="L458" s="1"/>
      <c r="M458" s="1"/>
      <c r="N458" s="1"/>
      <c r="O458" s="1"/>
      <c r="P458" s="1"/>
      <c r="Q458" s="1"/>
      <c r="R458" s="1"/>
      <c r="S458" s="1"/>
      <c r="T458" s="1"/>
      <c r="U458" s="1"/>
      <c r="V458" s="1"/>
      <c r="W458" s="1"/>
      <c r="X458" s="1"/>
      <c r="Y458" s="1"/>
    </row>
    <row r="459">
      <c r="A459" s="17"/>
      <c r="B459" s="23"/>
      <c r="C459" s="1"/>
      <c r="D459" s="1"/>
      <c r="E459" s="1"/>
      <c r="F459" s="1"/>
      <c r="G459" s="1"/>
      <c r="H459" s="1"/>
      <c r="I459" s="1"/>
      <c r="J459" s="1"/>
      <c r="K459" s="1"/>
      <c r="L459" s="1"/>
      <c r="M459" s="1"/>
      <c r="N459" s="1"/>
      <c r="O459" s="1"/>
      <c r="P459" s="1"/>
      <c r="Q459" s="1"/>
      <c r="R459" s="1"/>
      <c r="S459" s="1"/>
      <c r="T459" s="1"/>
      <c r="U459" s="1"/>
      <c r="V459" s="1"/>
      <c r="W459" s="1"/>
      <c r="X459" s="1"/>
      <c r="Y459" s="1"/>
    </row>
    <row r="460">
      <c r="A460" s="17"/>
      <c r="B460" s="23"/>
      <c r="C460" s="1"/>
      <c r="D460" s="1"/>
      <c r="E460" s="1"/>
      <c r="F460" s="1"/>
      <c r="G460" s="1"/>
      <c r="H460" s="1"/>
      <c r="I460" s="1"/>
      <c r="J460" s="1"/>
      <c r="K460" s="1"/>
      <c r="L460" s="1"/>
      <c r="M460" s="1"/>
      <c r="N460" s="1"/>
      <c r="O460" s="1"/>
      <c r="P460" s="1"/>
      <c r="Q460" s="1"/>
      <c r="R460" s="1"/>
      <c r="S460" s="1"/>
      <c r="T460" s="1"/>
      <c r="U460" s="1"/>
      <c r="V460" s="1"/>
      <c r="W460" s="1"/>
      <c r="X460" s="1"/>
      <c r="Y460" s="1"/>
    </row>
    <row r="461">
      <c r="A461" s="17"/>
      <c r="B461" s="23"/>
      <c r="C461" s="1"/>
      <c r="D461" s="1"/>
      <c r="E461" s="1"/>
      <c r="F461" s="1"/>
      <c r="G461" s="1"/>
      <c r="H461" s="1"/>
      <c r="I461" s="1"/>
      <c r="J461" s="1"/>
      <c r="K461" s="1"/>
      <c r="L461" s="1"/>
      <c r="M461" s="1"/>
      <c r="N461" s="1"/>
      <c r="O461" s="1"/>
      <c r="P461" s="1"/>
      <c r="Q461" s="1"/>
      <c r="R461" s="1"/>
      <c r="S461" s="1"/>
      <c r="T461" s="1"/>
      <c r="U461" s="1"/>
      <c r="V461" s="1"/>
      <c r="W461" s="1"/>
      <c r="X461" s="1"/>
      <c r="Y461" s="1"/>
    </row>
    <row r="462">
      <c r="A462" s="17"/>
      <c r="B462" s="23"/>
      <c r="C462" s="1"/>
      <c r="D462" s="1"/>
      <c r="E462" s="1"/>
      <c r="F462" s="1"/>
      <c r="G462" s="1"/>
      <c r="H462" s="1"/>
      <c r="I462" s="1"/>
      <c r="J462" s="1"/>
      <c r="K462" s="1"/>
      <c r="L462" s="1"/>
      <c r="M462" s="1"/>
      <c r="N462" s="1"/>
      <c r="O462" s="1"/>
      <c r="P462" s="1"/>
      <c r="Q462" s="1"/>
      <c r="R462" s="1"/>
      <c r="S462" s="1"/>
      <c r="T462" s="1"/>
      <c r="U462" s="1"/>
      <c r="V462" s="1"/>
      <c r="W462" s="1"/>
      <c r="X462" s="1"/>
      <c r="Y462" s="1"/>
    </row>
    <row r="463">
      <c r="A463" s="17"/>
      <c r="B463" s="23"/>
      <c r="C463" s="1"/>
      <c r="D463" s="1"/>
      <c r="E463" s="1"/>
      <c r="F463" s="1"/>
      <c r="G463" s="1"/>
      <c r="H463" s="1"/>
      <c r="I463" s="1"/>
      <c r="J463" s="1"/>
      <c r="K463" s="1"/>
      <c r="L463" s="1"/>
      <c r="M463" s="1"/>
      <c r="N463" s="1"/>
      <c r="O463" s="1"/>
      <c r="P463" s="1"/>
      <c r="Q463" s="1"/>
      <c r="R463" s="1"/>
      <c r="S463" s="1"/>
      <c r="T463" s="1"/>
      <c r="U463" s="1"/>
      <c r="V463" s="1"/>
      <c r="W463" s="1"/>
      <c r="X463" s="1"/>
      <c r="Y463" s="1"/>
    </row>
    <row r="464">
      <c r="A464" s="17"/>
      <c r="B464" s="23"/>
      <c r="C464" s="1"/>
      <c r="D464" s="1"/>
      <c r="E464" s="1"/>
      <c r="F464" s="1"/>
      <c r="G464" s="1"/>
      <c r="H464" s="1"/>
      <c r="I464" s="1"/>
      <c r="J464" s="1"/>
      <c r="K464" s="1"/>
      <c r="L464" s="1"/>
      <c r="M464" s="1"/>
      <c r="N464" s="1"/>
      <c r="O464" s="1"/>
      <c r="P464" s="1"/>
      <c r="Q464" s="1"/>
      <c r="R464" s="1"/>
      <c r="S464" s="1"/>
      <c r="T464" s="1"/>
      <c r="U464" s="1"/>
      <c r="V464" s="1"/>
      <c r="W464" s="1"/>
      <c r="X464" s="1"/>
      <c r="Y464" s="1"/>
    </row>
    <row r="465">
      <c r="A465" s="17"/>
      <c r="B465" s="23"/>
      <c r="C465" s="1"/>
      <c r="D465" s="1"/>
      <c r="E465" s="1"/>
      <c r="F465" s="1"/>
      <c r="G465" s="1"/>
      <c r="H465" s="1"/>
      <c r="I465" s="1"/>
      <c r="J465" s="1"/>
      <c r="K465" s="1"/>
      <c r="L465" s="1"/>
      <c r="M465" s="1"/>
      <c r="N465" s="1"/>
      <c r="O465" s="1"/>
      <c r="P465" s="1"/>
      <c r="Q465" s="1"/>
      <c r="R465" s="1"/>
      <c r="S465" s="1"/>
      <c r="T465" s="1"/>
      <c r="U465" s="1"/>
      <c r="V465" s="1"/>
      <c r="W465" s="1"/>
      <c r="X465" s="1"/>
      <c r="Y465" s="1"/>
    </row>
    <row r="466">
      <c r="A466" s="17"/>
      <c r="B466" s="23"/>
      <c r="C466" s="1"/>
      <c r="D466" s="1"/>
      <c r="E466" s="1"/>
      <c r="F466" s="1"/>
      <c r="G466" s="1"/>
      <c r="H466" s="1"/>
      <c r="I466" s="1"/>
      <c r="J466" s="1"/>
      <c r="K466" s="1"/>
      <c r="L466" s="1"/>
      <c r="M466" s="1"/>
      <c r="N466" s="1"/>
      <c r="O466" s="1"/>
      <c r="P466" s="1"/>
      <c r="Q466" s="1"/>
      <c r="R466" s="1"/>
      <c r="S466" s="1"/>
      <c r="T466" s="1"/>
      <c r="U466" s="1"/>
      <c r="V466" s="1"/>
      <c r="W466" s="1"/>
      <c r="X466" s="1"/>
      <c r="Y466" s="1"/>
    </row>
    <row r="467">
      <c r="A467" s="17"/>
      <c r="B467" s="23"/>
      <c r="C467" s="1"/>
      <c r="D467" s="1"/>
      <c r="E467" s="1"/>
      <c r="F467" s="1"/>
      <c r="G467" s="1"/>
      <c r="H467" s="1"/>
      <c r="I467" s="1"/>
      <c r="J467" s="1"/>
      <c r="K467" s="1"/>
      <c r="L467" s="1"/>
      <c r="M467" s="1"/>
      <c r="N467" s="1"/>
      <c r="O467" s="1"/>
      <c r="P467" s="1"/>
      <c r="Q467" s="1"/>
      <c r="R467" s="1"/>
      <c r="S467" s="1"/>
      <c r="T467" s="1"/>
      <c r="U467" s="1"/>
      <c r="V467" s="1"/>
      <c r="W467" s="1"/>
      <c r="X467" s="1"/>
      <c r="Y467" s="1"/>
    </row>
    <row r="468">
      <c r="A468" s="17"/>
      <c r="B468" s="23"/>
      <c r="C468" s="1"/>
      <c r="D468" s="1"/>
      <c r="E468" s="1"/>
      <c r="F468" s="1"/>
      <c r="G468" s="1"/>
      <c r="H468" s="1"/>
      <c r="I468" s="1"/>
      <c r="J468" s="1"/>
      <c r="K468" s="1"/>
      <c r="L468" s="1"/>
      <c r="M468" s="1"/>
      <c r="N468" s="1"/>
      <c r="O468" s="1"/>
      <c r="P468" s="1"/>
      <c r="Q468" s="1"/>
      <c r="R468" s="1"/>
      <c r="S468" s="1"/>
      <c r="T468" s="1"/>
      <c r="U468" s="1"/>
      <c r="V468" s="1"/>
      <c r="W468" s="1"/>
      <c r="X468" s="1"/>
      <c r="Y468" s="1"/>
    </row>
    <row r="469">
      <c r="A469" s="17"/>
      <c r="B469" s="23"/>
      <c r="C469" s="1"/>
      <c r="D469" s="1"/>
      <c r="E469" s="1"/>
      <c r="F469" s="1"/>
      <c r="G469" s="1"/>
      <c r="H469" s="1"/>
      <c r="I469" s="1"/>
      <c r="J469" s="1"/>
      <c r="K469" s="1"/>
      <c r="L469" s="1"/>
      <c r="M469" s="1"/>
      <c r="N469" s="1"/>
      <c r="O469" s="1"/>
      <c r="P469" s="1"/>
      <c r="Q469" s="1"/>
      <c r="R469" s="1"/>
      <c r="S469" s="1"/>
      <c r="T469" s="1"/>
      <c r="U469" s="1"/>
      <c r="V469" s="1"/>
      <c r="W469" s="1"/>
      <c r="X469" s="1"/>
      <c r="Y469" s="1"/>
    </row>
    <row r="470">
      <c r="A470" s="17"/>
      <c r="B470" s="23"/>
      <c r="C470" s="1"/>
      <c r="D470" s="1"/>
      <c r="E470" s="1"/>
      <c r="F470" s="1"/>
      <c r="G470" s="1"/>
      <c r="H470" s="1"/>
      <c r="I470" s="1"/>
      <c r="J470" s="1"/>
      <c r="K470" s="1"/>
      <c r="L470" s="1"/>
      <c r="M470" s="1"/>
      <c r="N470" s="1"/>
      <c r="O470" s="1"/>
      <c r="P470" s="1"/>
      <c r="Q470" s="1"/>
      <c r="R470" s="1"/>
      <c r="S470" s="1"/>
      <c r="T470" s="1"/>
      <c r="U470" s="1"/>
      <c r="V470" s="1"/>
      <c r="W470" s="1"/>
      <c r="X470" s="1"/>
      <c r="Y470" s="1"/>
    </row>
    <row r="471">
      <c r="A471" s="17"/>
      <c r="B471" s="23"/>
      <c r="C471" s="1"/>
      <c r="D471" s="1"/>
      <c r="E471" s="1"/>
      <c r="F471" s="1"/>
      <c r="G471" s="1"/>
      <c r="H471" s="1"/>
      <c r="I471" s="1"/>
      <c r="J471" s="1"/>
      <c r="K471" s="1"/>
      <c r="L471" s="1"/>
      <c r="M471" s="1"/>
      <c r="N471" s="1"/>
      <c r="O471" s="1"/>
      <c r="P471" s="1"/>
      <c r="Q471" s="1"/>
      <c r="R471" s="1"/>
      <c r="S471" s="1"/>
      <c r="T471" s="1"/>
      <c r="U471" s="1"/>
      <c r="V471" s="1"/>
      <c r="W471" s="1"/>
      <c r="X471" s="1"/>
      <c r="Y471" s="1"/>
    </row>
    <row r="472">
      <c r="A472" s="17"/>
      <c r="B472" s="23"/>
      <c r="C472" s="1"/>
      <c r="D472" s="1"/>
      <c r="E472" s="1"/>
      <c r="F472" s="1"/>
      <c r="G472" s="1"/>
      <c r="H472" s="1"/>
      <c r="I472" s="1"/>
      <c r="J472" s="1"/>
      <c r="K472" s="1"/>
      <c r="L472" s="1"/>
      <c r="M472" s="1"/>
      <c r="N472" s="1"/>
      <c r="O472" s="1"/>
      <c r="P472" s="1"/>
      <c r="Q472" s="1"/>
      <c r="R472" s="1"/>
      <c r="S472" s="1"/>
      <c r="T472" s="1"/>
      <c r="U472" s="1"/>
      <c r="V472" s="1"/>
      <c r="W472" s="1"/>
      <c r="X472" s="1"/>
      <c r="Y472" s="1"/>
    </row>
    <row r="473">
      <c r="A473" s="17"/>
      <c r="B473" s="23"/>
      <c r="C473" s="1"/>
      <c r="D473" s="1"/>
      <c r="E473" s="1"/>
      <c r="F473" s="1"/>
      <c r="G473" s="1"/>
      <c r="H473" s="1"/>
      <c r="I473" s="1"/>
      <c r="J473" s="1"/>
      <c r="K473" s="1"/>
      <c r="L473" s="1"/>
      <c r="M473" s="1"/>
      <c r="N473" s="1"/>
      <c r="O473" s="1"/>
      <c r="P473" s="1"/>
      <c r="Q473" s="1"/>
      <c r="R473" s="1"/>
      <c r="S473" s="1"/>
      <c r="T473" s="1"/>
      <c r="U473" s="1"/>
      <c r="V473" s="1"/>
      <c r="W473" s="1"/>
      <c r="X473" s="1"/>
      <c r="Y473" s="1"/>
    </row>
    <row r="474">
      <c r="A474" s="17"/>
      <c r="B474" s="23"/>
      <c r="C474" s="1"/>
      <c r="D474" s="1"/>
      <c r="E474" s="1"/>
      <c r="F474" s="1"/>
      <c r="G474" s="1"/>
      <c r="H474" s="1"/>
      <c r="I474" s="1"/>
      <c r="J474" s="1"/>
      <c r="K474" s="1"/>
      <c r="L474" s="1"/>
      <c r="M474" s="1"/>
      <c r="N474" s="1"/>
      <c r="O474" s="1"/>
      <c r="P474" s="1"/>
      <c r="Q474" s="1"/>
      <c r="R474" s="1"/>
      <c r="S474" s="1"/>
      <c r="T474" s="1"/>
      <c r="U474" s="1"/>
      <c r="V474" s="1"/>
      <c r="W474" s="1"/>
      <c r="X474" s="1"/>
      <c r="Y474" s="1"/>
    </row>
    <row r="475">
      <c r="A475" s="17"/>
      <c r="B475" s="23"/>
      <c r="C475" s="1"/>
      <c r="D475" s="1"/>
      <c r="E475" s="1"/>
      <c r="F475" s="1"/>
      <c r="G475" s="1"/>
      <c r="H475" s="1"/>
      <c r="I475" s="1"/>
      <c r="J475" s="1"/>
      <c r="K475" s="1"/>
      <c r="L475" s="1"/>
      <c r="M475" s="1"/>
      <c r="N475" s="1"/>
      <c r="O475" s="1"/>
      <c r="P475" s="1"/>
      <c r="Q475" s="1"/>
      <c r="R475" s="1"/>
      <c r="S475" s="1"/>
      <c r="T475" s="1"/>
      <c r="U475" s="1"/>
      <c r="V475" s="1"/>
      <c r="W475" s="1"/>
      <c r="X475" s="1"/>
      <c r="Y475" s="1"/>
    </row>
    <row r="476">
      <c r="A476" s="17"/>
      <c r="B476" s="23"/>
      <c r="C476" s="1"/>
      <c r="D476" s="1"/>
      <c r="E476" s="1"/>
      <c r="F476" s="1"/>
      <c r="G476" s="1"/>
      <c r="H476" s="1"/>
      <c r="I476" s="1"/>
      <c r="J476" s="1"/>
      <c r="K476" s="1"/>
      <c r="L476" s="1"/>
      <c r="M476" s="1"/>
      <c r="N476" s="1"/>
      <c r="O476" s="1"/>
      <c r="P476" s="1"/>
      <c r="Q476" s="1"/>
      <c r="R476" s="1"/>
      <c r="S476" s="1"/>
      <c r="T476" s="1"/>
      <c r="U476" s="1"/>
      <c r="V476" s="1"/>
      <c r="W476" s="1"/>
      <c r="X476" s="1"/>
      <c r="Y476" s="1"/>
    </row>
    <row r="477">
      <c r="A477" s="17"/>
      <c r="B477" s="23"/>
      <c r="C477" s="1"/>
      <c r="D477" s="1"/>
      <c r="E477" s="1"/>
      <c r="F477" s="1"/>
      <c r="G477" s="1"/>
      <c r="H477" s="1"/>
      <c r="I477" s="1"/>
      <c r="J477" s="1"/>
      <c r="K477" s="1"/>
      <c r="L477" s="1"/>
      <c r="M477" s="1"/>
      <c r="N477" s="1"/>
      <c r="O477" s="1"/>
      <c r="P477" s="1"/>
      <c r="Q477" s="1"/>
      <c r="R477" s="1"/>
      <c r="S477" s="1"/>
      <c r="T477" s="1"/>
      <c r="U477" s="1"/>
      <c r="V477" s="1"/>
      <c r="W477" s="1"/>
      <c r="X477" s="1"/>
      <c r="Y477" s="1"/>
    </row>
    <row r="478">
      <c r="A478" s="17"/>
      <c r="B478" s="23"/>
      <c r="C478" s="1"/>
      <c r="D478" s="1"/>
      <c r="E478" s="1"/>
      <c r="F478" s="1"/>
      <c r="G478" s="1"/>
      <c r="H478" s="1"/>
      <c r="I478" s="1"/>
      <c r="J478" s="1"/>
      <c r="K478" s="1"/>
      <c r="L478" s="1"/>
      <c r="M478" s="1"/>
      <c r="N478" s="1"/>
      <c r="O478" s="1"/>
      <c r="P478" s="1"/>
      <c r="Q478" s="1"/>
      <c r="R478" s="1"/>
      <c r="S478" s="1"/>
      <c r="T478" s="1"/>
      <c r="U478" s="1"/>
      <c r="V478" s="1"/>
      <c r="W478" s="1"/>
      <c r="X478" s="1"/>
      <c r="Y478" s="1"/>
    </row>
    <row r="479">
      <c r="A479" s="17"/>
      <c r="B479" s="23"/>
      <c r="C479" s="1"/>
      <c r="D479" s="1"/>
      <c r="E479" s="1"/>
      <c r="F479" s="1"/>
      <c r="G479" s="1"/>
      <c r="H479" s="1"/>
      <c r="I479" s="1"/>
      <c r="J479" s="1"/>
      <c r="K479" s="1"/>
      <c r="L479" s="1"/>
      <c r="M479" s="1"/>
      <c r="N479" s="1"/>
      <c r="O479" s="1"/>
      <c r="P479" s="1"/>
      <c r="Q479" s="1"/>
      <c r="R479" s="1"/>
      <c r="S479" s="1"/>
      <c r="T479" s="1"/>
      <c r="U479" s="1"/>
      <c r="V479" s="1"/>
      <c r="W479" s="1"/>
      <c r="X479" s="1"/>
      <c r="Y479" s="1"/>
    </row>
    <row r="480">
      <c r="A480" s="17"/>
      <c r="B480" s="23"/>
      <c r="C480" s="1"/>
      <c r="D480" s="1"/>
      <c r="E480" s="1"/>
      <c r="F480" s="1"/>
      <c r="G480" s="1"/>
      <c r="H480" s="1"/>
      <c r="I480" s="1"/>
      <c r="J480" s="1"/>
      <c r="K480" s="1"/>
      <c r="L480" s="1"/>
      <c r="M480" s="1"/>
      <c r="N480" s="1"/>
      <c r="O480" s="1"/>
      <c r="P480" s="1"/>
      <c r="Q480" s="1"/>
      <c r="R480" s="1"/>
      <c r="S480" s="1"/>
      <c r="T480" s="1"/>
      <c r="U480" s="1"/>
      <c r="V480" s="1"/>
      <c r="W480" s="1"/>
      <c r="X480" s="1"/>
      <c r="Y480" s="1"/>
    </row>
    <row r="481">
      <c r="A481" s="17"/>
      <c r="B481" s="23"/>
      <c r="C481" s="1"/>
      <c r="D481" s="1"/>
      <c r="E481" s="1"/>
      <c r="F481" s="1"/>
      <c r="G481" s="1"/>
      <c r="H481" s="1"/>
      <c r="I481" s="1"/>
      <c r="J481" s="1"/>
      <c r="K481" s="1"/>
      <c r="L481" s="1"/>
      <c r="M481" s="1"/>
      <c r="N481" s="1"/>
      <c r="O481" s="1"/>
      <c r="P481" s="1"/>
      <c r="Q481" s="1"/>
      <c r="R481" s="1"/>
      <c r="S481" s="1"/>
      <c r="T481" s="1"/>
      <c r="U481" s="1"/>
      <c r="V481" s="1"/>
      <c r="W481" s="1"/>
      <c r="X481" s="1"/>
      <c r="Y481" s="1"/>
    </row>
    <row r="482">
      <c r="A482" s="17"/>
      <c r="B482" s="23"/>
      <c r="C482" s="1"/>
      <c r="D482" s="1"/>
      <c r="E482" s="1"/>
      <c r="F482" s="1"/>
      <c r="G482" s="1"/>
      <c r="H482" s="1"/>
      <c r="I482" s="1"/>
      <c r="J482" s="1"/>
      <c r="K482" s="1"/>
      <c r="L482" s="1"/>
      <c r="M482" s="1"/>
      <c r="N482" s="1"/>
      <c r="O482" s="1"/>
      <c r="P482" s="1"/>
      <c r="Q482" s="1"/>
      <c r="R482" s="1"/>
      <c r="S482" s="1"/>
      <c r="T482" s="1"/>
      <c r="U482" s="1"/>
      <c r="V482" s="1"/>
      <c r="W482" s="1"/>
      <c r="X482" s="1"/>
      <c r="Y482" s="1"/>
    </row>
    <row r="483">
      <c r="A483" s="17"/>
      <c r="B483" s="23"/>
      <c r="C483" s="1"/>
      <c r="D483" s="1"/>
      <c r="E483" s="1"/>
      <c r="F483" s="1"/>
      <c r="G483" s="1"/>
      <c r="H483" s="1"/>
      <c r="I483" s="1"/>
      <c r="J483" s="1"/>
      <c r="K483" s="1"/>
      <c r="L483" s="1"/>
      <c r="M483" s="1"/>
      <c r="N483" s="1"/>
      <c r="O483" s="1"/>
      <c r="P483" s="1"/>
      <c r="Q483" s="1"/>
      <c r="R483" s="1"/>
      <c r="S483" s="1"/>
      <c r="T483" s="1"/>
      <c r="U483" s="1"/>
      <c r="V483" s="1"/>
      <c r="W483" s="1"/>
      <c r="X483" s="1"/>
      <c r="Y483" s="1"/>
    </row>
    <row r="484">
      <c r="A484" s="17"/>
      <c r="B484" s="23"/>
      <c r="C484" s="1"/>
      <c r="D484" s="1"/>
      <c r="E484" s="1"/>
      <c r="F484" s="1"/>
      <c r="G484" s="1"/>
      <c r="H484" s="1"/>
      <c r="I484" s="1"/>
      <c r="J484" s="1"/>
      <c r="K484" s="1"/>
      <c r="L484" s="1"/>
      <c r="M484" s="1"/>
      <c r="N484" s="1"/>
      <c r="O484" s="1"/>
      <c r="P484" s="1"/>
      <c r="Q484" s="1"/>
      <c r="R484" s="1"/>
      <c r="S484" s="1"/>
      <c r="T484" s="1"/>
      <c r="U484" s="1"/>
      <c r="V484" s="1"/>
      <c r="W484" s="1"/>
      <c r="X484" s="1"/>
      <c r="Y484" s="1"/>
    </row>
    <row r="485">
      <c r="A485" s="17"/>
      <c r="B485" s="23"/>
      <c r="C485" s="1"/>
      <c r="D485" s="1"/>
      <c r="E485" s="1"/>
      <c r="F485" s="1"/>
      <c r="G485" s="1"/>
      <c r="H485" s="1"/>
      <c r="I485" s="1"/>
      <c r="J485" s="1"/>
      <c r="K485" s="1"/>
      <c r="L485" s="1"/>
      <c r="M485" s="1"/>
      <c r="N485" s="1"/>
      <c r="O485" s="1"/>
      <c r="P485" s="1"/>
      <c r="Q485" s="1"/>
      <c r="R485" s="1"/>
      <c r="S485" s="1"/>
      <c r="T485" s="1"/>
      <c r="U485" s="1"/>
      <c r="V485" s="1"/>
      <c r="W485" s="1"/>
      <c r="X485" s="1"/>
      <c r="Y485" s="1"/>
    </row>
    <row r="486">
      <c r="A486" s="17"/>
      <c r="B486" s="23"/>
      <c r="C486" s="1"/>
      <c r="D486" s="1"/>
      <c r="E486" s="1"/>
      <c r="F486" s="1"/>
      <c r="G486" s="1"/>
      <c r="H486" s="1"/>
      <c r="I486" s="1"/>
      <c r="J486" s="1"/>
      <c r="K486" s="1"/>
      <c r="L486" s="1"/>
      <c r="M486" s="1"/>
      <c r="N486" s="1"/>
      <c r="O486" s="1"/>
      <c r="P486" s="1"/>
      <c r="Q486" s="1"/>
      <c r="R486" s="1"/>
      <c r="S486" s="1"/>
      <c r="T486" s="1"/>
      <c r="U486" s="1"/>
      <c r="V486" s="1"/>
      <c r="W486" s="1"/>
      <c r="X486" s="1"/>
      <c r="Y486" s="1"/>
    </row>
    <row r="487">
      <c r="A487" s="17"/>
      <c r="B487" s="23"/>
      <c r="C487" s="1"/>
      <c r="D487" s="1"/>
      <c r="E487" s="1"/>
      <c r="F487" s="1"/>
      <c r="G487" s="1"/>
      <c r="H487" s="1"/>
      <c r="I487" s="1"/>
      <c r="J487" s="1"/>
      <c r="K487" s="1"/>
      <c r="L487" s="1"/>
      <c r="M487" s="1"/>
      <c r="N487" s="1"/>
      <c r="O487" s="1"/>
      <c r="P487" s="1"/>
      <c r="Q487" s="1"/>
      <c r="R487" s="1"/>
      <c r="S487" s="1"/>
      <c r="T487" s="1"/>
      <c r="U487" s="1"/>
      <c r="V487" s="1"/>
      <c r="W487" s="1"/>
      <c r="X487" s="1"/>
      <c r="Y487" s="1"/>
    </row>
    <row r="488">
      <c r="A488" s="17"/>
      <c r="B488" s="23"/>
      <c r="C488" s="1"/>
      <c r="D488" s="1"/>
      <c r="E488" s="1"/>
      <c r="F488" s="1"/>
      <c r="G488" s="1"/>
      <c r="H488" s="1"/>
      <c r="I488" s="1"/>
      <c r="J488" s="1"/>
      <c r="K488" s="1"/>
      <c r="L488" s="1"/>
      <c r="M488" s="1"/>
      <c r="N488" s="1"/>
      <c r="O488" s="1"/>
      <c r="P488" s="1"/>
      <c r="Q488" s="1"/>
      <c r="R488" s="1"/>
      <c r="S488" s="1"/>
      <c r="T488" s="1"/>
      <c r="U488" s="1"/>
      <c r="V488" s="1"/>
      <c r="W488" s="1"/>
      <c r="X488" s="1"/>
      <c r="Y488" s="1"/>
    </row>
    <row r="489">
      <c r="A489" s="17"/>
      <c r="B489" s="23"/>
      <c r="C489" s="1"/>
      <c r="D489" s="1"/>
      <c r="E489" s="1"/>
      <c r="F489" s="1"/>
      <c r="G489" s="1"/>
      <c r="H489" s="1"/>
      <c r="I489" s="1"/>
      <c r="J489" s="1"/>
      <c r="K489" s="1"/>
      <c r="L489" s="1"/>
      <c r="M489" s="1"/>
      <c r="N489" s="1"/>
      <c r="O489" s="1"/>
      <c r="P489" s="1"/>
      <c r="Q489" s="1"/>
      <c r="R489" s="1"/>
      <c r="S489" s="1"/>
      <c r="T489" s="1"/>
      <c r="U489" s="1"/>
      <c r="V489" s="1"/>
      <c r="W489" s="1"/>
      <c r="X489" s="1"/>
      <c r="Y489" s="1"/>
    </row>
    <row r="490">
      <c r="A490" s="17"/>
      <c r="B490" s="23"/>
      <c r="C490" s="1"/>
      <c r="D490" s="1"/>
      <c r="E490" s="1"/>
      <c r="F490" s="1"/>
      <c r="G490" s="1"/>
      <c r="H490" s="1"/>
      <c r="I490" s="1"/>
      <c r="J490" s="1"/>
      <c r="K490" s="1"/>
      <c r="L490" s="1"/>
      <c r="M490" s="1"/>
      <c r="N490" s="1"/>
      <c r="O490" s="1"/>
      <c r="P490" s="1"/>
      <c r="Q490" s="1"/>
      <c r="R490" s="1"/>
      <c r="S490" s="1"/>
      <c r="T490" s="1"/>
      <c r="U490" s="1"/>
      <c r="V490" s="1"/>
      <c r="W490" s="1"/>
      <c r="X490" s="1"/>
      <c r="Y490" s="1"/>
    </row>
    <row r="491">
      <c r="A491" s="17"/>
      <c r="B491" s="23"/>
      <c r="C491" s="1"/>
      <c r="D491" s="1"/>
      <c r="E491" s="1"/>
      <c r="F491" s="1"/>
      <c r="G491" s="1"/>
      <c r="H491" s="1"/>
      <c r="I491" s="1"/>
      <c r="J491" s="1"/>
      <c r="K491" s="1"/>
      <c r="L491" s="1"/>
      <c r="M491" s="1"/>
      <c r="N491" s="1"/>
      <c r="O491" s="1"/>
      <c r="P491" s="1"/>
      <c r="Q491" s="1"/>
      <c r="R491" s="1"/>
      <c r="S491" s="1"/>
      <c r="T491" s="1"/>
      <c r="U491" s="1"/>
      <c r="V491" s="1"/>
      <c r="W491" s="1"/>
      <c r="X491" s="1"/>
      <c r="Y491" s="1"/>
    </row>
    <row r="492">
      <c r="A492" s="17"/>
      <c r="B492" s="23"/>
      <c r="C492" s="1"/>
      <c r="D492" s="1"/>
      <c r="E492" s="1"/>
      <c r="F492" s="1"/>
      <c r="G492" s="1"/>
      <c r="H492" s="1"/>
      <c r="I492" s="1"/>
      <c r="J492" s="1"/>
      <c r="K492" s="1"/>
      <c r="L492" s="1"/>
      <c r="M492" s="1"/>
      <c r="N492" s="1"/>
      <c r="O492" s="1"/>
      <c r="P492" s="1"/>
      <c r="Q492" s="1"/>
      <c r="R492" s="1"/>
      <c r="S492" s="1"/>
      <c r="T492" s="1"/>
      <c r="U492" s="1"/>
      <c r="V492" s="1"/>
      <c r="W492" s="1"/>
      <c r="X492" s="1"/>
      <c r="Y492" s="1"/>
    </row>
    <row r="493">
      <c r="A493" s="17"/>
      <c r="B493" s="23"/>
      <c r="C493" s="1"/>
      <c r="D493" s="1"/>
      <c r="E493" s="1"/>
      <c r="F493" s="1"/>
      <c r="G493" s="1"/>
      <c r="H493" s="1"/>
      <c r="I493" s="1"/>
      <c r="J493" s="1"/>
      <c r="K493" s="1"/>
      <c r="L493" s="1"/>
      <c r="M493" s="1"/>
      <c r="N493" s="1"/>
      <c r="O493" s="1"/>
      <c r="P493" s="1"/>
      <c r="Q493" s="1"/>
      <c r="R493" s="1"/>
      <c r="S493" s="1"/>
      <c r="T493" s="1"/>
      <c r="U493" s="1"/>
      <c r="V493" s="1"/>
      <c r="W493" s="1"/>
      <c r="X493" s="1"/>
      <c r="Y493" s="1"/>
    </row>
    <row r="494">
      <c r="A494" s="17"/>
      <c r="B494" s="23"/>
      <c r="C494" s="1"/>
      <c r="D494" s="1"/>
      <c r="E494" s="1"/>
      <c r="F494" s="1"/>
      <c r="G494" s="1"/>
      <c r="H494" s="1"/>
      <c r="I494" s="1"/>
      <c r="J494" s="1"/>
      <c r="K494" s="1"/>
      <c r="L494" s="1"/>
      <c r="M494" s="1"/>
      <c r="N494" s="1"/>
      <c r="O494" s="1"/>
      <c r="P494" s="1"/>
      <c r="Q494" s="1"/>
      <c r="R494" s="1"/>
      <c r="S494" s="1"/>
      <c r="T494" s="1"/>
      <c r="U494" s="1"/>
      <c r="V494" s="1"/>
      <c r="W494" s="1"/>
      <c r="X494" s="1"/>
      <c r="Y494" s="1"/>
    </row>
    <row r="495">
      <c r="A495" s="17"/>
      <c r="B495" s="23"/>
      <c r="C495" s="1"/>
      <c r="D495" s="1"/>
      <c r="E495" s="1"/>
      <c r="F495" s="1"/>
      <c r="G495" s="1"/>
      <c r="H495" s="1"/>
      <c r="I495" s="1"/>
      <c r="J495" s="1"/>
      <c r="K495" s="1"/>
      <c r="L495" s="1"/>
      <c r="M495" s="1"/>
      <c r="N495" s="1"/>
      <c r="O495" s="1"/>
      <c r="P495" s="1"/>
      <c r="Q495" s="1"/>
      <c r="R495" s="1"/>
      <c r="S495" s="1"/>
      <c r="T495" s="1"/>
      <c r="U495" s="1"/>
      <c r="V495" s="1"/>
      <c r="W495" s="1"/>
      <c r="X495" s="1"/>
      <c r="Y495" s="1"/>
    </row>
    <row r="496">
      <c r="A496" s="17"/>
      <c r="B496" s="23"/>
      <c r="C496" s="1"/>
      <c r="D496" s="1"/>
      <c r="E496" s="1"/>
      <c r="F496" s="1"/>
      <c r="G496" s="1"/>
      <c r="H496" s="1"/>
      <c r="I496" s="1"/>
      <c r="J496" s="1"/>
      <c r="K496" s="1"/>
      <c r="L496" s="1"/>
      <c r="M496" s="1"/>
      <c r="N496" s="1"/>
      <c r="O496" s="1"/>
      <c r="P496" s="1"/>
      <c r="Q496" s="1"/>
      <c r="R496" s="1"/>
      <c r="S496" s="1"/>
      <c r="T496" s="1"/>
      <c r="U496" s="1"/>
      <c r="V496" s="1"/>
      <c r="W496" s="1"/>
      <c r="X496" s="1"/>
      <c r="Y496" s="1"/>
    </row>
    <row r="497">
      <c r="A497" s="17"/>
      <c r="B497" s="23"/>
      <c r="C497" s="1"/>
      <c r="D497" s="1"/>
      <c r="E497" s="1"/>
      <c r="F497" s="1"/>
      <c r="G497" s="1"/>
      <c r="H497" s="1"/>
      <c r="I497" s="1"/>
      <c r="J497" s="1"/>
      <c r="K497" s="1"/>
      <c r="L497" s="1"/>
      <c r="M497" s="1"/>
      <c r="N497" s="1"/>
      <c r="O497" s="1"/>
      <c r="P497" s="1"/>
      <c r="Q497" s="1"/>
      <c r="R497" s="1"/>
      <c r="S497" s="1"/>
      <c r="T497" s="1"/>
      <c r="U497" s="1"/>
      <c r="V497" s="1"/>
      <c r="W497" s="1"/>
      <c r="X497" s="1"/>
      <c r="Y497" s="1"/>
    </row>
    <row r="498">
      <c r="A498" s="17"/>
      <c r="B498" s="23"/>
      <c r="C498" s="1"/>
      <c r="D498" s="1"/>
      <c r="E498" s="1"/>
      <c r="F498" s="1"/>
      <c r="G498" s="1"/>
      <c r="H498" s="1"/>
      <c r="I498" s="1"/>
      <c r="J498" s="1"/>
      <c r="K498" s="1"/>
      <c r="L498" s="1"/>
      <c r="M498" s="1"/>
      <c r="N498" s="1"/>
      <c r="O498" s="1"/>
      <c r="P498" s="1"/>
      <c r="Q498" s="1"/>
      <c r="R498" s="1"/>
      <c r="S498" s="1"/>
      <c r="T498" s="1"/>
      <c r="U498" s="1"/>
      <c r="V498" s="1"/>
      <c r="W498" s="1"/>
      <c r="X498" s="1"/>
      <c r="Y498" s="1"/>
    </row>
    <row r="499">
      <c r="A499" s="17"/>
      <c r="B499" s="23"/>
      <c r="C499" s="1"/>
      <c r="D499" s="1"/>
      <c r="E499" s="1"/>
      <c r="F499" s="1"/>
      <c r="G499" s="1"/>
      <c r="H499" s="1"/>
      <c r="I499" s="1"/>
      <c r="J499" s="1"/>
      <c r="K499" s="1"/>
      <c r="L499" s="1"/>
      <c r="M499" s="1"/>
      <c r="N499" s="1"/>
      <c r="O499" s="1"/>
      <c r="P499" s="1"/>
      <c r="Q499" s="1"/>
      <c r="R499" s="1"/>
      <c r="S499" s="1"/>
      <c r="T499" s="1"/>
      <c r="U499" s="1"/>
      <c r="V499" s="1"/>
      <c r="W499" s="1"/>
      <c r="X499" s="1"/>
      <c r="Y499" s="1"/>
    </row>
    <row r="500">
      <c r="A500" s="17"/>
      <c r="B500" s="23"/>
      <c r="C500" s="1"/>
      <c r="D500" s="1"/>
      <c r="E500" s="1"/>
      <c r="F500" s="1"/>
      <c r="G500" s="1"/>
      <c r="H500" s="1"/>
      <c r="I500" s="1"/>
      <c r="J500" s="1"/>
      <c r="K500" s="1"/>
      <c r="L500" s="1"/>
      <c r="M500" s="1"/>
      <c r="N500" s="1"/>
      <c r="O500" s="1"/>
      <c r="P500" s="1"/>
      <c r="Q500" s="1"/>
      <c r="R500" s="1"/>
      <c r="S500" s="1"/>
      <c r="T500" s="1"/>
      <c r="U500" s="1"/>
      <c r="V500" s="1"/>
      <c r="W500" s="1"/>
      <c r="X500" s="1"/>
      <c r="Y500" s="1"/>
    </row>
    <row r="501">
      <c r="A501" s="17"/>
      <c r="B501" s="23"/>
      <c r="C501" s="1"/>
      <c r="D501" s="1"/>
      <c r="E501" s="1"/>
      <c r="F501" s="1"/>
      <c r="G501" s="1"/>
      <c r="H501" s="1"/>
      <c r="I501" s="1"/>
      <c r="J501" s="1"/>
      <c r="K501" s="1"/>
      <c r="L501" s="1"/>
      <c r="M501" s="1"/>
      <c r="N501" s="1"/>
      <c r="O501" s="1"/>
      <c r="P501" s="1"/>
      <c r="Q501" s="1"/>
      <c r="R501" s="1"/>
      <c r="S501" s="1"/>
      <c r="T501" s="1"/>
      <c r="U501" s="1"/>
      <c r="V501" s="1"/>
      <c r="W501" s="1"/>
      <c r="X501" s="1"/>
      <c r="Y501" s="1"/>
    </row>
    <row r="502">
      <c r="A502" s="17"/>
      <c r="B502" s="23"/>
      <c r="C502" s="1"/>
      <c r="D502" s="1"/>
      <c r="E502" s="1"/>
      <c r="F502" s="1"/>
      <c r="G502" s="1"/>
      <c r="H502" s="1"/>
      <c r="I502" s="1"/>
      <c r="J502" s="1"/>
      <c r="K502" s="1"/>
      <c r="L502" s="1"/>
      <c r="M502" s="1"/>
      <c r="N502" s="1"/>
      <c r="O502" s="1"/>
      <c r="P502" s="1"/>
      <c r="Q502" s="1"/>
      <c r="R502" s="1"/>
      <c r="S502" s="1"/>
      <c r="T502" s="1"/>
      <c r="U502" s="1"/>
      <c r="V502" s="1"/>
      <c r="W502" s="1"/>
      <c r="X502" s="1"/>
      <c r="Y502" s="1"/>
    </row>
    <row r="503">
      <c r="A503" s="17"/>
      <c r="B503" s="23"/>
      <c r="C503" s="1"/>
      <c r="D503" s="1"/>
      <c r="E503" s="1"/>
      <c r="F503" s="1"/>
      <c r="G503" s="1"/>
      <c r="H503" s="1"/>
      <c r="I503" s="1"/>
      <c r="J503" s="1"/>
      <c r="K503" s="1"/>
      <c r="L503" s="1"/>
      <c r="M503" s="1"/>
      <c r="N503" s="1"/>
      <c r="O503" s="1"/>
      <c r="P503" s="1"/>
      <c r="Q503" s="1"/>
      <c r="R503" s="1"/>
      <c r="S503" s="1"/>
      <c r="T503" s="1"/>
      <c r="U503" s="1"/>
      <c r="V503" s="1"/>
      <c r="W503" s="1"/>
      <c r="X503" s="1"/>
      <c r="Y503" s="1"/>
    </row>
    <row r="504">
      <c r="A504" s="17"/>
      <c r="B504" s="23"/>
      <c r="C504" s="1"/>
      <c r="D504" s="1"/>
      <c r="E504" s="1"/>
      <c r="F504" s="1"/>
      <c r="G504" s="1"/>
      <c r="H504" s="1"/>
      <c r="I504" s="1"/>
      <c r="J504" s="1"/>
      <c r="K504" s="1"/>
      <c r="L504" s="1"/>
      <c r="M504" s="1"/>
      <c r="N504" s="1"/>
      <c r="O504" s="1"/>
      <c r="P504" s="1"/>
      <c r="Q504" s="1"/>
      <c r="R504" s="1"/>
      <c r="S504" s="1"/>
      <c r="T504" s="1"/>
      <c r="U504" s="1"/>
      <c r="V504" s="1"/>
      <c r="W504" s="1"/>
      <c r="X504" s="1"/>
      <c r="Y504" s="1"/>
    </row>
    <row r="505">
      <c r="A505" s="17"/>
      <c r="B505" s="23"/>
      <c r="C505" s="1"/>
      <c r="D505" s="1"/>
      <c r="E505" s="1"/>
      <c r="F505" s="1"/>
      <c r="G505" s="1"/>
      <c r="H505" s="1"/>
      <c r="I505" s="1"/>
      <c r="J505" s="1"/>
      <c r="K505" s="1"/>
      <c r="L505" s="1"/>
      <c r="M505" s="1"/>
      <c r="N505" s="1"/>
      <c r="O505" s="1"/>
      <c r="P505" s="1"/>
      <c r="Q505" s="1"/>
      <c r="R505" s="1"/>
      <c r="S505" s="1"/>
      <c r="T505" s="1"/>
      <c r="U505" s="1"/>
      <c r="V505" s="1"/>
      <c r="W505" s="1"/>
      <c r="X505" s="1"/>
      <c r="Y505" s="1"/>
    </row>
    <row r="506">
      <c r="A506" s="17"/>
      <c r="B506" s="23"/>
      <c r="C506" s="1"/>
      <c r="D506" s="1"/>
      <c r="E506" s="1"/>
      <c r="F506" s="1"/>
      <c r="G506" s="1"/>
      <c r="H506" s="1"/>
      <c r="I506" s="1"/>
      <c r="J506" s="1"/>
      <c r="K506" s="1"/>
      <c r="L506" s="1"/>
      <c r="M506" s="1"/>
      <c r="N506" s="1"/>
      <c r="O506" s="1"/>
      <c r="P506" s="1"/>
      <c r="Q506" s="1"/>
      <c r="R506" s="1"/>
      <c r="S506" s="1"/>
      <c r="T506" s="1"/>
      <c r="U506" s="1"/>
      <c r="V506" s="1"/>
      <c r="W506" s="1"/>
      <c r="X506" s="1"/>
      <c r="Y506" s="1"/>
    </row>
    <row r="507">
      <c r="A507" s="17"/>
      <c r="B507" s="23"/>
      <c r="C507" s="1"/>
      <c r="D507" s="1"/>
      <c r="E507" s="1"/>
      <c r="F507" s="1"/>
      <c r="G507" s="1"/>
      <c r="H507" s="1"/>
      <c r="I507" s="1"/>
      <c r="J507" s="1"/>
      <c r="K507" s="1"/>
      <c r="L507" s="1"/>
      <c r="M507" s="1"/>
      <c r="N507" s="1"/>
      <c r="O507" s="1"/>
      <c r="P507" s="1"/>
      <c r="Q507" s="1"/>
      <c r="R507" s="1"/>
      <c r="S507" s="1"/>
      <c r="T507" s="1"/>
      <c r="U507" s="1"/>
      <c r="V507" s="1"/>
      <c r="W507" s="1"/>
      <c r="X507" s="1"/>
      <c r="Y507" s="1"/>
    </row>
    <row r="508">
      <c r="A508" s="17"/>
      <c r="B508" s="23"/>
      <c r="C508" s="1"/>
      <c r="D508" s="1"/>
      <c r="E508" s="1"/>
      <c r="F508" s="1"/>
      <c r="G508" s="1"/>
      <c r="H508" s="1"/>
      <c r="I508" s="1"/>
      <c r="J508" s="1"/>
      <c r="K508" s="1"/>
      <c r="L508" s="1"/>
      <c r="M508" s="1"/>
      <c r="N508" s="1"/>
      <c r="O508" s="1"/>
      <c r="P508" s="1"/>
      <c r="Q508" s="1"/>
      <c r="R508" s="1"/>
      <c r="S508" s="1"/>
      <c r="T508" s="1"/>
      <c r="U508" s="1"/>
      <c r="V508" s="1"/>
      <c r="W508" s="1"/>
      <c r="X508" s="1"/>
      <c r="Y508" s="1"/>
    </row>
    <row r="509">
      <c r="A509" s="17"/>
      <c r="B509" s="23"/>
      <c r="C509" s="1"/>
      <c r="D509" s="1"/>
      <c r="E509" s="1"/>
      <c r="F509" s="1"/>
      <c r="G509" s="1"/>
      <c r="H509" s="1"/>
      <c r="I509" s="1"/>
      <c r="J509" s="1"/>
      <c r="K509" s="1"/>
      <c r="L509" s="1"/>
      <c r="M509" s="1"/>
      <c r="N509" s="1"/>
      <c r="O509" s="1"/>
      <c r="P509" s="1"/>
      <c r="Q509" s="1"/>
      <c r="R509" s="1"/>
      <c r="S509" s="1"/>
      <c r="T509" s="1"/>
      <c r="U509" s="1"/>
      <c r="V509" s="1"/>
      <c r="W509" s="1"/>
      <c r="X509" s="1"/>
      <c r="Y509" s="1"/>
    </row>
    <row r="510">
      <c r="A510" s="17"/>
      <c r="B510" s="23"/>
      <c r="C510" s="1"/>
      <c r="D510" s="1"/>
      <c r="E510" s="1"/>
      <c r="F510" s="1"/>
      <c r="G510" s="1"/>
      <c r="H510" s="1"/>
      <c r="I510" s="1"/>
      <c r="J510" s="1"/>
      <c r="K510" s="1"/>
      <c r="L510" s="1"/>
      <c r="M510" s="1"/>
      <c r="N510" s="1"/>
      <c r="O510" s="1"/>
      <c r="P510" s="1"/>
      <c r="Q510" s="1"/>
      <c r="R510" s="1"/>
      <c r="S510" s="1"/>
      <c r="T510" s="1"/>
      <c r="U510" s="1"/>
      <c r="V510" s="1"/>
      <c r="W510" s="1"/>
      <c r="X510" s="1"/>
      <c r="Y510" s="1"/>
    </row>
    <row r="511">
      <c r="A511" s="17"/>
      <c r="B511" s="23"/>
      <c r="C511" s="1"/>
      <c r="D511" s="1"/>
      <c r="E511" s="1"/>
      <c r="F511" s="1"/>
      <c r="G511" s="1"/>
      <c r="H511" s="1"/>
      <c r="I511" s="1"/>
      <c r="J511" s="1"/>
      <c r="K511" s="1"/>
      <c r="L511" s="1"/>
      <c r="M511" s="1"/>
      <c r="N511" s="1"/>
      <c r="O511" s="1"/>
      <c r="P511" s="1"/>
      <c r="Q511" s="1"/>
      <c r="R511" s="1"/>
      <c r="S511" s="1"/>
      <c r="T511" s="1"/>
      <c r="U511" s="1"/>
      <c r="V511" s="1"/>
      <c r="W511" s="1"/>
      <c r="X511" s="1"/>
      <c r="Y511" s="1"/>
    </row>
    <row r="512">
      <c r="A512" s="17"/>
      <c r="B512" s="23"/>
      <c r="C512" s="1"/>
      <c r="D512" s="1"/>
      <c r="E512" s="1"/>
      <c r="F512" s="1"/>
      <c r="G512" s="1"/>
      <c r="H512" s="1"/>
      <c r="I512" s="1"/>
      <c r="J512" s="1"/>
      <c r="K512" s="1"/>
      <c r="L512" s="1"/>
      <c r="M512" s="1"/>
      <c r="N512" s="1"/>
      <c r="O512" s="1"/>
      <c r="P512" s="1"/>
      <c r="Q512" s="1"/>
      <c r="R512" s="1"/>
      <c r="S512" s="1"/>
      <c r="T512" s="1"/>
      <c r="U512" s="1"/>
      <c r="V512" s="1"/>
      <c r="W512" s="1"/>
      <c r="X512" s="1"/>
      <c r="Y512" s="1"/>
    </row>
    <row r="513">
      <c r="A513" s="17"/>
      <c r="B513" s="23"/>
      <c r="C513" s="1"/>
      <c r="D513" s="1"/>
      <c r="E513" s="1"/>
      <c r="F513" s="1"/>
      <c r="G513" s="1"/>
      <c r="H513" s="1"/>
      <c r="I513" s="1"/>
      <c r="J513" s="1"/>
      <c r="K513" s="1"/>
      <c r="L513" s="1"/>
      <c r="M513" s="1"/>
      <c r="N513" s="1"/>
      <c r="O513" s="1"/>
      <c r="P513" s="1"/>
      <c r="Q513" s="1"/>
      <c r="R513" s="1"/>
      <c r="S513" s="1"/>
      <c r="T513" s="1"/>
      <c r="U513" s="1"/>
      <c r="V513" s="1"/>
      <c r="W513" s="1"/>
      <c r="X513" s="1"/>
      <c r="Y513" s="1"/>
    </row>
    <row r="514">
      <c r="A514" s="17"/>
      <c r="B514" s="23"/>
      <c r="C514" s="1"/>
      <c r="D514" s="1"/>
      <c r="E514" s="1"/>
      <c r="F514" s="1"/>
      <c r="G514" s="1"/>
      <c r="H514" s="1"/>
      <c r="I514" s="1"/>
      <c r="J514" s="1"/>
      <c r="K514" s="1"/>
      <c r="L514" s="1"/>
      <c r="M514" s="1"/>
      <c r="N514" s="1"/>
      <c r="O514" s="1"/>
      <c r="P514" s="1"/>
      <c r="Q514" s="1"/>
      <c r="R514" s="1"/>
      <c r="S514" s="1"/>
      <c r="T514" s="1"/>
      <c r="U514" s="1"/>
      <c r="V514" s="1"/>
      <c r="W514" s="1"/>
      <c r="X514" s="1"/>
      <c r="Y514" s="1"/>
    </row>
    <row r="515">
      <c r="A515" s="17"/>
      <c r="B515" s="23"/>
      <c r="C515" s="1"/>
      <c r="D515" s="1"/>
      <c r="E515" s="1"/>
      <c r="F515" s="1"/>
      <c r="G515" s="1"/>
      <c r="H515" s="1"/>
      <c r="I515" s="1"/>
      <c r="J515" s="1"/>
      <c r="K515" s="1"/>
      <c r="L515" s="1"/>
      <c r="M515" s="1"/>
      <c r="N515" s="1"/>
      <c r="O515" s="1"/>
      <c r="P515" s="1"/>
      <c r="Q515" s="1"/>
      <c r="R515" s="1"/>
      <c r="S515" s="1"/>
      <c r="T515" s="1"/>
      <c r="U515" s="1"/>
      <c r="V515" s="1"/>
      <c r="W515" s="1"/>
      <c r="X515" s="1"/>
      <c r="Y515" s="1"/>
    </row>
    <row r="516">
      <c r="A516" s="17"/>
      <c r="B516" s="23"/>
      <c r="C516" s="1"/>
      <c r="D516" s="1"/>
      <c r="E516" s="1"/>
      <c r="F516" s="1"/>
      <c r="G516" s="1"/>
      <c r="H516" s="1"/>
      <c r="I516" s="1"/>
      <c r="J516" s="1"/>
      <c r="K516" s="1"/>
      <c r="L516" s="1"/>
      <c r="M516" s="1"/>
      <c r="N516" s="1"/>
      <c r="O516" s="1"/>
      <c r="P516" s="1"/>
      <c r="Q516" s="1"/>
      <c r="R516" s="1"/>
      <c r="S516" s="1"/>
      <c r="T516" s="1"/>
      <c r="U516" s="1"/>
      <c r="V516" s="1"/>
      <c r="W516" s="1"/>
      <c r="X516" s="1"/>
      <c r="Y516" s="1"/>
    </row>
    <row r="517">
      <c r="A517" s="17"/>
      <c r="B517" s="23"/>
      <c r="C517" s="1"/>
      <c r="D517" s="1"/>
      <c r="E517" s="1"/>
      <c r="F517" s="1"/>
      <c r="G517" s="1"/>
      <c r="H517" s="1"/>
      <c r="I517" s="1"/>
      <c r="J517" s="1"/>
      <c r="K517" s="1"/>
      <c r="L517" s="1"/>
      <c r="M517" s="1"/>
      <c r="N517" s="1"/>
      <c r="O517" s="1"/>
      <c r="P517" s="1"/>
      <c r="Q517" s="1"/>
      <c r="R517" s="1"/>
      <c r="S517" s="1"/>
      <c r="T517" s="1"/>
      <c r="U517" s="1"/>
      <c r="V517" s="1"/>
      <c r="W517" s="1"/>
      <c r="X517" s="1"/>
      <c r="Y517" s="1"/>
    </row>
    <row r="518">
      <c r="A518" s="17"/>
      <c r="B518" s="23"/>
      <c r="C518" s="1"/>
      <c r="D518" s="1"/>
      <c r="E518" s="1"/>
      <c r="F518" s="1"/>
      <c r="G518" s="1"/>
      <c r="H518" s="1"/>
      <c r="I518" s="1"/>
      <c r="J518" s="1"/>
      <c r="K518" s="1"/>
      <c r="L518" s="1"/>
      <c r="M518" s="1"/>
      <c r="N518" s="1"/>
      <c r="O518" s="1"/>
      <c r="P518" s="1"/>
      <c r="Q518" s="1"/>
      <c r="R518" s="1"/>
      <c r="S518" s="1"/>
      <c r="T518" s="1"/>
      <c r="U518" s="1"/>
      <c r="V518" s="1"/>
      <c r="W518" s="1"/>
      <c r="X518" s="1"/>
      <c r="Y518" s="1"/>
    </row>
    <row r="519">
      <c r="A519" s="17"/>
      <c r="B519" s="23"/>
      <c r="C519" s="1"/>
      <c r="D519" s="1"/>
      <c r="E519" s="1"/>
      <c r="F519" s="1"/>
      <c r="G519" s="1"/>
      <c r="H519" s="1"/>
      <c r="I519" s="1"/>
      <c r="J519" s="1"/>
      <c r="K519" s="1"/>
      <c r="L519" s="1"/>
      <c r="M519" s="1"/>
      <c r="N519" s="1"/>
      <c r="O519" s="1"/>
      <c r="P519" s="1"/>
      <c r="Q519" s="1"/>
      <c r="R519" s="1"/>
      <c r="S519" s="1"/>
      <c r="T519" s="1"/>
      <c r="U519" s="1"/>
      <c r="V519" s="1"/>
      <c r="W519" s="1"/>
      <c r="X519" s="1"/>
      <c r="Y519" s="1"/>
    </row>
    <row r="520">
      <c r="A520" s="17"/>
      <c r="B520" s="23"/>
      <c r="C520" s="1"/>
      <c r="D520" s="1"/>
      <c r="E520" s="1"/>
      <c r="F520" s="1"/>
      <c r="G520" s="1"/>
      <c r="H520" s="1"/>
      <c r="I520" s="1"/>
      <c r="J520" s="1"/>
      <c r="K520" s="1"/>
      <c r="L520" s="1"/>
      <c r="M520" s="1"/>
      <c r="N520" s="1"/>
      <c r="O520" s="1"/>
      <c r="P520" s="1"/>
      <c r="Q520" s="1"/>
      <c r="R520" s="1"/>
      <c r="S520" s="1"/>
      <c r="T520" s="1"/>
      <c r="U520" s="1"/>
      <c r="V520" s="1"/>
      <c r="W520" s="1"/>
      <c r="X520" s="1"/>
      <c r="Y520" s="1"/>
    </row>
    <row r="521">
      <c r="A521" s="17"/>
      <c r="B521" s="23"/>
      <c r="C521" s="1"/>
      <c r="D521" s="1"/>
      <c r="E521" s="1"/>
      <c r="F521" s="1"/>
      <c r="G521" s="1"/>
      <c r="H521" s="1"/>
      <c r="I521" s="1"/>
      <c r="J521" s="1"/>
      <c r="K521" s="1"/>
      <c r="L521" s="1"/>
      <c r="M521" s="1"/>
      <c r="N521" s="1"/>
      <c r="O521" s="1"/>
      <c r="P521" s="1"/>
      <c r="Q521" s="1"/>
      <c r="R521" s="1"/>
      <c r="S521" s="1"/>
      <c r="T521" s="1"/>
      <c r="U521" s="1"/>
      <c r="V521" s="1"/>
      <c r="W521" s="1"/>
      <c r="X521" s="1"/>
      <c r="Y521" s="1"/>
    </row>
    <row r="522">
      <c r="A522" s="17"/>
      <c r="B522" s="23"/>
      <c r="C522" s="1"/>
      <c r="D522" s="1"/>
      <c r="E522" s="1"/>
      <c r="F522" s="1"/>
      <c r="G522" s="1"/>
      <c r="H522" s="1"/>
      <c r="I522" s="1"/>
      <c r="J522" s="1"/>
      <c r="K522" s="1"/>
      <c r="L522" s="1"/>
      <c r="M522" s="1"/>
      <c r="N522" s="1"/>
      <c r="O522" s="1"/>
      <c r="P522" s="1"/>
      <c r="Q522" s="1"/>
      <c r="R522" s="1"/>
      <c r="S522" s="1"/>
      <c r="T522" s="1"/>
      <c r="U522" s="1"/>
      <c r="V522" s="1"/>
      <c r="W522" s="1"/>
      <c r="X522" s="1"/>
      <c r="Y522" s="1"/>
    </row>
    <row r="523">
      <c r="A523" s="17"/>
      <c r="B523" s="23"/>
      <c r="C523" s="1"/>
      <c r="D523" s="1"/>
      <c r="E523" s="1"/>
      <c r="F523" s="1"/>
      <c r="G523" s="1"/>
      <c r="H523" s="1"/>
      <c r="I523" s="1"/>
      <c r="J523" s="1"/>
      <c r="K523" s="1"/>
      <c r="L523" s="1"/>
      <c r="M523" s="1"/>
      <c r="N523" s="1"/>
      <c r="O523" s="1"/>
      <c r="P523" s="1"/>
      <c r="Q523" s="1"/>
      <c r="R523" s="1"/>
      <c r="S523" s="1"/>
      <c r="T523" s="1"/>
      <c r="U523" s="1"/>
      <c r="V523" s="1"/>
      <c r="W523" s="1"/>
      <c r="X523" s="1"/>
      <c r="Y523" s="1"/>
    </row>
    <row r="524">
      <c r="A524" s="17"/>
      <c r="B524" s="23"/>
      <c r="C524" s="1"/>
      <c r="D524" s="1"/>
      <c r="E524" s="1"/>
      <c r="F524" s="1"/>
      <c r="G524" s="1"/>
      <c r="H524" s="1"/>
      <c r="I524" s="1"/>
      <c r="J524" s="1"/>
      <c r="K524" s="1"/>
      <c r="L524" s="1"/>
      <c r="M524" s="1"/>
      <c r="N524" s="1"/>
      <c r="O524" s="1"/>
      <c r="P524" s="1"/>
      <c r="Q524" s="1"/>
      <c r="R524" s="1"/>
      <c r="S524" s="1"/>
      <c r="T524" s="1"/>
      <c r="U524" s="1"/>
      <c r="V524" s="1"/>
      <c r="W524" s="1"/>
      <c r="X524" s="1"/>
      <c r="Y524" s="1"/>
    </row>
    <row r="525">
      <c r="A525" s="17"/>
      <c r="B525" s="23"/>
      <c r="C525" s="1"/>
      <c r="D525" s="1"/>
      <c r="E525" s="1"/>
      <c r="F525" s="1"/>
      <c r="G525" s="1"/>
      <c r="H525" s="1"/>
      <c r="I525" s="1"/>
      <c r="J525" s="1"/>
      <c r="K525" s="1"/>
      <c r="L525" s="1"/>
      <c r="M525" s="1"/>
      <c r="N525" s="1"/>
      <c r="O525" s="1"/>
      <c r="P525" s="1"/>
      <c r="Q525" s="1"/>
      <c r="R525" s="1"/>
      <c r="S525" s="1"/>
      <c r="T525" s="1"/>
      <c r="U525" s="1"/>
      <c r="V525" s="1"/>
      <c r="W525" s="1"/>
      <c r="X525" s="1"/>
      <c r="Y525" s="1"/>
    </row>
    <row r="526">
      <c r="A526" s="17"/>
      <c r="B526" s="23"/>
      <c r="C526" s="1"/>
      <c r="D526" s="1"/>
      <c r="E526" s="1"/>
      <c r="F526" s="1"/>
      <c r="G526" s="1"/>
      <c r="H526" s="1"/>
      <c r="I526" s="1"/>
      <c r="J526" s="1"/>
      <c r="K526" s="1"/>
      <c r="L526" s="1"/>
      <c r="M526" s="1"/>
      <c r="N526" s="1"/>
      <c r="O526" s="1"/>
      <c r="P526" s="1"/>
      <c r="Q526" s="1"/>
      <c r="R526" s="1"/>
      <c r="S526" s="1"/>
      <c r="T526" s="1"/>
      <c r="U526" s="1"/>
      <c r="V526" s="1"/>
      <c r="W526" s="1"/>
      <c r="X526" s="1"/>
      <c r="Y526" s="1"/>
    </row>
    <row r="527">
      <c r="A527" s="17"/>
      <c r="B527" s="23"/>
      <c r="C527" s="1"/>
      <c r="D527" s="1"/>
      <c r="E527" s="1"/>
      <c r="F527" s="1"/>
      <c r="G527" s="1"/>
      <c r="H527" s="1"/>
      <c r="I527" s="1"/>
      <c r="J527" s="1"/>
      <c r="K527" s="1"/>
      <c r="L527" s="1"/>
      <c r="M527" s="1"/>
      <c r="N527" s="1"/>
      <c r="O527" s="1"/>
      <c r="P527" s="1"/>
      <c r="Q527" s="1"/>
      <c r="R527" s="1"/>
      <c r="S527" s="1"/>
      <c r="T527" s="1"/>
      <c r="U527" s="1"/>
      <c r="V527" s="1"/>
      <c r="W527" s="1"/>
      <c r="X527" s="1"/>
      <c r="Y527" s="1"/>
    </row>
    <row r="528">
      <c r="A528" s="17"/>
      <c r="B528" s="23"/>
      <c r="C528" s="1"/>
      <c r="D528" s="1"/>
      <c r="E528" s="1"/>
      <c r="F528" s="1"/>
      <c r="G528" s="1"/>
      <c r="H528" s="1"/>
      <c r="I528" s="1"/>
      <c r="J528" s="1"/>
      <c r="K528" s="1"/>
      <c r="L528" s="1"/>
      <c r="M528" s="1"/>
      <c r="N528" s="1"/>
      <c r="O528" s="1"/>
      <c r="P528" s="1"/>
      <c r="Q528" s="1"/>
      <c r="R528" s="1"/>
      <c r="S528" s="1"/>
      <c r="T528" s="1"/>
      <c r="U528" s="1"/>
      <c r="V528" s="1"/>
      <c r="W528" s="1"/>
      <c r="X528" s="1"/>
      <c r="Y528" s="1"/>
    </row>
    <row r="529">
      <c r="A529" s="17"/>
      <c r="B529" s="23"/>
      <c r="C529" s="1"/>
      <c r="D529" s="1"/>
      <c r="E529" s="1"/>
      <c r="F529" s="1"/>
      <c r="G529" s="1"/>
      <c r="H529" s="1"/>
      <c r="I529" s="1"/>
      <c r="J529" s="1"/>
      <c r="K529" s="1"/>
      <c r="L529" s="1"/>
      <c r="M529" s="1"/>
      <c r="N529" s="1"/>
      <c r="O529" s="1"/>
      <c r="P529" s="1"/>
      <c r="Q529" s="1"/>
      <c r="R529" s="1"/>
      <c r="S529" s="1"/>
      <c r="T529" s="1"/>
      <c r="U529" s="1"/>
      <c r="V529" s="1"/>
      <c r="W529" s="1"/>
      <c r="X529" s="1"/>
      <c r="Y529" s="1"/>
    </row>
    <row r="530">
      <c r="A530" s="17"/>
      <c r="B530" s="23"/>
      <c r="C530" s="1"/>
      <c r="D530" s="1"/>
      <c r="E530" s="1"/>
      <c r="F530" s="1"/>
      <c r="G530" s="1"/>
      <c r="H530" s="1"/>
      <c r="I530" s="1"/>
      <c r="J530" s="1"/>
      <c r="K530" s="1"/>
      <c r="L530" s="1"/>
      <c r="M530" s="1"/>
      <c r="N530" s="1"/>
      <c r="O530" s="1"/>
      <c r="P530" s="1"/>
      <c r="Q530" s="1"/>
      <c r="R530" s="1"/>
      <c r="S530" s="1"/>
      <c r="T530" s="1"/>
      <c r="U530" s="1"/>
      <c r="V530" s="1"/>
      <c r="W530" s="1"/>
      <c r="X530" s="1"/>
      <c r="Y530" s="1"/>
    </row>
    <row r="531">
      <c r="A531" s="17"/>
      <c r="B531" s="23"/>
      <c r="C531" s="1"/>
      <c r="D531" s="1"/>
      <c r="E531" s="1"/>
      <c r="F531" s="1"/>
      <c r="G531" s="1"/>
      <c r="H531" s="1"/>
      <c r="I531" s="1"/>
      <c r="J531" s="1"/>
      <c r="K531" s="1"/>
      <c r="L531" s="1"/>
      <c r="M531" s="1"/>
      <c r="N531" s="1"/>
      <c r="O531" s="1"/>
      <c r="P531" s="1"/>
      <c r="Q531" s="1"/>
      <c r="R531" s="1"/>
      <c r="S531" s="1"/>
      <c r="T531" s="1"/>
      <c r="U531" s="1"/>
      <c r="V531" s="1"/>
      <c r="W531" s="1"/>
      <c r="X531" s="1"/>
      <c r="Y531" s="1"/>
    </row>
    <row r="532">
      <c r="A532" s="17"/>
      <c r="B532" s="23"/>
      <c r="C532" s="1"/>
      <c r="D532" s="1"/>
      <c r="E532" s="1"/>
      <c r="F532" s="1"/>
      <c r="G532" s="1"/>
      <c r="H532" s="1"/>
      <c r="I532" s="1"/>
      <c r="J532" s="1"/>
      <c r="K532" s="1"/>
      <c r="L532" s="1"/>
      <c r="M532" s="1"/>
      <c r="N532" s="1"/>
      <c r="O532" s="1"/>
      <c r="P532" s="1"/>
      <c r="Q532" s="1"/>
      <c r="R532" s="1"/>
      <c r="S532" s="1"/>
      <c r="T532" s="1"/>
      <c r="U532" s="1"/>
      <c r="V532" s="1"/>
      <c r="W532" s="1"/>
      <c r="X532" s="1"/>
      <c r="Y532" s="1"/>
    </row>
    <row r="533">
      <c r="A533" s="17"/>
      <c r="B533" s="23"/>
      <c r="C533" s="1"/>
      <c r="D533" s="1"/>
      <c r="E533" s="1"/>
      <c r="F533" s="1"/>
      <c r="G533" s="1"/>
      <c r="H533" s="1"/>
      <c r="I533" s="1"/>
      <c r="J533" s="1"/>
      <c r="K533" s="1"/>
      <c r="L533" s="1"/>
      <c r="M533" s="1"/>
      <c r="N533" s="1"/>
      <c r="O533" s="1"/>
      <c r="P533" s="1"/>
      <c r="Q533" s="1"/>
      <c r="R533" s="1"/>
      <c r="S533" s="1"/>
      <c r="T533" s="1"/>
      <c r="U533" s="1"/>
      <c r="V533" s="1"/>
      <c r="W533" s="1"/>
      <c r="X533" s="1"/>
      <c r="Y533" s="1"/>
    </row>
    <row r="534">
      <c r="A534" s="17"/>
      <c r="B534" s="23"/>
      <c r="C534" s="1"/>
      <c r="D534" s="1"/>
      <c r="E534" s="1"/>
      <c r="F534" s="1"/>
      <c r="G534" s="1"/>
      <c r="H534" s="1"/>
      <c r="I534" s="1"/>
      <c r="J534" s="1"/>
      <c r="K534" s="1"/>
      <c r="L534" s="1"/>
      <c r="M534" s="1"/>
      <c r="N534" s="1"/>
      <c r="O534" s="1"/>
      <c r="P534" s="1"/>
      <c r="Q534" s="1"/>
      <c r="R534" s="1"/>
      <c r="S534" s="1"/>
      <c r="T534" s="1"/>
      <c r="U534" s="1"/>
      <c r="V534" s="1"/>
      <c r="W534" s="1"/>
      <c r="X534" s="1"/>
      <c r="Y534" s="1"/>
    </row>
    <row r="535">
      <c r="A535" s="17"/>
      <c r="B535" s="23"/>
      <c r="C535" s="1"/>
      <c r="D535" s="1"/>
      <c r="E535" s="1"/>
      <c r="F535" s="1"/>
      <c r="G535" s="1"/>
      <c r="H535" s="1"/>
      <c r="I535" s="1"/>
      <c r="J535" s="1"/>
      <c r="K535" s="1"/>
      <c r="L535" s="1"/>
      <c r="M535" s="1"/>
      <c r="N535" s="1"/>
      <c r="O535" s="1"/>
      <c r="P535" s="1"/>
      <c r="Q535" s="1"/>
      <c r="R535" s="1"/>
      <c r="S535" s="1"/>
      <c r="T535" s="1"/>
      <c r="U535" s="1"/>
      <c r="V535" s="1"/>
      <c r="W535" s="1"/>
      <c r="X535" s="1"/>
      <c r="Y535" s="1"/>
    </row>
    <row r="536">
      <c r="A536" s="17"/>
      <c r="B536" s="23"/>
      <c r="C536" s="1"/>
      <c r="D536" s="1"/>
      <c r="E536" s="1"/>
      <c r="F536" s="1"/>
      <c r="G536" s="1"/>
      <c r="H536" s="1"/>
      <c r="I536" s="1"/>
      <c r="J536" s="1"/>
      <c r="K536" s="1"/>
      <c r="L536" s="1"/>
      <c r="M536" s="1"/>
      <c r="N536" s="1"/>
      <c r="O536" s="1"/>
      <c r="P536" s="1"/>
      <c r="Q536" s="1"/>
      <c r="R536" s="1"/>
      <c r="S536" s="1"/>
      <c r="T536" s="1"/>
      <c r="U536" s="1"/>
      <c r="V536" s="1"/>
      <c r="W536" s="1"/>
      <c r="X536" s="1"/>
      <c r="Y536" s="1"/>
    </row>
    <row r="537">
      <c r="A537" s="17"/>
      <c r="B537" s="23"/>
      <c r="C537" s="1"/>
      <c r="D537" s="1"/>
      <c r="E537" s="1"/>
      <c r="F537" s="1"/>
      <c r="G537" s="1"/>
      <c r="H537" s="1"/>
      <c r="I537" s="1"/>
      <c r="J537" s="1"/>
      <c r="K537" s="1"/>
      <c r="L537" s="1"/>
      <c r="M537" s="1"/>
      <c r="N537" s="1"/>
      <c r="O537" s="1"/>
      <c r="P537" s="1"/>
      <c r="Q537" s="1"/>
      <c r="R537" s="1"/>
      <c r="S537" s="1"/>
      <c r="T537" s="1"/>
      <c r="U537" s="1"/>
      <c r="V537" s="1"/>
      <c r="W537" s="1"/>
      <c r="X537" s="1"/>
      <c r="Y537" s="1"/>
    </row>
    <row r="538">
      <c r="A538" s="17"/>
      <c r="B538" s="23"/>
      <c r="C538" s="1"/>
      <c r="D538" s="1"/>
      <c r="E538" s="1"/>
      <c r="F538" s="1"/>
      <c r="G538" s="1"/>
      <c r="H538" s="1"/>
      <c r="I538" s="1"/>
      <c r="J538" s="1"/>
      <c r="K538" s="1"/>
      <c r="L538" s="1"/>
      <c r="M538" s="1"/>
      <c r="N538" s="1"/>
      <c r="O538" s="1"/>
      <c r="P538" s="1"/>
      <c r="Q538" s="1"/>
      <c r="R538" s="1"/>
      <c r="S538" s="1"/>
      <c r="T538" s="1"/>
      <c r="U538" s="1"/>
      <c r="V538" s="1"/>
      <c r="W538" s="1"/>
      <c r="X538" s="1"/>
      <c r="Y538" s="1"/>
    </row>
    <row r="539">
      <c r="A539" s="17"/>
      <c r="B539" s="23"/>
      <c r="C539" s="1"/>
      <c r="D539" s="1"/>
      <c r="E539" s="1"/>
      <c r="F539" s="1"/>
      <c r="G539" s="1"/>
      <c r="H539" s="1"/>
      <c r="I539" s="1"/>
      <c r="J539" s="1"/>
      <c r="K539" s="1"/>
      <c r="L539" s="1"/>
      <c r="M539" s="1"/>
      <c r="N539" s="1"/>
      <c r="O539" s="1"/>
      <c r="P539" s="1"/>
      <c r="Q539" s="1"/>
      <c r="R539" s="1"/>
      <c r="S539" s="1"/>
      <c r="T539" s="1"/>
      <c r="U539" s="1"/>
      <c r="V539" s="1"/>
      <c r="W539" s="1"/>
      <c r="X539" s="1"/>
      <c r="Y539" s="1"/>
    </row>
    <row r="540">
      <c r="A540" s="17"/>
      <c r="B540" s="23"/>
      <c r="C540" s="1"/>
      <c r="D540" s="1"/>
      <c r="E540" s="1"/>
      <c r="F540" s="1"/>
      <c r="G540" s="1"/>
      <c r="H540" s="1"/>
      <c r="I540" s="1"/>
      <c r="J540" s="1"/>
      <c r="K540" s="1"/>
      <c r="L540" s="1"/>
      <c r="M540" s="1"/>
      <c r="N540" s="1"/>
      <c r="O540" s="1"/>
      <c r="P540" s="1"/>
      <c r="Q540" s="1"/>
      <c r="R540" s="1"/>
      <c r="S540" s="1"/>
      <c r="T540" s="1"/>
      <c r="U540" s="1"/>
      <c r="V540" s="1"/>
      <c r="W540" s="1"/>
      <c r="X540" s="1"/>
      <c r="Y540" s="1"/>
    </row>
    <row r="541">
      <c r="A541" s="17"/>
      <c r="B541" s="23"/>
      <c r="C541" s="1"/>
      <c r="D541" s="1"/>
      <c r="E541" s="1"/>
      <c r="F541" s="1"/>
      <c r="G541" s="1"/>
      <c r="H541" s="1"/>
      <c r="I541" s="1"/>
      <c r="J541" s="1"/>
      <c r="K541" s="1"/>
      <c r="L541" s="1"/>
      <c r="M541" s="1"/>
      <c r="N541" s="1"/>
      <c r="O541" s="1"/>
      <c r="P541" s="1"/>
      <c r="Q541" s="1"/>
      <c r="R541" s="1"/>
      <c r="S541" s="1"/>
      <c r="T541" s="1"/>
      <c r="U541" s="1"/>
      <c r="V541" s="1"/>
      <c r="W541" s="1"/>
      <c r="X541" s="1"/>
      <c r="Y541" s="1"/>
    </row>
    <row r="542">
      <c r="A542" s="17"/>
      <c r="B542" s="23"/>
      <c r="C542" s="1"/>
      <c r="D542" s="1"/>
      <c r="E542" s="1"/>
      <c r="F542" s="1"/>
      <c r="G542" s="1"/>
      <c r="H542" s="1"/>
      <c r="I542" s="1"/>
      <c r="J542" s="1"/>
      <c r="K542" s="1"/>
      <c r="L542" s="1"/>
      <c r="M542" s="1"/>
      <c r="N542" s="1"/>
      <c r="O542" s="1"/>
      <c r="P542" s="1"/>
      <c r="Q542" s="1"/>
      <c r="R542" s="1"/>
      <c r="S542" s="1"/>
      <c r="T542" s="1"/>
      <c r="U542" s="1"/>
      <c r="V542" s="1"/>
      <c r="W542" s="1"/>
      <c r="X542" s="1"/>
      <c r="Y542" s="1"/>
    </row>
    <row r="543">
      <c r="A543" s="17"/>
      <c r="B543" s="23"/>
      <c r="C543" s="1"/>
      <c r="D543" s="1"/>
      <c r="E543" s="1"/>
      <c r="F543" s="1"/>
      <c r="G543" s="1"/>
      <c r="H543" s="1"/>
      <c r="I543" s="1"/>
      <c r="J543" s="1"/>
      <c r="K543" s="1"/>
      <c r="L543" s="1"/>
      <c r="M543" s="1"/>
      <c r="N543" s="1"/>
      <c r="O543" s="1"/>
      <c r="P543" s="1"/>
      <c r="Q543" s="1"/>
      <c r="R543" s="1"/>
      <c r="S543" s="1"/>
      <c r="T543" s="1"/>
      <c r="U543" s="1"/>
      <c r="V543" s="1"/>
      <c r="W543" s="1"/>
      <c r="X543" s="1"/>
      <c r="Y543" s="1"/>
    </row>
    <row r="544">
      <c r="A544" s="17"/>
      <c r="B544" s="23"/>
      <c r="C544" s="1"/>
      <c r="D544" s="1"/>
      <c r="E544" s="1"/>
      <c r="F544" s="1"/>
      <c r="G544" s="1"/>
      <c r="H544" s="1"/>
      <c r="I544" s="1"/>
      <c r="J544" s="1"/>
      <c r="K544" s="1"/>
      <c r="L544" s="1"/>
      <c r="M544" s="1"/>
      <c r="N544" s="1"/>
      <c r="O544" s="1"/>
      <c r="P544" s="1"/>
      <c r="Q544" s="1"/>
      <c r="R544" s="1"/>
      <c r="S544" s="1"/>
      <c r="T544" s="1"/>
      <c r="U544" s="1"/>
      <c r="V544" s="1"/>
      <c r="W544" s="1"/>
      <c r="X544" s="1"/>
      <c r="Y544" s="1"/>
    </row>
    <row r="545">
      <c r="A545" s="17"/>
      <c r="B545" s="23"/>
      <c r="C545" s="1"/>
      <c r="D545" s="1"/>
      <c r="E545" s="1"/>
      <c r="F545" s="1"/>
      <c r="G545" s="1"/>
      <c r="H545" s="1"/>
      <c r="I545" s="1"/>
      <c r="J545" s="1"/>
      <c r="K545" s="1"/>
      <c r="L545" s="1"/>
      <c r="M545" s="1"/>
      <c r="N545" s="1"/>
      <c r="O545" s="1"/>
      <c r="P545" s="1"/>
      <c r="Q545" s="1"/>
      <c r="R545" s="1"/>
      <c r="S545" s="1"/>
      <c r="T545" s="1"/>
      <c r="U545" s="1"/>
      <c r="V545" s="1"/>
      <c r="W545" s="1"/>
      <c r="X545" s="1"/>
      <c r="Y545" s="1"/>
    </row>
    <row r="546">
      <c r="A546" s="17"/>
      <c r="B546" s="23"/>
      <c r="C546" s="1"/>
      <c r="D546" s="1"/>
      <c r="E546" s="1"/>
      <c r="F546" s="1"/>
      <c r="G546" s="1"/>
      <c r="H546" s="1"/>
      <c r="I546" s="1"/>
      <c r="J546" s="1"/>
      <c r="K546" s="1"/>
      <c r="L546" s="1"/>
      <c r="M546" s="1"/>
      <c r="N546" s="1"/>
      <c r="O546" s="1"/>
      <c r="P546" s="1"/>
      <c r="Q546" s="1"/>
      <c r="R546" s="1"/>
      <c r="S546" s="1"/>
      <c r="T546" s="1"/>
      <c r="U546" s="1"/>
      <c r="V546" s="1"/>
      <c r="W546" s="1"/>
      <c r="X546" s="1"/>
      <c r="Y546" s="1"/>
    </row>
    <row r="547">
      <c r="A547" s="17"/>
      <c r="B547" s="23"/>
      <c r="C547" s="1"/>
      <c r="D547" s="1"/>
      <c r="E547" s="1"/>
      <c r="F547" s="1"/>
      <c r="G547" s="1"/>
      <c r="H547" s="1"/>
      <c r="I547" s="1"/>
      <c r="J547" s="1"/>
      <c r="K547" s="1"/>
      <c r="L547" s="1"/>
      <c r="M547" s="1"/>
      <c r="N547" s="1"/>
      <c r="O547" s="1"/>
      <c r="P547" s="1"/>
      <c r="Q547" s="1"/>
      <c r="R547" s="1"/>
      <c r="S547" s="1"/>
      <c r="T547" s="1"/>
      <c r="U547" s="1"/>
      <c r="V547" s="1"/>
      <c r="W547" s="1"/>
      <c r="X547" s="1"/>
      <c r="Y547" s="1"/>
    </row>
    <row r="548">
      <c r="A548" s="17"/>
      <c r="B548" s="23"/>
      <c r="C548" s="1"/>
      <c r="D548" s="1"/>
      <c r="E548" s="1"/>
      <c r="F548" s="1"/>
      <c r="G548" s="1"/>
      <c r="H548" s="1"/>
      <c r="I548" s="1"/>
      <c r="J548" s="1"/>
      <c r="K548" s="1"/>
      <c r="L548" s="1"/>
      <c r="M548" s="1"/>
      <c r="N548" s="1"/>
      <c r="O548" s="1"/>
      <c r="P548" s="1"/>
      <c r="Q548" s="1"/>
      <c r="R548" s="1"/>
      <c r="S548" s="1"/>
      <c r="T548" s="1"/>
      <c r="U548" s="1"/>
      <c r="V548" s="1"/>
      <c r="W548" s="1"/>
      <c r="X548" s="1"/>
      <c r="Y548" s="1"/>
    </row>
    <row r="549">
      <c r="A549" s="17"/>
      <c r="B549" s="23"/>
      <c r="C549" s="1"/>
      <c r="D549" s="1"/>
      <c r="E549" s="1"/>
      <c r="F549" s="1"/>
      <c r="G549" s="1"/>
      <c r="H549" s="1"/>
      <c r="I549" s="1"/>
      <c r="J549" s="1"/>
      <c r="K549" s="1"/>
      <c r="L549" s="1"/>
      <c r="M549" s="1"/>
      <c r="N549" s="1"/>
      <c r="O549" s="1"/>
      <c r="P549" s="1"/>
      <c r="Q549" s="1"/>
      <c r="R549" s="1"/>
      <c r="S549" s="1"/>
      <c r="T549" s="1"/>
      <c r="U549" s="1"/>
      <c r="V549" s="1"/>
      <c r="W549" s="1"/>
      <c r="X549" s="1"/>
      <c r="Y549" s="1"/>
    </row>
    <row r="550">
      <c r="A550" s="17"/>
      <c r="B550" s="23"/>
      <c r="C550" s="1"/>
      <c r="D550" s="1"/>
      <c r="E550" s="1"/>
      <c r="F550" s="1"/>
      <c r="G550" s="1"/>
      <c r="H550" s="1"/>
      <c r="I550" s="1"/>
      <c r="J550" s="1"/>
      <c r="K550" s="1"/>
      <c r="L550" s="1"/>
      <c r="M550" s="1"/>
      <c r="N550" s="1"/>
      <c r="O550" s="1"/>
      <c r="P550" s="1"/>
      <c r="Q550" s="1"/>
      <c r="R550" s="1"/>
      <c r="S550" s="1"/>
      <c r="T550" s="1"/>
      <c r="U550" s="1"/>
      <c r="V550" s="1"/>
      <c r="W550" s="1"/>
      <c r="X550" s="1"/>
      <c r="Y550" s="1"/>
    </row>
    <row r="551">
      <c r="A551" s="17"/>
      <c r="B551" s="23"/>
      <c r="C551" s="1"/>
      <c r="D551" s="1"/>
      <c r="E551" s="1"/>
      <c r="F551" s="1"/>
      <c r="G551" s="1"/>
      <c r="H551" s="1"/>
      <c r="I551" s="1"/>
      <c r="J551" s="1"/>
      <c r="K551" s="1"/>
      <c r="L551" s="1"/>
      <c r="M551" s="1"/>
      <c r="N551" s="1"/>
      <c r="O551" s="1"/>
      <c r="P551" s="1"/>
      <c r="Q551" s="1"/>
      <c r="R551" s="1"/>
      <c r="S551" s="1"/>
      <c r="T551" s="1"/>
      <c r="U551" s="1"/>
      <c r="V551" s="1"/>
      <c r="W551" s="1"/>
      <c r="X551" s="1"/>
      <c r="Y551" s="1"/>
    </row>
    <row r="552">
      <c r="A552" s="17"/>
      <c r="B552" s="23"/>
      <c r="C552" s="1"/>
      <c r="D552" s="1"/>
      <c r="E552" s="1"/>
      <c r="F552" s="1"/>
      <c r="G552" s="1"/>
      <c r="H552" s="1"/>
      <c r="I552" s="1"/>
      <c r="J552" s="1"/>
      <c r="K552" s="1"/>
      <c r="L552" s="1"/>
      <c r="M552" s="1"/>
      <c r="N552" s="1"/>
      <c r="O552" s="1"/>
      <c r="P552" s="1"/>
      <c r="Q552" s="1"/>
      <c r="R552" s="1"/>
      <c r="S552" s="1"/>
      <c r="T552" s="1"/>
      <c r="U552" s="1"/>
      <c r="V552" s="1"/>
      <c r="W552" s="1"/>
      <c r="X552" s="1"/>
      <c r="Y552" s="1"/>
    </row>
    <row r="553">
      <c r="A553" s="17"/>
      <c r="B553" s="23"/>
      <c r="C553" s="1"/>
      <c r="D553" s="1"/>
      <c r="E553" s="1"/>
      <c r="F553" s="1"/>
      <c r="G553" s="1"/>
      <c r="H553" s="1"/>
      <c r="I553" s="1"/>
      <c r="J553" s="1"/>
      <c r="K553" s="1"/>
      <c r="L553" s="1"/>
      <c r="M553" s="1"/>
      <c r="N553" s="1"/>
      <c r="O553" s="1"/>
      <c r="P553" s="1"/>
      <c r="Q553" s="1"/>
      <c r="R553" s="1"/>
      <c r="S553" s="1"/>
      <c r="T553" s="1"/>
      <c r="U553" s="1"/>
      <c r="V553" s="1"/>
      <c r="W553" s="1"/>
      <c r="X553" s="1"/>
      <c r="Y553" s="1"/>
    </row>
    <row r="554">
      <c r="A554" s="17"/>
      <c r="B554" s="23"/>
      <c r="C554" s="1"/>
      <c r="D554" s="1"/>
      <c r="E554" s="1"/>
      <c r="F554" s="1"/>
      <c r="G554" s="1"/>
      <c r="H554" s="1"/>
      <c r="I554" s="1"/>
      <c r="J554" s="1"/>
      <c r="K554" s="1"/>
      <c r="L554" s="1"/>
      <c r="M554" s="1"/>
      <c r="N554" s="1"/>
      <c r="O554" s="1"/>
      <c r="P554" s="1"/>
      <c r="Q554" s="1"/>
      <c r="R554" s="1"/>
      <c r="S554" s="1"/>
      <c r="T554" s="1"/>
      <c r="U554" s="1"/>
      <c r="V554" s="1"/>
      <c r="W554" s="1"/>
      <c r="X554" s="1"/>
      <c r="Y554" s="1"/>
    </row>
    <row r="555">
      <c r="A555" s="17"/>
      <c r="B555" s="23"/>
      <c r="C555" s="1"/>
      <c r="D555" s="1"/>
      <c r="E555" s="1"/>
      <c r="F555" s="1"/>
      <c r="G555" s="1"/>
      <c r="H555" s="1"/>
      <c r="I555" s="1"/>
      <c r="J555" s="1"/>
      <c r="K555" s="1"/>
      <c r="L555" s="1"/>
      <c r="M555" s="1"/>
      <c r="N555" s="1"/>
      <c r="O555" s="1"/>
      <c r="P555" s="1"/>
      <c r="Q555" s="1"/>
      <c r="R555" s="1"/>
      <c r="S555" s="1"/>
      <c r="T555" s="1"/>
      <c r="U555" s="1"/>
      <c r="V555" s="1"/>
      <c r="W555" s="1"/>
      <c r="X555" s="1"/>
      <c r="Y555" s="1"/>
    </row>
    <row r="556">
      <c r="A556" s="17"/>
      <c r="B556" s="23"/>
      <c r="C556" s="1"/>
      <c r="D556" s="1"/>
      <c r="E556" s="1"/>
      <c r="F556" s="1"/>
      <c r="G556" s="1"/>
      <c r="H556" s="1"/>
      <c r="I556" s="1"/>
      <c r="J556" s="1"/>
      <c r="K556" s="1"/>
      <c r="L556" s="1"/>
      <c r="M556" s="1"/>
      <c r="N556" s="1"/>
      <c r="O556" s="1"/>
      <c r="P556" s="1"/>
      <c r="Q556" s="1"/>
      <c r="R556" s="1"/>
      <c r="S556" s="1"/>
      <c r="T556" s="1"/>
      <c r="U556" s="1"/>
      <c r="V556" s="1"/>
      <c r="W556" s="1"/>
      <c r="X556" s="1"/>
      <c r="Y556" s="1"/>
    </row>
    <row r="557">
      <c r="A557" s="17"/>
      <c r="B557" s="23"/>
      <c r="C557" s="1"/>
      <c r="D557" s="1"/>
      <c r="E557" s="1"/>
      <c r="F557" s="1"/>
      <c r="G557" s="1"/>
      <c r="H557" s="1"/>
      <c r="I557" s="1"/>
      <c r="J557" s="1"/>
      <c r="K557" s="1"/>
      <c r="L557" s="1"/>
      <c r="M557" s="1"/>
      <c r="N557" s="1"/>
      <c r="O557" s="1"/>
      <c r="P557" s="1"/>
      <c r="Q557" s="1"/>
      <c r="R557" s="1"/>
      <c r="S557" s="1"/>
      <c r="T557" s="1"/>
      <c r="U557" s="1"/>
      <c r="V557" s="1"/>
      <c r="W557" s="1"/>
      <c r="X557" s="1"/>
      <c r="Y557" s="1"/>
    </row>
    <row r="558">
      <c r="A558" s="17"/>
      <c r="B558" s="23"/>
      <c r="C558" s="1"/>
      <c r="D558" s="1"/>
      <c r="E558" s="1"/>
      <c r="F558" s="1"/>
      <c r="G558" s="1"/>
      <c r="H558" s="1"/>
      <c r="I558" s="1"/>
      <c r="J558" s="1"/>
      <c r="K558" s="1"/>
      <c r="L558" s="1"/>
      <c r="M558" s="1"/>
      <c r="N558" s="1"/>
      <c r="O558" s="1"/>
      <c r="P558" s="1"/>
      <c r="Q558" s="1"/>
      <c r="R558" s="1"/>
      <c r="S558" s="1"/>
      <c r="T558" s="1"/>
      <c r="U558" s="1"/>
      <c r="V558" s="1"/>
      <c r="W558" s="1"/>
      <c r="X558" s="1"/>
      <c r="Y558" s="1"/>
    </row>
    <row r="559">
      <c r="A559" s="17"/>
      <c r="B559" s="23"/>
      <c r="C559" s="1"/>
      <c r="D559" s="1"/>
      <c r="E559" s="1"/>
      <c r="F559" s="1"/>
      <c r="G559" s="1"/>
      <c r="H559" s="1"/>
      <c r="I559" s="1"/>
      <c r="J559" s="1"/>
      <c r="K559" s="1"/>
      <c r="L559" s="1"/>
      <c r="M559" s="1"/>
      <c r="N559" s="1"/>
      <c r="O559" s="1"/>
      <c r="P559" s="1"/>
      <c r="Q559" s="1"/>
      <c r="R559" s="1"/>
      <c r="S559" s="1"/>
      <c r="T559" s="1"/>
      <c r="U559" s="1"/>
      <c r="V559" s="1"/>
      <c r="W559" s="1"/>
      <c r="X559" s="1"/>
      <c r="Y559" s="1"/>
    </row>
    <row r="560">
      <c r="A560" s="17"/>
      <c r="B560" s="23"/>
      <c r="C560" s="1"/>
      <c r="D560" s="1"/>
      <c r="E560" s="1"/>
      <c r="F560" s="1"/>
      <c r="G560" s="1"/>
      <c r="H560" s="1"/>
      <c r="I560" s="1"/>
      <c r="J560" s="1"/>
      <c r="K560" s="1"/>
      <c r="L560" s="1"/>
      <c r="M560" s="1"/>
      <c r="N560" s="1"/>
      <c r="O560" s="1"/>
      <c r="P560" s="1"/>
      <c r="Q560" s="1"/>
      <c r="R560" s="1"/>
      <c r="S560" s="1"/>
      <c r="T560" s="1"/>
      <c r="U560" s="1"/>
      <c r="V560" s="1"/>
      <c r="W560" s="1"/>
      <c r="X560" s="1"/>
      <c r="Y560" s="1"/>
    </row>
    <row r="561">
      <c r="A561" s="17"/>
      <c r="B561" s="23"/>
      <c r="C561" s="1"/>
      <c r="D561" s="1"/>
      <c r="E561" s="1"/>
      <c r="F561" s="1"/>
      <c r="G561" s="1"/>
      <c r="H561" s="1"/>
      <c r="I561" s="1"/>
      <c r="J561" s="1"/>
      <c r="K561" s="1"/>
      <c r="L561" s="1"/>
      <c r="M561" s="1"/>
      <c r="N561" s="1"/>
      <c r="O561" s="1"/>
      <c r="P561" s="1"/>
      <c r="Q561" s="1"/>
      <c r="R561" s="1"/>
      <c r="S561" s="1"/>
      <c r="T561" s="1"/>
      <c r="U561" s="1"/>
      <c r="V561" s="1"/>
      <c r="W561" s="1"/>
      <c r="X561" s="1"/>
      <c r="Y561" s="1"/>
    </row>
    <row r="562">
      <c r="A562" s="17"/>
      <c r="B562" s="23"/>
      <c r="C562" s="1"/>
      <c r="D562" s="1"/>
      <c r="E562" s="1"/>
      <c r="F562" s="1"/>
      <c r="G562" s="1"/>
      <c r="H562" s="1"/>
      <c r="I562" s="1"/>
      <c r="J562" s="1"/>
      <c r="K562" s="1"/>
      <c r="L562" s="1"/>
      <c r="M562" s="1"/>
      <c r="N562" s="1"/>
      <c r="O562" s="1"/>
      <c r="P562" s="1"/>
      <c r="Q562" s="1"/>
      <c r="R562" s="1"/>
      <c r="S562" s="1"/>
      <c r="T562" s="1"/>
      <c r="U562" s="1"/>
      <c r="V562" s="1"/>
      <c r="W562" s="1"/>
      <c r="X562" s="1"/>
      <c r="Y562" s="1"/>
    </row>
    <row r="563">
      <c r="A563" s="17"/>
      <c r="B563" s="23"/>
      <c r="C563" s="1"/>
      <c r="D563" s="1"/>
      <c r="E563" s="1"/>
      <c r="F563" s="1"/>
      <c r="G563" s="1"/>
      <c r="H563" s="1"/>
      <c r="I563" s="1"/>
      <c r="J563" s="1"/>
      <c r="K563" s="1"/>
      <c r="L563" s="1"/>
      <c r="M563" s="1"/>
      <c r="N563" s="1"/>
      <c r="O563" s="1"/>
      <c r="P563" s="1"/>
      <c r="Q563" s="1"/>
      <c r="R563" s="1"/>
      <c r="S563" s="1"/>
      <c r="T563" s="1"/>
      <c r="U563" s="1"/>
      <c r="V563" s="1"/>
      <c r="W563" s="1"/>
      <c r="X563" s="1"/>
      <c r="Y563" s="1"/>
    </row>
    <row r="564">
      <c r="A564" s="17"/>
      <c r="B564" s="23"/>
      <c r="C564" s="1"/>
      <c r="D564" s="1"/>
      <c r="E564" s="1"/>
      <c r="F564" s="1"/>
      <c r="G564" s="1"/>
      <c r="H564" s="1"/>
      <c r="I564" s="1"/>
      <c r="J564" s="1"/>
      <c r="K564" s="1"/>
      <c r="L564" s="1"/>
      <c r="M564" s="1"/>
      <c r="N564" s="1"/>
      <c r="O564" s="1"/>
      <c r="P564" s="1"/>
      <c r="Q564" s="1"/>
      <c r="R564" s="1"/>
      <c r="S564" s="1"/>
      <c r="T564" s="1"/>
      <c r="U564" s="1"/>
      <c r="V564" s="1"/>
      <c r="W564" s="1"/>
      <c r="X564" s="1"/>
      <c r="Y564" s="1"/>
    </row>
    <row r="565">
      <c r="A565" s="17"/>
      <c r="B565" s="23"/>
      <c r="C565" s="1"/>
      <c r="D565" s="1"/>
      <c r="E565" s="1"/>
      <c r="F565" s="1"/>
      <c r="G565" s="1"/>
      <c r="H565" s="1"/>
      <c r="I565" s="1"/>
      <c r="J565" s="1"/>
      <c r="K565" s="1"/>
      <c r="L565" s="1"/>
      <c r="M565" s="1"/>
      <c r="N565" s="1"/>
      <c r="O565" s="1"/>
      <c r="P565" s="1"/>
      <c r="Q565" s="1"/>
      <c r="R565" s="1"/>
      <c r="S565" s="1"/>
      <c r="T565" s="1"/>
      <c r="U565" s="1"/>
      <c r="V565" s="1"/>
      <c r="W565" s="1"/>
      <c r="X565" s="1"/>
      <c r="Y565" s="1"/>
    </row>
    <row r="566">
      <c r="A566" s="17"/>
      <c r="B566" s="23"/>
      <c r="C566" s="1"/>
      <c r="D566" s="1"/>
      <c r="E566" s="1"/>
      <c r="F566" s="1"/>
      <c r="G566" s="1"/>
      <c r="H566" s="1"/>
      <c r="I566" s="1"/>
      <c r="J566" s="1"/>
      <c r="K566" s="1"/>
      <c r="L566" s="1"/>
      <c r="M566" s="1"/>
      <c r="N566" s="1"/>
      <c r="O566" s="1"/>
      <c r="P566" s="1"/>
      <c r="Q566" s="1"/>
      <c r="R566" s="1"/>
      <c r="S566" s="1"/>
      <c r="T566" s="1"/>
      <c r="U566" s="1"/>
      <c r="V566" s="1"/>
      <c r="W566" s="1"/>
      <c r="X566" s="1"/>
      <c r="Y566" s="1"/>
    </row>
    <row r="567">
      <c r="A567" s="17"/>
      <c r="B567" s="23"/>
      <c r="C567" s="1"/>
      <c r="D567" s="1"/>
      <c r="E567" s="1"/>
      <c r="F567" s="1"/>
      <c r="G567" s="1"/>
      <c r="H567" s="1"/>
      <c r="I567" s="1"/>
      <c r="J567" s="1"/>
      <c r="K567" s="1"/>
      <c r="L567" s="1"/>
      <c r="M567" s="1"/>
      <c r="N567" s="1"/>
      <c r="O567" s="1"/>
      <c r="P567" s="1"/>
      <c r="Q567" s="1"/>
      <c r="R567" s="1"/>
      <c r="S567" s="1"/>
      <c r="T567" s="1"/>
      <c r="U567" s="1"/>
      <c r="V567" s="1"/>
      <c r="W567" s="1"/>
      <c r="X567" s="1"/>
      <c r="Y567" s="1"/>
    </row>
    <row r="568">
      <c r="A568" s="17"/>
      <c r="B568" s="23"/>
      <c r="C568" s="1"/>
      <c r="D568" s="1"/>
      <c r="E568" s="1"/>
      <c r="F568" s="1"/>
      <c r="G568" s="1"/>
      <c r="H568" s="1"/>
      <c r="I568" s="1"/>
      <c r="J568" s="1"/>
      <c r="K568" s="1"/>
      <c r="L568" s="1"/>
      <c r="M568" s="1"/>
      <c r="N568" s="1"/>
      <c r="O568" s="1"/>
      <c r="P568" s="1"/>
      <c r="Q568" s="1"/>
      <c r="R568" s="1"/>
      <c r="S568" s="1"/>
      <c r="T568" s="1"/>
      <c r="U568" s="1"/>
      <c r="V568" s="1"/>
      <c r="W568" s="1"/>
      <c r="X568" s="1"/>
      <c r="Y568" s="1"/>
    </row>
    <row r="569">
      <c r="A569" s="17"/>
      <c r="B569" s="23"/>
      <c r="C569" s="1"/>
      <c r="D569" s="1"/>
      <c r="E569" s="1"/>
      <c r="F569" s="1"/>
      <c r="G569" s="1"/>
      <c r="H569" s="1"/>
      <c r="I569" s="1"/>
      <c r="J569" s="1"/>
      <c r="K569" s="1"/>
      <c r="L569" s="1"/>
      <c r="M569" s="1"/>
      <c r="N569" s="1"/>
      <c r="O569" s="1"/>
      <c r="P569" s="1"/>
      <c r="Q569" s="1"/>
      <c r="R569" s="1"/>
      <c r="S569" s="1"/>
      <c r="T569" s="1"/>
      <c r="U569" s="1"/>
      <c r="V569" s="1"/>
      <c r="W569" s="1"/>
      <c r="X569" s="1"/>
      <c r="Y569" s="1"/>
    </row>
    <row r="570">
      <c r="A570" s="17"/>
      <c r="B570" s="23"/>
      <c r="C570" s="1"/>
      <c r="D570" s="1"/>
      <c r="E570" s="1"/>
      <c r="F570" s="1"/>
      <c r="G570" s="1"/>
      <c r="H570" s="1"/>
      <c r="I570" s="1"/>
      <c r="J570" s="1"/>
      <c r="K570" s="1"/>
      <c r="L570" s="1"/>
      <c r="M570" s="1"/>
      <c r="N570" s="1"/>
      <c r="O570" s="1"/>
      <c r="P570" s="1"/>
      <c r="Q570" s="1"/>
      <c r="R570" s="1"/>
      <c r="S570" s="1"/>
      <c r="T570" s="1"/>
      <c r="U570" s="1"/>
      <c r="V570" s="1"/>
      <c r="W570" s="1"/>
      <c r="X570" s="1"/>
      <c r="Y570" s="1"/>
    </row>
    <row r="571">
      <c r="A571" s="17"/>
      <c r="B571" s="23"/>
      <c r="C571" s="1"/>
      <c r="D571" s="1"/>
      <c r="E571" s="1"/>
      <c r="F571" s="1"/>
      <c r="G571" s="1"/>
      <c r="H571" s="1"/>
      <c r="I571" s="1"/>
      <c r="J571" s="1"/>
      <c r="K571" s="1"/>
      <c r="L571" s="1"/>
      <c r="M571" s="1"/>
      <c r="N571" s="1"/>
      <c r="O571" s="1"/>
      <c r="P571" s="1"/>
      <c r="Q571" s="1"/>
      <c r="R571" s="1"/>
      <c r="S571" s="1"/>
      <c r="T571" s="1"/>
      <c r="U571" s="1"/>
      <c r="V571" s="1"/>
      <c r="W571" s="1"/>
      <c r="X571" s="1"/>
      <c r="Y571" s="1"/>
    </row>
    <row r="572">
      <c r="A572" s="17"/>
      <c r="B572" s="23"/>
      <c r="C572" s="1"/>
      <c r="D572" s="1"/>
      <c r="E572" s="1"/>
      <c r="F572" s="1"/>
      <c r="G572" s="1"/>
      <c r="H572" s="1"/>
      <c r="I572" s="1"/>
      <c r="J572" s="1"/>
      <c r="K572" s="1"/>
      <c r="L572" s="1"/>
      <c r="M572" s="1"/>
      <c r="N572" s="1"/>
      <c r="O572" s="1"/>
      <c r="P572" s="1"/>
      <c r="Q572" s="1"/>
      <c r="R572" s="1"/>
      <c r="S572" s="1"/>
      <c r="T572" s="1"/>
      <c r="U572" s="1"/>
      <c r="V572" s="1"/>
      <c r="W572" s="1"/>
      <c r="X572" s="1"/>
      <c r="Y572" s="1"/>
    </row>
    <row r="573">
      <c r="A573" s="17"/>
      <c r="B573" s="23"/>
      <c r="C573" s="1"/>
      <c r="D573" s="1"/>
      <c r="E573" s="1"/>
      <c r="F573" s="1"/>
      <c r="G573" s="1"/>
      <c r="H573" s="1"/>
      <c r="I573" s="1"/>
      <c r="J573" s="1"/>
      <c r="K573" s="1"/>
      <c r="L573" s="1"/>
      <c r="M573" s="1"/>
      <c r="N573" s="1"/>
      <c r="O573" s="1"/>
      <c r="P573" s="1"/>
      <c r="Q573" s="1"/>
      <c r="R573" s="1"/>
      <c r="S573" s="1"/>
      <c r="T573" s="1"/>
      <c r="U573" s="1"/>
      <c r="V573" s="1"/>
      <c r="W573" s="1"/>
      <c r="X573" s="1"/>
      <c r="Y573" s="1"/>
    </row>
    <row r="574">
      <c r="A574" s="17"/>
      <c r="B574" s="23"/>
      <c r="C574" s="1"/>
      <c r="D574" s="1"/>
      <c r="E574" s="1"/>
      <c r="F574" s="1"/>
      <c r="G574" s="1"/>
      <c r="H574" s="1"/>
      <c r="I574" s="1"/>
      <c r="J574" s="1"/>
      <c r="K574" s="1"/>
      <c r="L574" s="1"/>
      <c r="M574" s="1"/>
      <c r="N574" s="1"/>
      <c r="O574" s="1"/>
      <c r="P574" s="1"/>
      <c r="Q574" s="1"/>
      <c r="R574" s="1"/>
      <c r="S574" s="1"/>
      <c r="T574" s="1"/>
      <c r="U574" s="1"/>
      <c r="V574" s="1"/>
      <c r="W574" s="1"/>
      <c r="X574" s="1"/>
      <c r="Y574" s="1"/>
    </row>
    <row r="575">
      <c r="A575" s="17"/>
      <c r="B575" s="23"/>
      <c r="C575" s="1"/>
      <c r="D575" s="1"/>
      <c r="E575" s="1"/>
      <c r="F575" s="1"/>
      <c r="G575" s="1"/>
      <c r="H575" s="1"/>
      <c r="I575" s="1"/>
      <c r="J575" s="1"/>
      <c r="K575" s="1"/>
      <c r="L575" s="1"/>
      <c r="M575" s="1"/>
      <c r="N575" s="1"/>
      <c r="O575" s="1"/>
      <c r="P575" s="1"/>
      <c r="Q575" s="1"/>
      <c r="R575" s="1"/>
      <c r="S575" s="1"/>
      <c r="T575" s="1"/>
      <c r="U575" s="1"/>
      <c r="V575" s="1"/>
      <c r="W575" s="1"/>
      <c r="X575" s="1"/>
      <c r="Y575" s="1"/>
    </row>
    <row r="576">
      <c r="A576" s="17"/>
      <c r="B576" s="23"/>
      <c r="C576" s="1"/>
      <c r="D576" s="1"/>
      <c r="E576" s="1"/>
      <c r="F576" s="1"/>
      <c r="G576" s="1"/>
      <c r="H576" s="1"/>
      <c r="I576" s="1"/>
      <c r="J576" s="1"/>
      <c r="K576" s="1"/>
      <c r="L576" s="1"/>
      <c r="M576" s="1"/>
      <c r="N576" s="1"/>
      <c r="O576" s="1"/>
      <c r="P576" s="1"/>
      <c r="Q576" s="1"/>
      <c r="R576" s="1"/>
      <c r="S576" s="1"/>
      <c r="T576" s="1"/>
      <c r="U576" s="1"/>
      <c r="V576" s="1"/>
      <c r="W576" s="1"/>
      <c r="X576" s="1"/>
      <c r="Y576" s="1"/>
    </row>
    <row r="577">
      <c r="A577" s="17"/>
      <c r="B577" s="23"/>
      <c r="C577" s="1"/>
      <c r="D577" s="1"/>
      <c r="E577" s="1"/>
      <c r="F577" s="1"/>
      <c r="G577" s="1"/>
      <c r="H577" s="1"/>
      <c r="I577" s="1"/>
      <c r="J577" s="1"/>
      <c r="K577" s="1"/>
      <c r="L577" s="1"/>
      <c r="M577" s="1"/>
      <c r="N577" s="1"/>
      <c r="O577" s="1"/>
      <c r="P577" s="1"/>
      <c r="Q577" s="1"/>
      <c r="R577" s="1"/>
      <c r="S577" s="1"/>
      <c r="T577" s="1"/>
      <c r="U577" s="1"/>
      <c r="V577" s="1"/>
      <c r="W577" s="1"/>
      <c r="X577" s="1"/>
      <c r="Y577" s="1"/>
    </row>
    <row r="578">
      <c r="A578" s="17"/>
      <c r="B578" s="23"/>
      <c r="C578" s="1"/>
      <c r="D578" s="1"/>
      <c r="E578" s="1"/>
      <c r="F578" s="1"/>
      <c r="G578" s="1"/>
      <c r="H578" s="1"/>
      <c r="I578" s="1"/>
      <c r="J578" s="1"/>
      <c r="K578" s="1"/>
      <c r="L578" s="1"/>
      <c r="M578" s="1"/>
      <c r="N578" s="1"/>
      <c r="O578" s="1"/>
      <c r="P578" s="1"/>
      <c r="Q578" s="1"/>
      <c r="R578" s="1"/>
      <c r="S578" s="1"/>
      <c r="T578" s="1"/>
      <c r="U578" s="1"/>
      <c r="V578" s="1"/>
      <c r="W578" s="1"/>
      <c r="X578" s="1"/>
      <c r="Y578" s="1"/>
    </row>
    <row r="579">
      <c r="A579" s="17"/>
      <c r="B579" s="23"/>
      <c r="C579" s="1"/>
      <c r="D579" s="1"/>
      <c r="E579" s="1"/>
      <c r="F579" s="1"/>
      <c r="G579" s="1"/>
      <c r="H579" s="1"/>
      <c r="I579" s="1"/>
      <c r="J579" s="1"/>
      <c r="K579" s="1"/>
      <c r="L579" s="1"/>
      <c r="M579" s="1"/>
      <c r="N579" s="1"/>
      <c r="O579" s="1"/>
      <c r="P579" s="1"/>
      <c r="Q579" s="1"/>
      <c r="R579" s="1"/>
      <c r="S579" s="1"/>
      <c r="T579" s="1"/>
      <c r="U579" s="1"/>
      <c r="V579" s="1"/>
      <c r="W579" s="1"/>
      <c r="X579" s="1"/>
      <c r="Y579" s="1"/>
    </row>
    <row r="580">
      <c r="A580" s="17"/>
      <c r="B580" s="23"/>
      <c r="C580" s="1"/>
      <c r="D580" s="1"/>
      <c r="E580" s="1"/>
      <c r="F580" s="1"/>
      <c r="G580" s="1"/>
      <c r="H580" s="1"/>
      <c r="I580" s="1"/>
      <c r="J580" s="1"/>
      <c r="K580" s="1"/>
      <c r="L580" s="1"/>
      <c r="M580" s="1"/>
      <c r="N580" s="1"/>
      <c r="O580" s="1"/>
      <c r="P580" s="1"/>
      <c r="Q580" s="1"/>
      <c r="R580" s="1"/>
      <c r="S580" s="1"/>
      <c r="T580" s="1"/>
      <c r="U580" s="1"/>
      <c r="V580" s="1"/>
      <c r="W580" s="1"/>
      <c r="X580" s="1"/>
      <c r="Y580" s="1"/>
    </row>
    <row r="581">
      <c r="A581" s="17"/>
      <c r="B581" s="23"/>
      <c r="C581" s="1"/>
      <c r="D581" s="1"/>
      <c r="E581" s="1"/>
      <c r="F581" s="1"/>
      <c r="G581" s="1"/>
      <c r="H581" s="1"/>
      <c r="I581" s="1"/>
      <c r="J581" s="1"/>
      <c r="K581" s="1"/>
      <c r="L581" s="1"/>
      <c r="M581" s="1"/>
      <c r="N581" s="1"/>
      <c r="O581" s="1"/>
      <c r="P581" s="1"/>
      <c r="Q581" s="1"/>
      <c r="R581" s="1"/>
      <c r="S581" s="1"/>
      <c r="T581" s="1"/>
      <c r="U581" s="1"/>
      <c r="V581" s="1"/>
      <c r="W581" s="1"/>
      <c r="X581" s="1"/>
      <c r="Y581" s="1"/>
    </row>
    <row r="582">
      <c r="A582" s="17"/>
      <c r="B582" s="23"/>
      <c r="C582" s="1"/>
      <c r="D582" s="1"/>
      <c r="E582" s="1"/>
      <c r="F582" s="1"/>
      <c r="G582" s="1"/>
      <c r="H582" s="1"/>
      <c r="I582" s="1"/>
      <c r="J582" s="1"/>
      <c r="K582" s="1"/>
      <c r="L582" s="1"/>
      <c r="M582" s="1"/>
      <c r="N582" s="1"/>
      <c r="O582" s="1"/>
      <c r="P582" s="1"/>
      <c r="Q582" s="1"/>
      <c r="R582" s="1"/>
      <c r="S582" s="1"/>
      <c r="T582" s="1"/>
      <c r="U582" s="1"/>
      <c r="V582" s="1"/>
      <c r="W582" s="1"/>
      <c r="X582" s="1"/>
      <c r="Y582" s="1"/>
    </row>
    <row r="583">
      <c r="A583" s="17"/>
      <c r="B583" s="23"/>
      <c r="C583" s="1"/>
      <c r="D583" s="1"/>
      <c r="E583" s="1"/>
      <c r="F583" s="1"/>
      <c r="G583" s="1"/>
      <c r="H583" s="1"/>
      <c r="I583" s="1"/>
      <c r="J583" s="1"/>
      <c r="K583" s="1"/>
      <c r="L583" s="1"/>
      <c r="M583" s="1"/>
      <c r="N583" s="1"/>
      <c r="O583" s="1"/>
      <c r="P583" s="1"/>
      <c r="Q583" s="1"/>
      <c r="R583" s="1"/>
      <c r="S583" s="1"/>
      <c r="T583" s="1"/>
      <c r="U583" s="1"/>
      <c r="V583" s="1"/>
      <c r="W583" s="1"/>
      <c r="X583" s="1"/>
      <c r="Y583" s="1"/>
    </row>
    <row r="584">
      <c r="A584" s="17"/>
      <c r="B584" s="23"/>
      <c r="C584" s="1"/>
      <c r="D584" s="1"/>
      <c r="E584" s="1"/>
      <c r="F584" s="1"/>
      <c r="G584" s="1"/>
      <c r="H584" s="1"/>
      <c r="I584" s="1"/>
      <c r="J584" s="1"/>
      <c r="K584" s="1"/>
      <c r="L584" s="1"/>
      <c r="M584" s="1"/>
      <c r="N584" s="1"/>
      <c r="O584" s="1"/>
      <c r="P584" s="1"/>
      <c r="Q584" s="1"/>
      <c r="R584" s="1"/>
      <c r="S584" s="1"/>
      <c r="T584" s="1"/>
      <c r="U584" s="1"/>
      <c r="V584" s="1"/>
      <c r="W584" s="1"/>
      <c r="X584" s="1"/>
      <c r="Y584" s="1"/>
    </row>
    <row r="585">
      <c r="A585" s="17"/>
      <c r="B585" s="23"/>
      <c r="C585" s="1"/>
      <c r="D585" s="1"/>
      <c r="E585" s="1"/>
      <c r="F585" s="1"/>
      <c r="G585" s="1"/>
      <c r="H585" s="1"/>
      <c r="I585" s="1"/>
      <c r="J585" s="1"/>
      <c r="K585" s="1"/>
      <c r="L585" s="1"/>
      <c r="M585" s="1"/>
      <c r="N585" s="1"/>
      <c r="O585" s="1"/>
      <c r="P585" s="1"/>
      <c r="Q585" s="1"/>
      <c r="R585" s="1"/>
      <c r="S585" s="1"/>
      <c r="T585" s="1"/>
      <c r="U585" s="1"/>
      <c r="V585" s="1"/>
      <c r="W585" s="1"/>
      <c r="X585" s="1"/>
      <c r="Y585" s="1"/>
    </row>
    <row r="586">
      <c r="A586" s="17"/>
      <c r="B586" s="23"/>
      <c r="C586" s="1"/>
      <c r="D586" s="1"/>
      <c r="E586" s="1"/>
      <c r="F586" s="1"/>
      <c r="G586" s="1"/>
      <c r="H586" s="1"/>
      <c r="I586" s="1"/>
      <c r="J586" s="1"/>
      <c r="K586" s="1"/>
      <c r="L586" s="1"/>
      <c r="M586" s="1"/>
      <c r="N586" s="1"/>
      <c r="O586" s="1"/>
      <c r="P586" s="1"/>
      <c r="Q586" s="1"/>
      <c r="R586" s="1"/>
      <c r="S586" s="1"/>
      <c r="T586" s="1"/>
      <c r="U586" s="1"/>
      <c r="V586" s="1"/>
      <c r="W586" s="1"/>
      <c r="X586" s="1"/>
      <c r="Y586" s="1"/>
    </row>
    <row r="587">
      <c r="A587" s="17"/>
      <c r="B587" s="23"/>
      <c r="C587" s="1"/>
      <c r="D587" s="1"/>
      <c r="E587" s="1"/>
      <c r="F587" s="1"/>
      <c r="G587" s="1"/>
      <c r="H587" s="1"/>
      <c r="I587" s="1"/>
      <c r="J587" s="1"/>
      <c r="K587" s="1"/>
      <c r="L587" s="1"/>
      <c r="M587" s="1"/>
      <c r="N587" s="1"/>
      <c r="O587" s="1"/>
      <c r="P587" s="1"/>
      <c r="Q587" s="1"/>
      <c r="R587" s="1"/>
      <c r="S587" s="1"/>
      <c r="T587" s="1"/>
      <c r="U587" s="1"/>
      <c r="V587" s="1"/>
      <c r="W587" s="1"/>
      <c r="X587" s="1"/>
      <c r="Y587" s="1"/>
    </row>
    <row r="588">
      <c r="A588" s="17"/>
      <c r="B588" s="23"/>
      <c r="C588" s="1"/>
      <c r="D588" s="1"/>
      <c r="E588" s="1"/>
      <c r="F588" s="1"/>
      <c r="G588" s="1"/>
      <c r="H588" s="1"/>
      <c r="I588" s="1"/>
      <c r="J588" s="1"/>
      <c r="K588" s="1"/>
      <c r="L588" s="1"/>
      <c r="M588" s="1"/>
      <c r="N588" s="1"/>
      <c r="O588" s="1"/>
      <c r="P588" s="1"/>
      <c r="Q588" s="1"/>
      <c r="R588" s="1"/>
      <c r="S588" s="1"/>
      <c r="T588" s="1"/>
      <c r="U588" s="1"/>
      <c r="V588" s="1"/>
      <c r="W588" s="1"/>
      <c r="X588" s="1"/>
      <c r="Y588" s="1"/>
    </row>
    <row r="589">
      <c r="A589" s="17"/>
      <c r="B589" s="23"/>
      <c r="C589" s="1"/>
      <c r="D589" s="1"/>
      <c r="E589" s="1"/>
      <c r="F589" s="1"/>
      <c r="G589" s="1"/>
      <c r="H589" s="1"/>
      <c r="I589" s="1"/>
      <c r="J589" s="1"/>
      <c r="K589" s="1"/>
      <c r="L589" s="1"/>
      <c r="M589" s="1"/>
      <c r="N589" s="1"/>
      <c r="O589" s="1"/>
      <c r="P589" s="1"/>
      <c r="Q589" s="1"/>
      <c r="R589" s="1"/>
      <c r="S589" s="1"/>
      <c r="T589" s="1"/>
      <c r="U589" s="1"/>
      <c r="V589" s="1"/>
      <c r="W589" s="1"/>
      <c r="X589" s="1"/>
      <c r="Y589" s="1"/>
    </row>
    <row r="590">
      <c r="A590" s="17"/>
      <c r="B590" s="23"/>
      <c r="C590" s="1"/>
      <c r="D590" s="1"/>
      <c r="E590" s="1"/>
      <c r="F590" s="1"/>
      <c r="G590" s="1"/>
      <c r="H590" s="1"/>
      <c r="I590" s="1"/>
      <c r="J590" s="1"/>
      <c r="K590" s="1"/>
      <c r="L590" s="1"/>
      <c r="M590" s="1"/>
      <c r="N590" s="1"/>
      <c r="O590" s="1"/>
      <c r="P590" s="1"/>
      <c r="Q590" s="1"/>
      <c r="R590" s="1"/>
      <c r="S590" s="1"/>
      <c r="T590" s="1"/>
      <c r="U590" s="1"/>
      <c r="V590" s="1"/>
      <c r="W590" s="1"/>
      <c r="X590" s="1"/>
      <c r="Y590" s="1"/>
    </row>
    <row r="591">
      <c r="A591" s="17"/>
      <c r="B591" s="23"/>
      <c r="C591" s="1"/>
      <c r="D591" s="1"/>
      <c r="E591" s="1"/>
      <c r="F591" s="1"/>
      <c r="G591" s="1"/>
      <c r="H591" s="1"/>
      <c r="I591" s="1"/>
      <c r="J591" s="1"/>
      <c r="K591" s="1"/>
      <c r="L591" s="1"/>
      <c r="M591" s="1"/>
      <c r="N591" s="1"/>
      <c r="O591" s="1"/>
      <c r="P591" s="1"/>
      <c r="Q591" s="1"/>
      <c r="R591" s="1"/>
      <c r="S591" s="1"/>
      <c r="T591" s="1"/>
      <c r="U591" s="1"/>
      <c r="V591" s="1"/>
      <c r="W591" s="1"/>
      <c r="X591" s="1"/>
      <c r="Y591" s="1"/>
    </row>
    <row r="592">
      <c r="A592" s="17"/>
      <c r="B592" s="23"/>
      <c r="C592" s="1"/>
      <c r="D592" s="1"/>
      <c r="E592" s="1"/>
      <c r="F592" s="1"/>
      <c r="G592" s="1"/>
      <c r="H592" s="1"/>
      <c r="I592" s="1"/>
      <c r="J592" s="1"/>
      <c r="K592" s="1"/>
      <c r="L592" s="1"/>
      <c r="M592" s="1"/>
      <c r="N592" s="1"/>
      <c r="O592" s="1"/>
      <c r="P592" s="1"/>
      <c r="Q592" s="1"/>
      <c r="R592" s="1"/>
      <c r="S592" s="1"/>
      <c r="T592" s="1"/>
      <c r="U592" s="1"/>
      <c r="V592" s="1"/>
      <c r="W592" s="1"/>
      <c r="X592" s="1"/>
      <c r="Y592" s="1"/>
    </row>
    <row r="593">
      <c r="A593" s="17"/>
      <c r="B593" s="23"/>
      <c r="C593" s="1"/>
      <c r="D593" s="1"/>
      <c r="E593" s="1"/>
      <c r="F593" s="1"/>
      <c r="G593" s="1"/>
      <c r="H593" s="1"/>
      <c r="I593" s="1"/>
      <c r="J593" s="1"/>
      <c r="K593" s="1"/>
      <c r="L593" s="1"/>
      <c r="M593" s="1"/>
      <c r="N593" s="1"/>
      <c r="O593" s="1"/>
      <c r="P593" s="1"/>
      <c r="Q593" s="1"/>
      <c r="R593" s="1"/>
      <c r="S593" s="1"/>
      <c r="T593" s="1"/>
      <c r="U593" s="1"/>
      <c r="V593" s="1"/>
      <c r="W593" s="1"/>
      <c r="X593" s="1"/>
      <c r="Y593" s="1"/>
    </row>
    <row r="594">
      <c r="A594" s="17"/>
      <c r="B594" s="23"/>
      <c r="C594" s="1"/>
      <c r="D594" s="1"/>
      <c r="E594" s="1"/>
      <c r="F594" s="1"/>
      <c r="G594" s="1"/>
      <c r="H594" s="1"/>
      <c r="I594" s="1"/>
      <c r="J594" s="1"/>
      <c r="K594" s="1"/>
      <c r="L594" s="1"/>
      <c r="M594" s="1"/>
      <c r="N594" s="1"/>
      <c r="O594" s="1"/>
      <c r="P594" s="1"/>
      <c r="Q594" s="1"/>
      <c r="R594" s="1"/>
      <c r="S594" s="1"/>
      <c r="T594" s="1"/>
      <c r="U594" s="1"/>
      <c r="V594" s="1"/>
      <c r="W594" s="1"/>
      <c r="X594" s="1"/>
      <c r="Y594" s="1"/>
    </row>
    <row r="595">
      <c r="A595" s="17"/>
      <c r="B595" s="23"/>
      <c r="C595" s="1"/>
      <c r="D595" s="1"/>
      <c r="E595" s="1"/>
      <c r="F595" s="1"/>
      <c r="G595" s="1"/>
      <c r="H595" s="1"/>
      <c r="I595" s="1"/>
      <c r="J595" s="1"/>
      <c r="K595" s="1"/>
      <c r="L595" s="1"/>
      <c r="M595" s="1"/>
      <c r="N595" s="1"/>
      <c r="O595" s="1"/>
      <c r="P595" s="1"/>
      <c r="Q595" s="1"/>
      <c r="R595" s="1"/>
      <c r="S595" s="1"/>
      <c r="T595" s="1"/>
      <c r="U595" s="1"/>
      <c r="V595" s="1"/>
      <c r="W595" s="1"/>
      <c r="X595" s="1"/>
      <c r="Y595" s="1"/>
    </row>
    <row r="596">
      <c r="A596" s="17"/>
      <c r="B596" s="23"/>
      <c r="C596" s="1"/>
      <c r="D596" s="1"/>
      <c r="E596" s="1"/>
      <c r="F596" s="1"/>
      <c r="G596" s="1"/>
      <c r="H596" s="1"/>
      <c r="I596" s="1"/>
      <c r="J596" s="1"/>
      <c r="K596" s="1"/>
      <c r="L596" s="1"/>
      <c r="M596" s="1"/>
      <c r="N596" s="1"/>
      <c r="O596" s="1"/>
      <c r="P596" s="1"/>
      <c r="Q596" s="1"/>
      <c r="R596" s="1"/>
      <c r="S596" s="1"/>
      <c r="T596" s="1"/>
      <c r="U596" s="1"/>
      <c r="V596" s="1"/>
      <c r="W596" s="1"/>
      <c r="X596" s="1"/>
      <c r="Y596" s="1"/>
    </row>
    <row r="597">
      <c r="A597" s="17"/>
      <c r="B597" s="23"/>
      <c r="C597" s="1"/>
      <c r="D597" s="1"/>
      <c r="E597" s="1"/>
      <c r="F597" s="1"/>
      <c r="G597" s="1"/>
      <c r="H597" s="1"/>
      <c r="I597" s="1"/>
      <c r="J597" s="1"/>
      <c r="K597" s="1"/>
      <c r="L597" s="1"/>
      <c r="M597" s="1"/>
      <c r="N597" s="1"/>
      <c r="O597" s="1"/>
      <c r="P597" s="1"/>
      <c r="Q597" s="1"/>
      <c r="R597" s="1"/>
      <c r="S597" s="1"/>
      <c r="T597" s="1"/>
      <c r="U597" s="1"/>
      <c r="V597" s="1"/>
      <c r="W597" s="1"/>
      <c r="X597" s="1"/>
      <c r="Y597" s="1"/>
    </row>
    <row r="598">
      <c r="A598" s="17"/>
      <c r="B598" s="23"/>
      <c r="C598" s="1"/>
      <c r="D598" s="1"/>
      <c r="E598" s="1"/>
      <c r="F598" s="1"/>
      <c r="G598" s="1"/>
      <c r="H598" s="1"/>
      <c r="I598" s="1"/>
      <c r="J598" s="1"/>
      <c r="K598" s="1"/>
      <c r="L598" s="1"/>
      <c r="M598" s="1"/>
      <c r="N598" s="1"/>
      <c r="O598" s="1"/>
      <c r="P598" s="1"/>
      <c r="Q598" s="1"/>
      <c r="R598" s="1"/>
      <c r="S598" s="1"/>
      <c r="T598" s="1"/>
      <c r="U598" s="1"/>
      <c r="V598" s="1"/>
      <c r="W598" s="1"/>
      <c r="X598" s="1"/>
      <c r="Y598" s="1"/>
    </row>
    <row r="599">
      <c r="A599" s="17"/>
      <c r="B599" s="23"/>
      <c r="C599" s="1"/>
      <c r="D599" s="1"/>
      <c r="E599" s="1"/>
      <c r="F599" s="1"/>
      <c r="G599" s="1"/>
      <c r="H599" s="1"/>
      <c r="I599" s="1"/>
      <c r="J599" s="1"/>
      <c r="K599" s="1"/>
      <c r="L599" s="1"/>
      <c r="M599" s="1"/>
      <c r="N599" s="1"/>
      <c r="O599" s="1"/>
      <c r="P599" s="1"/>
      <c r="Q599" s="1"/>
      <c r="R599" s="1"/>
      <c r="S599" s="1"/>
      <c r="T599" s="1"/>
      <c r="U599" s="1"/>
      <c r="V599" s="1"/>
      <c r="W599" s="1"/>
      <c r="X599" s="1"/>
      <c r="Y599" s="1"/>
    </row>
    <row r="600">
      <c r="A600" s="17"/>
      <c r="B600" s="23"/>
      <c r="C600" s="1"/>
      <c r="D600" s="1"/>
      <c r="E600" s="1"/>
      <c r="F600" s="1"/>
      <c r="G600" s="1"/>
      <c r="H600" s="1"/>
      <c r="I600" s="1"/>
      <c r="J600" s="1"/>
      <c r="K600" s="1"/>
      <c r="L600" s="1"/>
      <c r="M600" s="1"/>
      <c r="N600" s="1"/>
      <c r="O600" s="1"/>
      <c r="P600" s="1"/>
      <c r="Q600" s="1"/>
      <c r="R600" s="1"/>
      <c r="S600" s="1"/>
      <c r="T600" s="1"/>
      <c r="U600" s="1"/>
      <c r="V600" s="1"/>
      <c r="W600" s="1"/>
      <c r="X600" s="1"/>
      <c r="Y600" s="1"/>
    </row>
    <row r="601">
      <c r="A601" s="17"/>
      <c r="B601" s="23"/>
      <c r="C601" s="1"/>
      <c r="D601" s="1"/>
      <c r="E601" s="1"/>
      <c r="F601" s="1"/>
      <c r="G601" s="1"/>
      <c r="H601" s="1"/>
      <c r="I601" s="1"/>
      <c r="J601" s="1"/>
      <c r="K601" s="1"/>
      <c r="L601" s="1"/>
      <c r="M601" s="1"/>
      <c r="N601" s="1"/>
      <c r="O601" s="1"/>
      <c r="P601" s="1"/>
      <c r="Q601" s="1"/>
      <c r="R601" s="1"/>
      <c r="S601" s="1"/>
      <c r="T601" s="1"/>
      <c r="U601" s="1"/>
      <c r="V601" s="1"/>
      <c r="W601" s="1"/>
      <c r="X601" s="1"/>
      <c r="Y601" s="1"/>
    </row>
    <row r="602">
      <c r="A602" s="17"/>
      <c r="B602" s="23"/>
      <c r="C602" s="1"/>
      <c r="D602" s="1"/>
      <c r="E602" s="1"/>
      <c r="F602" s="1"/>
      <c r="G602" s="1"/>
      <c r="H602" s="1"/>
      <c r="I602" s="1"/>
      <c r="J602" s="1"/>
      <c r="K602" s="1"/>
      <c r="L602" s="1"/>
      <c r="M602" s="1"/>
      <c r="N602" s="1"/>
      <c r="O602" s="1"/>
      <c r="P602" s="1"/>
      <c r="Q602" s="1"/>
      <c r="R602" s="1"/>
      <c r="S602" s="1"/>
      <c r="T602" s="1"/>
      <c r="U602" s="1"/>
      <c r="V602" s="1"/>
      <c r="W602" s="1"/>
      <c r="X602" s="1"/>
      <c r="Y602" s="1"/>
    </row>
    <row r="603">
      <c r="A603" s="17"/>
      <c r="B603" s="23"/>
      <c r="C603" s="1"/>
      <c r="D603" s="1"/>
      <c r="E603" s="1"/>
      <c r="F603" s="1"/>
      <c r="G603" s="1"/>
      <c r="H603" s="1"/>
      <c r="I603" s="1"/>
      <c r="J603" s="1"/>
      <c r="K603" s="1"/>
      <c r="L603" s="1"/>
      <c r="M603" s="1"/>
      <c r="N603" s="1"/>
      <c r="O603" s="1"/>
      <c r="P603" s="1"/>
      <c r="Q603" s="1"/>
      <c r="R603" s="1"/>
      <c r="S603" s="1"/>
      <c r="T603" s="1"/>
      <c r="U603" s="1"/>
      <c r="V603" s="1"/>
      <c r="W603" s="1"/>
      <c r="X603" s="1"/>
      <c r="Y603" s="1"/>
    </row>
    <row r="604">
      <c r="A604" s="17"/>
      <c r="B604" s="23"/>
      <c r="C604" s="1"/>
      <c r="D604" s="1"/>
      <c r="E604" s="1"/>
      <c r="F604" s="1"/>
      <c r="G604" s="1"/>
      <c r="H604" s="1"/>
      <c r="I604" s="1"/>
      <c r="J604" s="1"/>
      <c r="K604" s="1"/>
      <c r="L604" s="1"/>
      <c r="M604" s="1"/>
      <c r="N604" s="1"/>
      <c r="O604" s="1"/>
      <c r="P604" s="1"/>
      <c r="Q604" s="1"/>
      <c r="R604" s="1"/>
      <c r="S604" s="1"/>
      <c r="T604" s="1"/>
      <c r="U604" s="1"/>
      <c r="V604" s="1"/>
      <c r="W604" s="1"/>
      <c r="X604" s="1"/>
      <c r="Y604" s="1"/>
    </row>
    <row r="605">
      <c r="A605" s="17"/>
      <c r="B605" s="23"/>
      <c r="C605" s="1"/>
      <c r="D605" s="1"/>
      <c r="E605" s="1"/>
      <c r="F605" s="1"/>
      <c r="G605" s="1"/>
      <c r="H605" s="1"/>
      <c r="I605" s="1"/>
      <c r="J605" s="1"/>
      <c r="K605" s="1"/>
      <c r="L605" s="1"/>
      <c r="M605" s="1"/>
      <c r="N605" s="1"/>
      <c r="O605" s="1"/>
      <c r="P605" s="1"/>
      <c r="Q605" s="1"/>
      <c r="R605" s="1"/>
      <c r="S605" s="1"/>
      <c r="T605" s="1"/>
      <c r="U605" s="1"/>
      <c r="V605" s="1"/>
      <c r="W605" s="1"/>
      <c r="X605" s="1"/>
      <c r="Y605" s="1"/>
    </row>
    <row r="606">
      <c r="A606" s="17"/>
      <c r="B606" s="23"/>
      <c r="C606" s="1"/>
      <c r="D606" s="1"/>
      <c r="E606" s="1"/>
      <c r="F606" s="1"/>
      <c r="G606" s="1"/>
      <c r="H606" s="1"/>
      <c r="I606" s="1"/>
      <c r="J606" s="1"/>
      <c r="K606" s="1"/>
      <c r="L606" s="1"/>
      <c r="M606" s="1"/>
      <c r="N606" s="1"/>
      <c r="O606" s="1"/>
      <c r="P606" s="1"/>
      <c r="Q606" s="1"/>
      <c r="R606" s="1"/>
      <c r="S606" s="1"/>
      <c r="T606" s="1"/>
      <c r="U606" s="1"/>
      <c r="V606" s="1"/>
      <c r="W606" s="1"/>
      <c r="X606" s="1"/>
      <c r="Y606" s="1"/>
    </row>
    <row r="607">
      <c r="A607" s="17"/>
      <c r="B607" s="23"/>
      <c r="C607" s="1"/>
      <c r="D607" s="1"/>
      <c r="E607" s="1"/>
      <c r="F607" s="1"/>
      <c r="G607" s="1"/>
      <c r="H607" s="1"/>
      <c r="I607" s="1"/>
      <c r="J607" s="1"/>
      <c r="K607" s="1"/>
      <c r="L607" s="1"/>
      <c r="M607" s="1"/>
      <c r="N607" s="1"/>
      <c r="O607" s="1"/>
      <c r="P607" s="1"/>
      <c r="Q607" s="1"/>
      <c r="R607" s="1"/>
      <c r="S607" s="1"/>
      <c r="T607" s="1"/>
      <c r="U607" s="1"/>
      <c r="V607" s="1"/>
      <c r="W607" s="1"/>
      <c r="X607" s="1"/>
      <c r="Y607" s="1"/>
    </row>
    <row r="608">
      <c r="A608" s="17"/>
      <c r="B608" s="23"/>
      <c r="C608" s="1"/>
      <c r="D608" s="1"/>
      <c r="E608" s="1"/>
      <c r="F608" s="1"/>
      <c r="G608" s="1"/>
      <c r="H608" s="1"/>
      <c r="I608" s="1"/>
      <c r="J608" s="1"/>
      <c r="K608" s="1"/>
      <c r="L608" s="1"/>
      <c r="M608" s="1"/>
      <c r="N608" s="1"/>
      <c r="O608" s="1"/>
      <c r="P608" s="1"/>
      <c r="Q608" s="1"/>
      <c r="R608" s="1"/>
      <c r="S608" s="1"/>
      <c r="T608" s="1"/>
      <c r="U608" s="1"/>
      <c r="V608" s="1"/>
      <c r="W608" s="1"/>
      <c r="X608" s="1"/>
      <c r="Y608" s="1"/>
    </row>
    <row r="609">
      <c r="A609" s="17"/>
      <c r="B609" s="23"/>
      <c r="C609" s="1"/>
      <c r="D609" s="1"/>
      <c r="E609" s="1"/>
      <c r="F609" s="1"/>
      <c r="G609" s="1"/>
      <c r="H609" s="1"/>
      <c r="I609" s="1"/>
      <c r="J609" s="1"/>
      <c r="K609" s="1"/>
      <c r="L609" s="1"/>
      <c r="M609" s="1"/>
      <c r="N609" s="1"/>
      <c r="O609" s="1"/>
      <c r="P609" s="1"/>
      <c r="Q609" s="1"/>
      <c r="R609" s="1"/>
      <c r="S609" s="1"/>
      <c r="T609" s="1"/>
      <c r="U609" s="1"/>
      <c r="V609" s="1"/>
      <c r="W609" s="1"/>
      <c r="X609" s="1"/>
      <c r="Y609" s="1"/>
    </row>
    <row r="610">
      <c r="A610" s="17"/>
      <c r="B610" s="23"/>
      <c r="C610" s="1"/>
      <c r="D610" s="1"/>
      <c r="E610" s="1"/>
      <c r="F610" s="1"/>
      <c r="G610" s="1"/>
      <c r="H610" s="1"/>
      <c r="I610" s="1"/>
      <c r="J610" s="1"/>
      <c r="K610" s="1"/>
      <c r="L610" s="1"/>
      <c r="M610" s="1"/>
      <c r="N610" s="1"/>
      <c r="O610" s="1"/>
      <c r="P610" s="1"/>
      <c r="Q610" s="1"/>
      <c r="R610" s="1"/>
      <c r="S610" s="1"/>
      <c r="T610" s="1"/>
      <c r="U610" s="1"/>
      <c r="V610" s="1"/>
      <c r="W610" s="1"/>
      <c r="X610" s="1"/>
      <c r="Y610" s="1"/>
    </row>
    <row r="611">
      <c r="A611" s="17"/>
      <c r="B611" s="23"/>
      <c r="C611" s="1"/>
      <c r="D611" s="1"/>
      <c r="E611" s="1"/>
      <c r="F611" s="1"/>
      <c r="G611" s="1"/>
      <c r="H611" s="1"/>
      <c r="I611" s="1"/>
      <c r="J611" s="1"/>
      <c r="K611" s="1"/>
      <c r="L611" s="1"/>
      <c r="M611" s="1"/>
      <c r="N611" s="1"/>
      <c r="O611" s="1"/>
      <c r="P611" s="1"/>
      <c r="Q611" s="1"/>
      <c r="R611" s="1"/>
      <c r="S611" s="1"/>
      <c r="T611" s="1"/>
      <c r="U611" s="1"/>
      <c r="V611" s="1"/>
      <c r="W611" s="1"/>
      <c r="X611" s="1"/>
      <c r="Y611" s="1"/>
    </row>
    <row r="612">
      <c r="A612" s="17"/>
      <c r="B612" s="23"/>
      <c r="C612" s="1"/>
      <c r="D612" s="1"/>
      <c r="E612" s="1"/>
      <c r="F612" s="1"/>
      <c r="G612" s="1"/>
      <c r="H612" s="1"/>
      <c r="I612" s="1"/>
      <c r="J612" s="1"/>
      <c r="K612" s="1"/>
      <c r="L612" s="1"/>
      <c r="M612" s="1"/>
      <c r="N612" s="1"/>
      <c r="O612" s="1"/>
      <c r="P612" s="1"/>
      <c r="Q612" s="1"/>
      <c r="R612" s="1"/>
      <c r="S612" s="1"/>
      <c r="T612" s="1"/>
      <c r="U612" s="1"/>
      <c r="V612" s="1"/>
      <c r="W612" s="1"/>
      <c r="X612" s="1"/>
      <c r="Y612" s="1"/>
    </row>
    <row r="613">
      <c r="A613" s="17"/>
      <c r="B613" s="23"/>
      <c r="C613" s="1"/>
      <c r="D613" s="1"/>
      <c r="E613" s="1"/>
      <c r="F613" s="1"/>
      <c r="G613" s="1"/>
      <c r="H613" s="1"/>
      <c r="I613" s="1"/>
      <c r="J613" s="1"/>
      <c r="K613" s="1"/>
      <c r="L613" s="1"/>
      <c r="M613" s="1"/>
      <c r="N613" s="1"/>
      <c r="O613" s="1"/>
      <c r="P613" s="1"/>
      <c r="Q613" s="1"/>
      <c r="R613" s="1"/>
      <c r="S613" s="1"/>
      <c r="T613" s="1"/>
      <c r="U613" s="1"/>
      <c r="V613" s="1"/>
      <c r="W613" s="1"/>
      <c r="X613" s="1"/>
      <c r="Y613" s="1"/>
    </row>
    <row r="614">
      <c r="A614" s="17"/>
      <c r="B614" s="23"/>
      <c r="C614" s="1"/>
      <c r="D614" s="1"/>
      <c r="E614" s="1"/>
      <c r="F614" s="1"/>
      <c r="G614" s="1"/>
      <c r="H614" s="1"/>
      <c r="I614" s="1"/>
      <c r="J614" s="1"/>
      <c r="K614" s="1"/>
      <c r="L614" s="1"/>
      <c r="M614" s="1"/>
      <c r="N614" s="1"/>
      <c r="O614" s="1"/>
      <c r="P614" s="1"/>
      <c r="Q614" s="1"/>
      <c r="R614" s="1"/>
      <c r="S614" s="1"/>
      <c r="T614" s="1"/>
      <c r="U614" s="1"/>
      <c r="V614" s="1"/>
      <c r="W614" s="1"/>
      <c r="X614" s="1"/>
      <c r="Y614" s="1"/>
    </row>
    <row r="615">
      <c r="A615" s="17"/>
      <c r="B615" s="23"/>
      <c r="C615" s="1"/>
      <c r="D615" s="1"/>
      <c r="E615" s="1"/>
      <c r="F615" s="1"/>
      <c r="G615" s="1"/>
      <c r="H615" s="1"/>
      <c r="I615" s="1"/>
      <c r="J615" s="1"/>
      <c r="K615" s="1"/>
      <c r="L615" s="1"/>
      <c r="M615" s="1"/>
      <c r="N615" s="1"/>
      <c r="O615" s="1"/>
      <c r="P615" s="1"/>
      <c r="Q615" s="1"/>
      <c r="R615" s="1"/>
      <c r="S615" s="1"/>
      <c r="T615" s="1"/>
      <c r="U615" s="1"/>
      <c r="V615" s="1"/>
      <c r="W615" s="1"/>
      <c r="X615" s="1"/>
      <c r="Y615" s="1"/>
    </row>
    <row r="616">
      <c r="A616" s="17"/>
      <c r="B616" s="23"/>
      <c r="C616" s="1"/>
      <c r="D616" s="1"/>
      <c r="E616" s="1"/>
      <c r="F616" s="1"/>
      <c r="G616" s="1"/>
      <c r="H616" s="1"/>
      <c r="I616" s="1"/>
      <c r="J616" s="1"/>
      <c r="K616" s="1"/>
      <c r="L616" s="1"/>
      <c r="M616" s="1"/>
      <c r="N616" s="1"/>
      <c r="O616" s="1"/>
      <c r="P616" s="1"/>
      <c r="Q616" s="1"/>
      <c r="R616" s="1"/>
      <c r="S616" s="1"/>
      <c r="T616" s="1"/>
      <c r="U616" s="1"/>
      <c r="V616" s="1"/>
      <c r="W616" s="1"/>
      <c r="X616" s="1"/>
      <c r="Y616" s="1"/>
    </row>
    <row r="617">
      <c r="A617" s="17"/>
      <c r="B617" s="23"/>
      <c r="C617" s="1"/>
      <c r="D617" s="1"/>
      <c r="E617" s="1"/>
      <c r="F617" s="1"/>
      <c r="G617" s="1"/>
      <c r="H617" s="1"/>
      <c r="I617" s="1"/>
      <c r="J617" s="1"/>
      <c r="K617" s="1"/>
      <c r="L617" s="1"/>
      <c r="M617" s="1"/>
      <c r="N617" s="1"/>
      <c r="O617" s="1"/>
      <c r="P617" s="1"/>
      <c r="Q617" s="1"/>
      <c r="R617" s="1"/>
      <c r="S617" s="1"/>
      <c r="T617" s="1"/>
      <c r="U617" s="1"/>
      <c r="V617" s="1"/>
      <c r="W617" s="1"/>
      <c r="X617" s="1"/>
      <c r="Y617" s="1"/>
    </row>
    <row r="618">
      <c r="A618" s="17"/>
      <c r="B618" s="23"/>
      <c r="C618" s="1"/>
      <c r="D618" s="1"/>
      <c r="E618" s="1"/>
      <c r="F618" s="1"/>
      <c r="G618" s="1"/>
      <c r="H618" s="1"/>
      <c r="I618" s="1"/>
      <c r="J618" s="1"/>
      <c r="K618" s="1"/>
      <c r="L618" s="1"/>
      <c r="M618" s="1"/>
      <c r="N618" s="1"/>
      <c r="O618" s="1"/>
      <c r="P618" s="1"/>
      <c r="Q618" s="1"/>
      <c r="R618" s="1"/>
      <c r="S618" s="1"/>
      <c r="T618" s="1"/>
      <c r="U618" s="1"/>
      <c r="V618" s="1"/>
      <c r="W618" s="1"/>
      <c r="X618" s="1"/>
      <c r="Y618" s="1"/>
    </row>
    <row r="619">
      <c r="A619" s="17"/>
      <c r="B619" s="23"/>
      <c r="C619" s="1"/>
      <c r="D619" s="1"/>
      <c r="E619" s="1"/>
      <c r="F619" s="1"/>
      <c r="G619" s="1"/>
      <c r="H619" s="1"/>
      <c r="I619" s="1"/>
      <c r="J619" s="1"/>
      <c r="K619" s="1"/>
      <c r="L619" s="1"/>
      <c r="M619" s="1"/>
      <c r="N619" s="1"/>
      <c r="O619" s="1"/>
      <c r="P619" s="1"/>
      <c r="Q619" s="1"/>
      <c r="R619" s="1"/>
      <c r="S619" s="1"/>
      <c r="T619" s="1"/>
      <c r="U619" s="1"/>
      <c r="V619" s="1"/>
      <c r="W619" s="1"/>
      <c r="X619" s="1"/>
      <c r="Y619" s="1"/>
    </row>
    <row r="620">
      <c r="A620" s="17"/>
      <c r="B620" s="23"/>
      <c r="C620" s="1"/>
      <c r="D620" s="1"/>
      <c r="E620" s="1"/>
      <c r="F620" s="1"/>
      <c r="G620" s="1"/>
      <c r="H620" s="1"/>
      <c r="I620" s="1"/>
      <c r="J620" s="1"/>
      <c r="K620" s="1"/>
      <c r="L620" s="1"/>
      <c r="M620" s="1"/>
      <c r="N620" s="1"/>
      <c r="O620" s="1"/>
      <c r="P620" s="1"/>
      <c r="Q620" s="1"/>
      <c r="R620" s="1"/>
      <c r="S620" s="1"/>
      <c r="T620" s="1"/>
      <c r="U620" s="1"/>
      <c r="V620" s="1"/>
      <c r="W620" s="1"/>
      <c r="X620" s="1"/>
      <c r="Y620" s="1"/>
    </row>
    <row r="621">
      <c r="A621" s="17"/>
      <c r="B621" s="23"/>
      <c r="C621" s="1"/>
      <c r="D621" s="1"/>
      <c r="E621" s="1"/>
      <c r="F621" s="1"/>
      <c r="G621" s="1"/>
      <c r="H621" s="1"/>
      <c r="I621" s="1"/>
      <c r="J621" s="1"/>
      <c r="K621" s="1"/>
      <c r="L621" s="1"/>
      <c r="M621" s="1"/>
      <c r="N621" s="1"/>
      <c r="O621" s="1"/>
      <c r="P621" s="1"/>
      <c r="Q621" s="1"/>
      <c r="R621" s="1"/>
      <c r="S621" s="1"/>
      <c r="T621" s="1"/>
      <c r="U621" s="1"/>
      <c r="V621" s="1"/>
      <c r="W621" s="1"/>
      <c r="X621" s="1"/>
      <c r="Y621" s="1"/>
    </row>
    <row r="622">
      <c r="A622" s="17"/>
      <c r="B622" s="23"/>
      <c r="C622" s="1"/>
      <c r="D622" s="1"/>
      <c r="E622" s="1"/>
      <c r="F622" s="1"/>
      <c r="G622" s="1"/>
      <c r="H622" s="1"/>
      <c r="I622" s="1"/>
      <c r="J622" s="1"/>
      <c r="K622" s="1"/>
      <c r="L622" s="1"/>
      <c r="M622" s="1"/>
      <c r="N622" s="1"/>
      <c r="O622" s="1"/>
      <c r="P622" s="1"/>
      <c r="Q622" s="1"/>
      <c r="R622" s="1"/>
      <c r="S622" s="1"/>
      <c r="T622" s="1"/>
      <c r="U622" s="1"/>
      <c r="V622" s="1"/>
      <c r="W622" s="1"/>
      <c r="X622" s="1"/>
      <c r="Y622" s="1"/>
    </row>
    <row r="623">
      <c r="A623" s="17"/>
      <c r="B623" s="23"/>
      <c r="C623" s="1"/>
      <c r="D623" s="1"/>
      <c r="E623" s="1"/>
      <c r="F623" s="1"/>
      <c r="G623" s="1"/>
      <c r="H623" s="1"/>
      <c r="I623" s="1"/>
      <c r="J623" s="1"/>
      <c r="K623" s="1"/>
      <c r="L623" s="1"/>
      <c r="M623" s="1"/>
      <c r="N623" s="1"/>
      <c r="O623" s="1"/>
      <c r="P623" s="1"/>
      <c r="Q623" s="1"/>
      <c r="R623" s="1"/>
      <c r="S623" s="1"/>
      <c r="T623" s="1"/>
      <c r="U623" s="1"/>
      <c r="V623" s="1"/>
      <c r="W623" s="1"/>
      <c r="X623" s="1"/>
      <c r="Y623" s="1"/>
    </row>
    <row r="624">
      <c r="A624" s="17"/>
      <c r="B624" s="23"/>
      <c r="C624" s="1"/>
      <c r="D624" s="1"/>
      <c r="E624" s="1"/>
      <c r="F624" s="1"/>
      <c r="G624" s="1"/>
      <c r="H624" s="1"/>
      <c r="I624" s="1"/>
      <c r="J624" s="1"/>
      <c r="K624" s="1"/>
      <c r="L624" s="1"/>
      <c r="M624" s="1"/>
      <c r="N624" s="1"/>
      <c r="O624" s="1"/>
      <c r="P624" s="1"/>
      <c r="Q624" s="1"/>
      <c r="R624" s="1"/>
      <c r="S624" s="1"/>
      <c r="T624" s="1"/>
      <c r="U624" s="1"/>
      <c r="V624" s="1"/>
      <c r="W624" s="1"/>
      <c r="X624" s="1"/>
      <c r="Y624" s="1"/>
    </row>
    <row r="625">
      <c r="A625" s="17"/>
      <c r="B625" s="23"/>
      <c r="C625" s="1"/>
      <c r="D625" s="1"/>
      <c r="E625" s="1"/>
      <c r="F625" s="1"/>
      <c r="G625" s="1"/>
      <c r="H625" s="1"/>
      <c r="I625" s="1"/>
      <c r="J625" s="1"/>
      <c r="K625" s="1"/>
      <c r="L625" s="1"/>
      <c r="M625" s="1"/>
      <c r="N625" s="1"/>
      <c r="O625" s="1"/>
      <c r="P625" s="1"/>
      <c r="Q625" s="1"/>
      <c r="R625" s="1"/>
      <c r="S625" s="1"/>
      <c r="T625" s="1"/>
      <c r="U625" s="1"/>
      <c r="V625" s="1"/>
      <c r="W625" s="1"/>
      <c r="X625" s="1"/>
      <c r="Y625" s="1"/>
    </row>
    <row r="626">
      <c r="A626" s="17"/>
      <c r="B626" s="23"/>
      <c r="C626" s="1"/>
      <c r="D626" s="1"/>
      <c r="E626" s="1"/>
      <c r="F626" s="1"/>
      <c r="G626" s="1"/>
      <c r="H626" s="1"/>
      <c r="I626" s="1"/>
      <c r="J626" s="1"/>
      <c r="K626" s="1"/>
      <c r="L626" s="1"/>
      <c r="M626" s="1"/>
      <c r="N626" s="1"/>
      <c r="O626" s="1"/>
      <c r="P626" s="1"/>
      <c r="Q626" s="1"/>
      <c r="R626" s="1"/>
      <c r="S626" s="1"/>
      <c r="T626" s="1"/>
      <c r="U626" s="1"/>
      <c r="V626" s="1"/>
      <c r="W626" s="1"/>
      <c r="X626" s="1"/>
      <c r="Y626" s="1"/>
    </row>
    <row r="627">
      <c r="A627" s="17"/>
      <c r="B627" s="23"/>
      <c r="C627" s="1"/>
      <c r="D627" s="1"/>
      <c r="E627" s="1"/>
      <c r="F627" s="1"/>
      <c r="G627" s="1"/>
      <c r="H627" s="1"/>
      <c r="I627" s="1"/>
      <c r="J627" s="1"/>
      <c r="K627" s="1"/>
      <c r="L627" s="1"/>
      <c r="M627" s="1"/>
      <c r="N627" s="1"/>
      <c r="O627" s="1"/>
      <c r="P627" s="1"/>
      <c r="Q627" s="1"/>
      <c r="R627" s="1"/>
      <c r="S627" s="1"/>
      <c r="T627" s="1"/>
      <c r="U627" s="1"/>
      <c r="V627" s="1"/>
      <c r="W627" s="1"/>
      <c r="X627" s="1"/>
      <c r="Y627" s="1"/>
    </row>
    <row r="628">
      <c r="A628" s="17"/>
      <c r="B628" s="23"/>
      <c r="C628" s="1"/>
      <c r="D628" s="1"/>
      <c r="E628" s="1"/>
      <c r="F628" s="1"/>
      <c r="G628" s="1"/>
      <c r="H628" s="1"/>
      <c r="I628" s="1"/>
      <c r="J628" s="1"/>
      <c r="K628" s="1"/>
      <c r="L628" s="1"/>
      <c r="M628" s="1"/>
      <c r="N628" s="1"/>
      <c r="O628" s="1"/>
      <c r="P628" s="1"/>
      <c r="Q628" s="1"/>
      <c r="R628" s="1"/>
      <c r="S628" s="1"/>
      <c r="T628" s="1"/>
      <c r="U628" s="1"/>
      <c r="V628" s="1"/>
      <c r="W628" s="1"/>
      <c r="X628" s="1"/>
      <c r="Y628" s="1"/>
    </row>
    <row r="629">
      <c r="A629" s="17"/>
      <c r="B629" s="23"/>
      <c r="C629" s="1"/>
      <c r="D629" s="1"/>
      <c r="E629" s="1"/>
      <c r="F629" s="1"/>
      <c r="G629" s="1"/>
      <c r="H629" s="1"/>
      <c r="I629" s="1"/>
      <c r="J629" s="1"/>
      <c r="K629" s="1"/>
      <c r="L629" s="1"/>
      <c r="M629" s="1"/>
      <c r="N629" s="1"/>
      <c r="O629" s="1"/>
      <c r="P629" s="1"/>
      <c r="Q629" s="1"/>
      <c r="R629" s="1"/>
      <c r="S629" s="1"/>
      <c r="T629" s="1"/>
      <c r="U629" s="1"/>
      <c r="V629" s="1"/>
      <c r="W629" s="1"/>
      <c r="X629" s="1"/>
      <c r="Y629" s="1"/>
    </row>
    <row r="630">
      <c r="A630" s="17"/>
      <c r="B630" s="23"/>
      <c r="C630" s="1"/>
      <c r="D630" s="1"/>
      <c r="E630" s="1"/>
      <c r="F630" s="1"/>
      <c r="G630" s="1"/>
      <c r="H630" s="1"/>
      <c r="I630" s="1"/>
      <c r="J630" s="1"/>
      <c r="K630" s="1"/>
      <c r="L630" s="1"/>
      <c r="M630" s="1"/>
      <c r="N630" s="1"/>
      <c r="O630" s="1"/>
      <c r="P630" s="1"/>
      <c r="Q630" s="1"/>
      <c r="R630" s="1"/>
      <c r="S630" s="1"/>
      <c r="T630" s="1"/>
      <c r="U630" s="1"/>
      <c r="V630" s="1"/>
      <c r="W630" s="1"/>
      <c r="X630" s="1"/>
      <c r="Y630" s="1"/>
    </row>
    <row r="631">
      <c r="A631" s="17"/>
      <c r="B631" s="23"/>
      <c r="C631" s="1"/>
      <c r="D631" s="1"/>
      <c r="E631" s="1"/>
      <c r="F631" s="1"/>
      <c r="G631" s="1"/>
      <c r="H631" s="1"/>
      <c r="I631" s="1"/>
      <c r="J631" s="1"/>
      <c r="K631" s="1"/>
      <c r="L631" s="1"/>
      <c r="M631" s="1"/>
      <c r="N631" s="1"/>
      <c r="O631" s="1"/>
      <c r="P631" s="1"/>
      <c r="Q631" s="1"/>
      <c r="R631" s="1"/>
      <c r="S631" s="1"/>
      <c r="T631" s="1"/>
      <c r="U631" s="1"/>
      <c r="V631" s="1"/>
      <c r="W631" s="1"/>
      <c r="X631" s="1"/>
      <c r="Y631" s="1"/>
    </row>
    <row r="632">
      <c r="A632" s="17"/>
      <c r="B632" s="23"/>
      <c r="C632" s="1"/>
      <c r="D632" s="1"/>
      <c r="E632" s="1"/>
      <c r="F632" s="1"/>
      <c r="G632" s="1"/>
      <c r="H632" s="1"/>
      <c r="I632" s="1"/>
      <c r="J632" s="1"/>
      <c r="K632" s="1"/>
      <c r="L632" s="1"/>
      <c r="M632" s="1"/>
      <c r="N632" s="1"/>
      <c r="O632" s="1"/>
      <c r="P632" s="1"/>
      <c r="Q632" s="1"/>
      <c r="R632" s="1"/>
      <c r="S632" s="1"/>
      <c r="T632" s="1"/>
      <c r="U632" s="1"/>
      <c r="V632" s="1"/>
      <c r="W632" s="1"/>
      <c r="X632" s="1"/>
      <c r="Y632" s="1"/>
    </row>
    <row r="633">
      <c r="A633" s="17"/>
      <c r="B633" s="23"/>
      <c r="C633" s="1"/>
      <c r="D633" s="1"/>
      <c r="E633" s="1"/>
      <c r="F633" s="1"/>
      <c r="G633" s="1"/>
      <c r="H633" s="1"/>
      <c r="I633" s="1"/>
      <c r="J633" s="1"/>
      <c r="K633" s="1"/>
      <c r="L633" s="1"/>
      <c r="M633" s="1"/>
      <c r="N633" s="1"/>
      <c r="O633" s="1"/>
      <c r="P633" s="1"/>
      <c r="Q633" s="1"/>
      <c r="R633" s="1"/>
      <c r="S633" s="1"/>
      <c r="T633" s="1"/>
      <c r="U633" s="1"/>
      <c r="V633" s="1"/>
      <c r="W633" s="1"/>
      <c r="X633" s="1"/>
      <c r="Y633" s="1"/>
    </row>
    <row r="634">
      <c r="A634" s="17"/>
      <c r="B634" s="23"/>
      <c r="C634" s="1"/>
      <c r="D634" s="1"/>
      <c r="E634" s="1"/>
      <c r="F634" s="1"/>
      <c r="G634" s="1"/>
      <c r="H634" s="1"/>
      <c r="I634" s="1"/>
      <c r="J634" s="1"/>
      <c r="K634" s="1"/>
      <c r="L634" s="1"/>
      <c r="M634" s="1"/>
      <c r="N634" s="1"/>
      <c r="O634" s="1"/>
      <c r="P634" s="1"/>
      <c r="Q634" s="1"/>
      <c r="R634" s="1"/>
      <c r="S634" s="1"/>
      <c r="T634" s="1"/>
      <c r="U634" s="1"/>
      <c r="V634" s="1"/>
      <c r="W634" s="1"/>
      <c r="X634" s="1"/>
      <c r="Y634" s="1"/>
    </row>
    <row r="635">
      <c r="A635" s="17"/>
      <c r="B635" s="23"/>
      <c r="C635" s="1"/>
      <c r="D635" s="1"/>
      <c r="E635" s="1"/>
      <c r="F635" s="1"/>
      <c r="G635" s="1"/>
      <c r="H635" s="1"/>
      <c r="I635" s="1"/>
      <c r="J635" s="1"/>
      <c r="K635" s="1"/>
      <c r="L635" s="1"/>
      <c r="M635" s="1"/>
      <c r="N635" s="1"/>
      <c r="O635" s="1"/>
      <c r="P635" s="1"/>
      <c r="Q635" s="1"/>
      <c r="R635" s="1"/>
      <c r="S635" s="1"/>
      <c r="T635" s="1"/>
      <c r="U635" s="1"/>
      <c r="V635" s="1"/>
      <c r="W635" s="1"/>
      <c r="X635" s="1"/>
      <c r="Y635" s="1"/>
    </row>
    <row r="636">
      <c r="A636" s="17"/>
      <c r="B636" s="23"/>
      <c r="C636" s="1"/>
      <c r="D636" s="1"/>
      <c r="E636" s="1"/>
      <c r="F636" s="1"/>
      <c r="G636" s="1"/>
      <c r="H636" s="1"/>
      <c r="I636" s="1"/>
      <c r="J636" s="1"/>
      <c r="K636" s="1"/>
      <c r="L636" s="1"/>
      <c r="M636" s="1"/>
      <c r="N636" s="1"/>
      <c r="O636" s="1"/>
      <c r="P636" s="1"/>
      <c r="Q636" s="1"/>
      <c r="R636" s="1"/>
      <c r="S636" s="1"/>
      <c r="T636" s="1"/>
      <c r="U636" s="1"/>
      <c r="V636" s="1"/>
      <c r="W636" s="1"/>
      <c r="X636" s="1"/>
      <c r="Y636" s="1"/>
    </row>
    <row r="637">
      <c r="A637" s="17"/>
      <c r="B637" s="23"/>
      <c r="C637" s="1"/>
      <c r="D637" s="1"/>
      <c r="E637" s="1"/>
      <c r="F637" s="1"/>
      <c r="G637" s="1"/>
      <c r="H637" s="1"/>
      <c r="I637" s="1"/>
      <c r="J637" s="1"/>
      <c r="K637" s="1"/>
      <c r="L637" s="1"/>
      <c r="M637" s="1"/>
      <c r="N637" s="1"/>
      <c r="O637" s="1"/>
      <c r="P637" s="1"/>
      <c r="Q637" s="1"/>
      <c r="R637" s="1"/>
      <c r="S637" s="1"/>
      <c r="T637" s="1"/>
      <c r="U637" s="1"/>
      <c r="V637" s="1"/>
      <c r="W637" s="1"/>
      <c r="X637" s="1"/>
      <c r="Y637" s="1"/>
    </row>
    <row r="638">
      <c r="A638" s="17"/>
      <c r="B638" s="23"/>
      <c r="C638" s="1"/>
      <c r="D638" s="1"/>
      <c r="E638" s="1"/>
      <c r="F638" s="1"/>
      <c r="G638" s="1"/>
      <c r="H638" s="1"/>
      <c r="I638" s="1"/>
      <c r="J638" s="1"/>
      <c r="K638" s="1"/>
      <c r="L638" s="1"/>
      <c r="M638" s="1"/>
      <c r="N638" s="1"/>
      <c r="O638" s="1"/>
      <c r="P638" s="1"/>
      <c r="Q638" s="1"/>
      <c r="R638" s="1"/>
      <c r="S638" s="1"/>
      <c r="T638" s="1"/>
      <c r="U638" s="1"/>
      <c r="V638" s="1"/>
      <c r="W638" s="1"/>
      <c r="X638" s="1"/>
      <c r="Y638" s="1"/>
    </row>
    <row r="639">
      <c r="A639" s="17"/>
      <c r="B639" s="23"/>
      <c r="C639" s="1"/>
      <c r="D639" s="1"/>
      <c r="E639" s="1"/>
      <c r="F639" s="1"/>
      <c r="G639" s="1"/>
      <c r="H639" s="1"/>
      <c r="I639" s="1"/>
      <c r="J639" s="1"/>
      <c r="K639" s="1"/>
      <c r="L639" s="1"/>
      <c r="M639" s="1"/>
      <c r="N639" s="1"/>
      <c r="O639" s="1"/>
      <c r="P639" s="1"/>
      <c r="Q639" s="1"/>
      <c r="R639" s="1"/>
      <c r="S639" s="1"/>
      <c r="T639" s="1"/>
      <c r="U639" s="1"/>
      <c r="V639" s="1"/>
      <c r="W639" s="1"/>
      <c r="X639" s="1"/>
      <c r="Y639" s="1"/>
    </row>
    <row r="640">
      <c r="A640" s="17"/>
      <c r="B640" s="23"/>
      <c r="C640" s="1"/>
      <c r="D640" s="1"/>
      <c r="E640" s="1"/>
      <c r="F640" s="1"/>
      <c r="G640" s="1"/>
      <c r="H640" s="1"/>
      <c r="I640" s="1"/>
      <c r="J640" s="1"/>
      <c r="K640" s="1"/>
      <c r="L640" s="1"/>
      <c r="M640" s="1"/>
      <c r="N640" s="1"/>
      <c r="O640" s="1"/>
      <c r="P640" s="1"/>
      <c r="Q640" s="1"/>
      <c r="R640" s="1"/>
      <c r="S640" s="1"/>
      <c r="T640" s="1"/>
      <c r="U640" s="1"/>
      <c r="V640" s="1"/>
      <c r="W640" s="1"/>
      <c r="X640" s="1"/>
      <c r="Y640" s="1"/>
    </row>
    <row r="641">
      <c r="A641" s="17"/>
      <c r="B641" s="23"/>
      <c r="C641" s="1"/>
      <c r="D641" s="1"/>
      <c r="E641" s="1"/>
      <c r="F641" s="1"/>
      <c r="G641" s="1"/>
      <c r="H641" s="1"/>
      <c r="I641" s="1"/>
      <c r="J641" s="1"/>
      <c r="K641" s="1"/>
      <c r="L641" s="1"/>
      <c r="M641" s="1"/>
      <c r="N641" s="1"/>
      <c r="O641" s="1"/>
      <c r="P641" s="1"/>
      <c r="Q641" s="1"/>
      <c r="R641" s="1"/>
      <c r="S641" s="1"/>
      <c r="T641" s="1"/>
      <c r="U641" s="1"/>
      <c r="V641" s="1"/>
      <c r="W641" s="1"/>
      <c r="X641" s="1"/>
      <c r="Y641" s="1"/>
    </row>
    <row r="642">
      <c r="A642" s="17"/>
      <c r="B642" s="23"/>
      <c r="C642" s="1"/>
      <c r="D642" s="1"/>
      <c r="E642" s="1"/>
      <c r="F642" s="1"/>
      <c r="G642" s="1"/>
      <c r="H642" s="1"/>
      <c r="I642" s="1"/>
      <c r="J642" s="1"/>
      <c r="K642" s="1"/>
      <c r="L642" s="1"/>
      <c r="M642" s="1"/>
      <c r="N642" s="1"/>
      <c r="O642" s="1"/>
      <c r="P642" s="1"/>
      <c r="Q642" s="1"/>
      <c r="R642" s="1"/>
      <c r="S642" s="1"/>
      <c r="T642" s="1"/>
      <c r="U642" s="1"/>
      <c r="V642" s="1"/>
      <c r="W642" s="1"/>
      <c r="X642" s="1"/>
      <c r="Y642" s="1"/>
    </row>
    <row r="643">
      <c r="A643" s="17"/>
      <c r="B643" s="23"/>
      <c r="C643" s="1"/>
      <c r="D643" s="1"/>
      <c r="E643" s="1"/>
      <c r="F643" s="1"/>
      <c r="G643" s="1"/>
      <c r="H643" s="1"/>
      <c r="I643" s="1"/>
      <c r="J643" s="1"/>
      <c r="K643" s="1"/>
      <c r="L643" s="1"/>
      <c r="M643" s="1"/>
      <c r="N643" s="1"/>
      <c r="O643" s="1"/>
      <c r="P643" s="1"/>
      <c r="Q643" s="1"/>
      <c r="R643" s="1"/>
      <c r="S643" s="1"/>
      <c r="T643" s="1"/>
      <c r="U643" s="1"/>
      <c r="V643" s="1"/>
      <c r="W643" s="1"/>
      <c r="X643" s="1"/>
      <c r="Y643" s="1"/>
    </row>
    <row r="644">
      <c r="A644" s="17"/>
      <c r="B644" s="23"/>
      <c r="C644" s="1"/>
      <c r="D644" s="1"/>
      <c r="E644" s="1"/>
      <c r="F644" s="1"/>
      <c r="G644" s="1"/>
      <c r="H644" s="1"/>
      <c r="I644" s="1"/>
      <c r="J644" s="1"/>
      <c r="K644" s="1"/>
      <c r="L644" s="1"/>
      <c r="M644" s="1"/>
      <c r="N644" s="1"/>
      <c r="O644" s="1"/>
      <c r="P644" s="1"/>
      <c r="Q644" s="1"/>
      <c r="R644" s="1"/>
      <c r="S644" s="1"/>
      <c r="T644" s="1"/>
      <c r="U644" s="1"/>
      <c r="V644" s="1"/>
      <c r="W644" s="1"/>
      <c r="X644" s="1"/>
      <c r="Y644" s="1"/>
    </row>
    <row r="645">
      <c r="A645" s="17"/>
      <c r="B645" s="23"/>
      <c r="C645" s="1"/>
      <c r="D645" s="1"/>
      <c r="E645" s="1"/>
      <c r="F645" s="1"/>
      <c r="G645" s="1"/>
      <c r="H645" s="1"/>
      <c r="I645" s="1"/>
      <c r="J645" s="1"/>
      <c r="K645" s="1"/>
      <c r="L645" s="1"/>
      <c r="M645" s="1"/>
      <c r="N645" s="1"/>
      <c r="O645" s="1"/>
      <c r="P645" s="1"/>
      <c r="Q645" s="1"/>
      <c r="R645" s="1"/>
      <c r="S645" s="1"/>
      <c r="T645" s="1"/>
      <c r="U645" s="1"/>
      <c r="V645" s="1"/>
      <c r="W645" s="1"/>
      <c r="X645" s="1"/>
      <c r="Y645" s="1"/>
    </row>
    <row r="646">
      <c r="A646" s="17"/>
      <c r="B646" s="23"/>
      <c r="C646" s="1"/>
      <c r="D646" s="1"/>
      <c r="E646" s="1"/>
      <c r="F646" s="1"/>
      <c r="G646" s="1"/>
      <c r="H646" s="1"/>
      <c r="I646" s="1"/>
      <c r="J646" s="1"/>
      <c r="K646" s="1"/>
      <c r="L646" s="1"/>
      <c r="M646" s="1"/>
      <c r="N646" s="1"/>
      <c r="O646" s="1"/>
      <c r="P646" s="1"/>
      <c r="Q646" s="1"/>
      <c r="R646" s="1"/>
      <c r="S646" s="1"/>
      <c r="T646" s="1"/>
      <c r="U646" s="1"/>
      <c r="V646" s="1"/>
      <c r="W646" s="1"/>
      <c r="X646" s="1"/>
      <c r="Y646" s="1"/>
    </row>
    <row r="647">
      <c r="A647" s="17"/>
      <c r="B647" s="23"/>
      <c r="C647" s="1"/>
      <c r="D647" s="1"/>
      <c r="E647" s="1"/>
      <c r="F647" s="1"/>
      <c r="G647" s="1"/>
      <c r="H647" s="1"/>
      <c r="I647" s="1"/>
      <c r="J647" s="1"/>
      <c r="K647" s="1"/>
      <c r="L647" s="1"/>
      <c r="M647" s="1"/>
      <c r="N647" s="1"/>
      <c r="O647" s="1"/>
      <c r="P647" s="1"/>
      <c r="Q647" s="1"/>
      <c r="R647" s="1"/>
      <c r="S647" s="1"/>
      <c r="T647" s="1"/>
      <c r="U647" s="1"/>
      <c r="V647" s="1"/>
      <c r="W647" s="1"/>
      <c r="X647" s="1"/>
      <c r="Y647" s="1"/>
    </row>
    <row r="648">
      <c r="A648" s="17"/>
      <c r="B648" s="23"/>
      <c r="C648" s="1"/>
      <c r="D648" s="1"/>
      <c r="E648" s="1"/>
      <c r="F648" s="1"/>
      <c r="G648" s="1"/>
      <c r="H648" s="1"/>
      <c r="I648" s="1"/>
      <c r="J648" s="1"/>
      <c r="K648" s="1"/>
      <c r="L648" s="1"/>
      <c r="M648" s="1"/>
      <c r="N648" s="1"/>
      <c r="O648" s="1"/>
      <c r="P648" s="1"/>
      <c r="Q648" s="1"/>
      <c r="R648" s="1"/>
      <c r="S648" s="1"/>
      <c r="T648" s="1"/>
      <c r="U648" s="1"/>
      <c r="V648" s="1"/>
      <c r="W648" s="1"/>
      <c r="X648" s="1"/>
      <c r="Y648" s="1"/>
    </row>
    <row r="649">
      <c r="A649" s="17"/>
      <c r="B649" s="23"/>
      <c r="C649" s="1"/>
      <c r="D649" s="1"/>
      <c r="E649" s="1"/>
      <c r="F649" s="1"/>
      <c r="G649" s="1"/>
      <c r="H649" s="1"/>
      <c r="I649" s="1"/>
      <c r="J649" s="1"/>
      <c r="K649" s="1"/>
      <c r="L649" s="1"/>
      <c r="M649" s="1"/>
      <c r="N649" s="1"/>
      <c r="O649" s="1"/>
      <c r="P649" s="1"/>
      <c r="Q649" s="1"/>
      <c r="R649" s="1"/>
      <c r="S649" s="1"/>
      <c r="T649" s="1"/>
      <c r="U649" s="1"/>
      <c r="V649" s="1"/>
      <c r="W649" s="1"/>
      <c r="X649" s="1"/>
      <c r="Y649" s="1"/>
    </row>
    <row r="650">
      <c r="A650" s="17"/>
      <c r="B650" s="23"/>
      <c r="C650" s="1"/>
      <c r="D650" s="1"/>
      <c r="E650" s="1"/>
      <c r="F650" s="1"/>
      <c r="G650" s="1"/>
      <c r="H650" s="1"/>
      <c r="I650" s="1"/>
      <c r="J650" s="1"/>
      <c r="K650" s="1"/>
      <c r="L650" s="1"/>
      <c r="M650" s="1"/>
      <c r="N650" s="1"/>
      <c r="O650" s="1"/>
      <c r="P650" s="1"/>
      <c r="Q650" s="1"/>
      <c r="R650" s="1"/>
      <c r="S650" s="1"/>
      <c r="T650" s="1"/>
      <c r="U650" s="1"/>
      <c r="V650" s="1"/>
      <c r="W650" s="1"/>
      <c r="X650" s="1"/>
      <c r="Y650" s="1"/>
    </row>
    <row r="651">
      <c r="A651" s="17"/>
      <c r="B651" s="23"/>
      <c r="C651" s="1"/>
      <c r="D651" s="1"/>
      <c r="E651" s="1"/>
      <c r="F651" s="1"/>
      <c r="G651" s="1"/>
      <c r="H651" s="1"/>
      <c r="I651" s="1"/>
      <c r="J651" s="1"/>
      <c r="K651" s="1"/>
      <c r="L651" s="1"/>
      <c r="M651" s="1"/>
      <c r="N651" s="1"/>
      <c r="O651" s="1"/>
      <c r="P651" s="1"/>
      <c r="Q651" s="1"/>
      <c r="R651" s="1"/>
      <c r="S651" s="1"/>
      <c r="T651" s="1"/>
      <c r="U651" s="1"/>
      <c r="V651" s="1"/>
      <c r="W651" s="1"/>
      <c r="X651" s="1"/>
      <c r="Y651" s="1"/>
    </row>
    <row r="652">
      <c r="A652" s="17"/>
      <c r="B652" s="23"/>
      <c r="C652" s="1"/>
      <c r="D652" s="1"/>
      <c r="E652" s="1"/>
      <c r="F652" s="1"/>
      <c r="G652" s="1"/>
      <c r="H652" s="1"/>
      <c r="I652" s="1"/>
      <c r="J652" s="1"/>
      <c r="K652" s="1"/>
      <c r="L652" s="1"/>
      <c r="M652" s="1"/>
      <c r="N652" s="1"/>
      <c r="O652" s="1"/>
      <c r="P652" s="1"/>
      <c r="Q652" s="1"/>
      <c r="R652" s="1"/>
      <c r="S652" s="1"/>
      <c r="T652" s="1"/>
      <c r="U652" s="1"/>
      <c r="V652" s="1"/>
      <c r="W652" s="1"/>
      <c r="X652" s="1"/>
      <c r="Y652" s="1"/>
    </row>
    <row r="653">
      <c r="A653" s="17"/>
      <c r="B653" s="23"/>
      <c r="C653" s="1"/>
      <c r="D653" s="1"/>
      <c r="E653" s="1"/>
      <c r="F653" s="1"/>
      <c r="G653" s="1"/>
      <c r="H653" s="1"/>
      <c r="I653" s="1"/>
      <c r="J653" s="1"/>
      <c r="K653" s="1"/>
      <c r="L653" s="1"/>
      <c r="M653" s="1"/>
      <c r="N653" s="1"/>
      <c r="O653" s="1"/>
      <c r="P653" s="1"/>
      <c r="Q653" s="1"/>
      <c r="R653" s="1"/>
      <c r="S653" s="1"/>
      <c r="T653" s="1"/>
      <c r="U653" s="1"/>
      <c r="V653" s="1"/>
      <c r="W653" s="1"/>
      <c r="X653" s="1"/>
      <c r="Y653" s="1"/>
    </row>
    <row r="654">
      <c r="A654" s="17"/>
      <c r="B654" s="23"/>
      <c r="C654" s="1"/>
      <c r="D654" s="1"/>
      <c r="E654" s="1"/>
      <c r="F654" s="1"/>
      <c r="G654" s="1"/>
      <c r="H654" s="1"/>
      <c r="I654" s="1"/>
      <c r="J654" s="1"/>
      <c r="K654" s="1"/>
      <c r="L654" s="1"/>
      <c r="M654" s="1"/>
      <c r="N654" s="1"/>
      <c r="O654" s="1"/>
      <c r="P654" s="1"/>
      <c r="Q654" s="1"/>
      <c r="R654" s="1"/>
      <c r="S654" s="1"/>
      <c r="T654" s="1"/>
      <c r="U654" s="1"/>
      <c r="V654" s="1"/>
      <c r="W654" s="1"/>
      <c r="X654" s="1"/>
      <c r="Y654" s="1"/>
    </row>
    <row r="655">
      <c r="A655" s="17"/>
      <c r="B655" s="23"/>
      <c r="C655" s="1"/>
      <c r="D655" s="1"/>
      <c r="E655" s="1"/>
      <c r="F655" s="1"/>
      <c r="G655" s="1"/>
      <c r="H655" s="1"/>
      <c r="I655" s="1"/>
      <c r="J655" s="1"/>
      <c r="K655" s="1"/>
      <c r="L655" s="1"/>
      <c r="M655" s="1"/>
      <c r="N655" s="1"/>
      <c r="O655" s="1"/>
      <c r="P655" s="1"/>
      <c r="Q655" s="1"/>
      <c r="R655" s="1"/>
      <c r="S655" s="1"/>
      <c r="T655" s="1"/>
      <c r="U655" s="1"/>
      <c r="V655" s="1"/>
      <c r="W655" s="1"/>
      <c r="X655" s="1"/>
      <c r="Y655" s="1"/>
    </row>
    <row r="656">
      <c r="A656" s="17"/>
      <c r="B656" s="23"/>
      <c r="C656" s="1"/>
      <c r="D656" s="1"/>
      <c r="E656" s="1"/>
      <c r="F656" s="1"/>
      <c r="G656" s="1"/>
      <c r="H656" s="1"/>
      <c r="I656" s="1"/>
      <c r="J656" s="1"/>
      <c r="K656" s="1"/>
      <c r="L656" s="1"/>
      <c r="M656" s="1"/>
      <c r="N656" s="1"/>
      <c r="O656" s="1"/>
      <c r="P656" s="1"/>
      <c r="Q656" s="1"/>
      <c r="R656" s="1"/>
      <c r="S656" s="1"/>
      <c r="T656" s="1"/>
      <c r="U656" s="1"/>
      <c r="V656" s="1"/>
      <c r="W656" s="1"/>
      <c r="X656" s="1"/>
      <c r="Y656" s="1"/>
    </row>
    <row r="657">
      <c r="A657" s="17"/>
      <c r="B657" s="23"/>
      <c r="C657" s="1"/>
      <c r="D657" s="1"/>
      <c r="E657" s="1"/>
      <c r="F657" s="1"/>
      <c r="G657" s="1"/>
      <c r="H657" s="1"/>
      <c r="I657" s="1"/>
      <c r="J657" s="1"/>
      <c r="K657" s="1"/>
      <c r="L657" s="1"/>
      <c r="M657" s="1"/>
      <c r="N657" s="1"/>
      <c r="O657" s="1"/>
      <c r="P657" s="1"/>
      <c r="Q657" s="1"/>
      <c r="R657" s="1"/>
      <c r="S657" s="1"/>
      <c r="T657" s="1"/>
      <c r="U657" s="1"/>
      <c r="V657" s="1"/>
      <c r="W657" s="1"/>
      <c r="X657" s="1"/>
      <c r="Y657" s="1"/>
    </row>
    <row r="658">
      <c r="A658" s="17"/>
      <c r="B658" s="23"/>
      <c r="C658" s="1"/>
      <c r="D658" s="1"/>
      <c r="E658" s="1"/>
      <c r="F658" s="1"/>
      <c r="G658" s="1"/>
      <c r="H658" s="1"/>
      <c r="I658" s="1"/>
      <c r="J658" s="1"/>
      <c r="K658" s="1"/>
      <c r="L658" s="1"/>
      <c r="M658" s="1"/>
      <c r="N658" s="1"/>
      <c r="O658" s="1"/>
      <c r="P658" s="1"/>
      <c r="Q658" s="1"/>
      <c r="R658" s="1"/>
      <c r="S658" s="1"/>
      <c r="T658" s="1"/>
      <c r="U658" s="1"/>
      <c r="V658" s="1"/>
      <c r="W658" s="1"/>
      <c r="X658" s="1"/>
      <c r="Y658" s="1"/>
    </row>
    <row r="659">
      <c r="A659" s="17"/>
      <c r="B659" s="23"/>
      <c r="C659" s="1"/>
      <c r="D659" s="1"/>
      <c r="E659" s="1"/>
      <c r="F659" s="1"/>
      <c r="G659" s="1"/>
      <c r="H659" s="1"/>
      <c r="I659" s="1"/>
      <c r="J659" s="1"/>
      <c r="K659" s="1"/>
      <c r="L659" s="1"/>
      <c r="M659" s="1"/>
      <c r="N659" s="1"/>
      <c r="O659" s="1"/>
      <c r="P659" s="1"/>
      <c r="Q659" s="1"/>
      <c r="R659" s="1"/>
      <c r="S659" s="1"/>
      <c r="T659" s="1"/>
      <c r="U659" s="1"/>
      <c r="V659" s="1"/>
      <c r="W659" s="1"/>
      <c r="X659" s="1"/>
      <c r="Y659" s="1"/>
    </row>
    <row r="660">
      <c r="A660" s="17"/>
      <c r="B660" s="23"/>
      <c r="C660" s="1"/>
      <c r="D660" s="1"/>
      <c r="E660" s="1"/>
      <c r="F660" s="1"/>
      <c r="G660" s="1"/>
      <c r="H660" s="1"/>
      <c r="I660" s="1"/>
      <c r="J660" s="1"/>
      <c r="K660" s="1"/>
      <c r="L660" s="1"/>
      <c r="M660" s="1"/>
      <c r="N660" s="1"/>
      <c r="O660" s="1"/>
      <c r="P660" s="1"/>
      <c r="Q660" s="1"/>
      <c r="R660" s="1"/>
      <c r="S660" s="1"/>
      <c r="T660" s="1"/>
      <c r="U660" s="1"/>
      <c r="V660" s="1"/>
      <c r="W660" s="1"/>
      <c r="X660" s="1"/>
      <c r="Y660" s="1"/>
    </row>
    <row r="661">
      <c r="A661" s="17"/>
      <c r="B661" s="23"/>
      <c r="C661" s="1"/>
      <c r="D661" s="1"/>
      <c r="E661" s="1"/>
      <c r="F661" s="1"/>
      <c r="G661" s="1"/>
      <c r="H661" s="1"/>
      <c r="I661" s="1"/>
      <c r="J661" s="1"/>
      <c r="K661" s="1"/>
      <c r="L661" s="1"/>
      <c r="M661" s="1"/>
      <c r="N661" s="1"/>
      <c r="O661" s="1"/>
      <c r="P661" s="1"/>
      <c r="Q661" s="1"/>
      <c r="R661" s="1"/>
      <c r="S661" s="1"/>
      <c r="T661" s="1"/>
      <c r="U661" s="1"/>
      <c r="V661" s="1"/>
      <c r="W661" s="1"/>
      <c r="X661" s="1"/>
      <c r="Y661" s="1"/>
    </row>
    <row r="662">
      <c r="A662" s="17"/>
      <c r="B662" s="23"/>
      <c r="C662" s="1"/>
      <c r="D662" s="1"/>
      <c r="E662" s="1"/>
      <c r="F662" s="1"/>
      <c r="G662" s="1"/>
      <c r="H662" s="1"/>
      <c r="I662" s="1"/>
      <c r="J662" s="1"/>
      <c r="K662" s="1"/>
      <c r="L662" s="1"/>
      <c r="M662" s="1"/>
      <c r="N662" s="1"/>
      <c r="O662" s="1"/>
      <c r="P662" s="1"/>
      <c r="Q662" s="1"/>
      <c r="R662" s="1"/>
      <c r="S662" s="1"/>
      <c r="T662" s="1"/>
      <c r="U662" s="1"/>
      <c r="V662" s="1"/>
      <c r="W662" s="1"/>
      <c r="X662" s="1"/>
      <c r="Y662" s="1"/>
    </row>
    <row r="663">
      <c r="A663" s="17"/>
      <c r="B663" s="23"/>
      <c r="C663" s="1"/>
      <c r="D663" s="1"/>
      <c r="E663" s="1"/>
      <c r="F663" s="1"/>
      <c r="G663" s="1"/>
      <c r="H663" s="1"/>
      <c r="I663" s="1"/>
      <c r="J663" s="1"/>
      <c r="K663" s="1"/>
      <c r="L663" s="1"/>
      <c r="M663" s="1"/>
      <c r="N663" s="1"/>
      <c r="O663" s="1"/>
      <c r="P663" s="1"/>
      <c r="Q663" s="1"/>
      <c r="R663" s="1"/>
      <c r="S663" s="1"/>
      <c r="T663" s="1"/>
      <c r="U663" s="1"/>
      <c r="V663" s="1"/>
      <c r="W663" s="1"/>
      <c r="X663" s="1"/>
      <c r="Y663" s="1"/>
    </row>
    <row r="664">
      <c r="A664" s="17"/>
      <c r="B664" s="23"/>
      <c r="C664" s="1"/>
      <c r="D664" s="1"/>
      <c r="E664" s="1"/>
      <c r="F664" s="1"/>
      <c r="G664" s="1"/>
      <c r="H664" s="1"/>
      <c r="I664" s="1"/>
      <c r="J664" s="1"/>
      <c r="K664" s="1"/>
      <c r="L664" s="1"/>
      <c r="M664" s="1"/>
      <c r="N664" s="1"/>
      <c r="O664" s="1"/>
      <c r="P664" s="1"/>
      <c r="Q664" s="1"/>
      <c r="R664" s="1"/>
      <c r="S664" s="1"/>
      <c r="T664" s="1"/>
      <c r="U664" s="1"/>
      <c r="V664" s="1"/>
      <c r="W664" s="1"/>
      <c r="X664" s="1"/>
      <c r="Y664" s="1"/>
    </row>
    <row r="665">
      <c r="A665" s="17"/>
      <c r="B665" s="23"/>
      <c r="C665" s="1"/>
      <c r="D665" s="1"/>
      <c r="E665" s="1"/>
      <c r="F665" s="1"/>
      <c r="G665" s="1"/>
      <c r="H665" s="1"/>
      <c r="I665" s="1"/>
      <c r="J665" s="1"/>
      <c r="K665" s="1"/>
      <c r="L665" s="1"/>
      <c r="M665" s="1"/>
      <c r="N665" s="1"/>
      <c r="O665" s="1"/>
      <c r="P665" s="1"/>
      <c r="Q665" s="1"/>
      <c r="R665" s="1"/>
      <c r="S665" s="1"/>
      <c r="T665" s="1"/>
      <c r="U665" s="1"/>
      <c r="V665" s="1"/>
      <c r="W665" s="1"/>
      <c r="X665" s="1"/>
      <c r="Y665" s="1"/>
    </row>
    <row r="666">
      <c r="A666" s="17"/>
      <c r="B666" s="23"/>
      <c r="C666" s="1"/>
      <c r="D666" s="1"/>
      <c r="E666" s="1"/>
      <c r="F666" s="1"/>
      <c r="G666" s="1"/>
      <c r="H666" s="1"/>
      <c r="I666" s="1"/>
      <c r="J666" s="1"/>
      <c r="K666" s="1"/>
      <c r="L666" s="1"/>
      <c r="M666" s="1"/>
      <c r="N666" s="1"/>
      <c r="O666" s="1"/>
      <c r="P666" s="1"/>
      <c r="Q666" s="1"/>
      <c r="R666" s="1"/>
      <c r="S666" s="1"/>
      <c r="T666" s="1"/>
      <c r="U666" s="1"/>
      <c r="V666" s="1"/>
      <c r="W666" s="1"/>
      <c r="X666" s="1"/>
      <c r="Y666" s="1"/>
    </row>
    <row r="667">
      <c r="A667" s="17"/>
      <c r="B667" s="23"/>
      <c r="C667" s="1"/>
      <c r="D667" s="1"/>
      <c r="E667" s="1"/>
      <c r="F667" s="1"/>
      <c r="G667" s="1"/>
      <c r="H667" s="1"/>
      <c r="I667" s="1"/>
      <c r="J667" s="1"/>
      <c r="K667" s="1"/>
      <c r="L667" s="1"/>
      <c r="M667" s="1"/>
      <c r="N667" s="1"/>
      <c r="O667" s="1"/>
      <c r="P667" s="1"/>
      <c r="Q667" s="1"/>
      <c r="R667" s="1"/>
      <c r="S667" s="1"/>
      <c r="T667" s="1"/>
      <c r="U667" s="1"/>
      <c r="V667" s="1"/>
      <c r="W667" s="1"/>
      <c r="X667" s="1"/>
      <c r="Y667" s="1"/>
    </row>
    <row r="668">
      <c r="A668" s="17"/>
      <c r="B668" s="23"/>
      <c r="C668" s="1"/>
      <c r="D668" s="1"/>
      <c r="E668" s="1"/>
      <c r="F668" s="1"/>
      <c r="G668" s="1"/>
      <c r="H668" s="1"/>
      <c r="I668" s="1"/>
      <c r="J668" s="1"/>
      <c r="K668" s="1"/>
      <c r="L668" s="1"/>
      <c r="M668" s="1"/>
      <c r="N668" s="1"/>
      <c r="O668" s="1"/>
      <c r="P668" s="1"/>
      <c r="Q668" s="1"/>
      <c r="R668" s="1"/>
      <c r="S668" s="1"/>
      <c r="T668" s="1"/>
      <c r="U668" s="1"/>
      <c r="V668" s="1"/>
      <c r="W668" s="1"/>
      <c r="X668" s="1"/>
      <c r="Y668" s="1"/>
    </row>
    <row r="669">
      <c r="A669" s="17"/>
      <c r="B669" s="23"/>
      <c r="C669" s="1"/>
      <c r="D669" s="1"/>
      <c r="E669" s="1"/>
      <c r="F669" s="1"/>
      <c r="G669" s="1"/>
      <c r="H669" s="1"/>
      <c r="I669" s="1"/>
      <c r="J669" s="1"/>
      <c r="K669" s="1"/>
      <c r="L669" s="1"/>
      <c r="M669" s="1"/>
      <c r="N669" s="1"/>
      <c r="O669" s="1"/>
      <c r="P669" s="1"/>
      <c r="Q669" s="1"/>
      <c r="R669" s="1"/>
      <c r="S669" s="1"/>
      <c r="T669" s="1"/>
      <c r="U669" s="1"/>
      <c r="V669" s="1"/>
      <c r="W669" s="1"/>
      <c r="X669" s="1"/>
      <c r="Y669" s="1"/>
    </row>
    <row r="670">
      <c r="A670" s="17"/>
      <c r="B670" s="23"/>
      <c r="C670" s="1"/>
      <c r="D670" s="1"/>
      <c r="E670" s="1"/>
      <c r="F670" s="1"/>
      <c r="G670" s="1"/>
      <c r="H670" s="1"/>
      <c r="I670" s="1"/>
      <c r="J670" s="1"/>
      <c r="K670" s="1"/>
      <c r="L670" s="1"/>
      <c r="M670" s="1"/>
      <c r="N670" s="1"/>
      <c r="O670" s="1"/>
      <c r="P670" s="1"/>
      <c r="Q670" s="1"/>
      <c r="R670" s="1"/>
      <c r="S670" s="1"/>
      <c r="T670" s="1"/>
      <c r="U670" s="1"/>
      <c r="V670" s="1"/>
      <c r="W670" s="1"/>
      <c r="X670" s="1"/>
      <c r="Y670" s="1"/>
    </row>
    <row r="671">
      <c r="A671" s="17"/>
      <c r="B671" s="23"/>
      <c r="C671" s="1"/>
      <c r="D671" s="1"/>
      <c r="E671" s="1"/>
      <c r="F671" s="1"/>
      <c r="G671" s="1"/>
      <c r="H671" s="1"/>
      <c r="I671" s="1"/>
      <c r="J671" s="1"/>
      <c r="K671" s="1"/>
      <c r="L671" s="1"/>
      <c r="M671" s="1"/>
      <c r="N671" s="1"/>
      <c r="O671" s="1"/>
      <c r="P671" s="1"/>
      <c r="Q671" s="1"/>
      <c r="R671" s="1"/>
      <c r="S671" s="1"/>
      <c r="T671" s="1"/>
      <c r="U671" s="1"/>
      <c r="V671" s="1"/>
      <c r="W671" s="1"/>
      <c r="X671" s="1"/>
      <c r="Y671" s="1"/>
    </row>
    <row r="672">
      <c r="A672" s="17"/>
      <c r="B672" s="23"/>
      <c r="C672" s="1"/>
      <c r="D672" s="1"/>
      <c r="E672" s="1"/>
      <c r="F672" s="1"/>
      <c r="G672" s="1"/>
      <c r="H672" s="1"/>
      <c r="I672" s="1"/>
      <c r="J672" s="1"/>
      <c r="K672" s="1"/>
      <c r="L672" s="1"/>
      <c r="M672" s="1"/>
      <c r="N672" s="1"/>
      <c r="O672" s="1"/>
      <c r="P672" s="1"/>
      <c r="Q672" s="1"/>
      <c r="R672" s="1"/>
      <c r="S672" s="1"/>
      <c r="T672" s="1"/>
      <c r="U672" s="1"/>
      <c r="V672" s="1"/>
      <c r="W672" s="1"/>
      <c r="X672" s="1"/>
      <c r="Y672" s="1"/>
    </row>
    <row r="673">
      <c r="A673" s="17"/>
      <c r="B673" s="23"/>
      <c r="C673" s="1"/>
      <c r="D673" s="1"/>
      <c r="E673" s="1"/>
      <c r="F673" s="1"/>
      <c r="G673" s="1"/>
      <c r="H673" s="1"/>
      <c r="I673" s="1"/>
      <c r="J673" s="1"/>
      <c r="K673" s="1"/>
      <c r="L673" s="1"/>
      <c r="M673" s="1"/>
      <c r="N673" s="1"/>
      <c r="O673" s="1"/>
      <c r="P673" s="1"/>
      <c r="Q673" s="1"/>
      <c r="R673" s="1"/>
      <c r="S673" s="1"/>
      <c r="T673" s="1"/>
      <c r="U673" s="1"/>
      <c r="V673" s="1"/>
      <c r="W673" s="1"/>
      <c r="X673" s="1"/>
      <c r="Y673" s="1"/>
    </row>
    <row r="674">
      <c r="A674" s="17"/>
      <c r="B674" s="23"/>
      <c r="C674" s="1"/>
      <c r="D674" s="1"/>
      <c r="E674" s="1"/>
      <c r="F674" s="1"/>
      <c r="G674" s="1"/>
      <c r="H674" s="1"/>
      <c r="I674" s="1"/>
      <c r="J674" s="1"/>
      <c r="K674" s="1"/>
      <c r="L674" s="1"/>
      <c r="M674" s="1"/>
      <c r="N674" s="1"/>
      <c r="O674" s="1"/>
      <c r="P674" s="1"/>
      <c r="Q674" s="1"/>
      <c r="R674" s="1"/>
      <c r="S674" s="1"/>
      <c r="T674" s="1"/>
      <c r="U674" s="1"/>
      <c r="V674" s="1"/>
      <c r="W674" s="1"/>
      <c r="X674" s="1"/>
      <c r="Y674" s="1"/>
    </row>
    <row r="675">
      <c r="A675" s="17"/>
      <c r="B675" s="23"/>
      <c r="C675" s="1"/>
      <c r="D675" s="1"/>
      <c r="E675" s="1"/>
      <c r="F675" s="1"/>
      <c r="G675" s="1"/>
      <c r="H675" s="1"/>
      <c r="I675" s="1"/>
      <c r="J675" s="1"/>
      <c r="K675" s="1"/>
      <c r="L675" s="1"/>
      <c r="M675" s="1"/>
      <c r="N675" s="1"/>
      <c r="O675" s="1"/>
      <c r="P675" s="1"/>
      <c r="Q675" s="1"/>
      <c r="R675" s="1"/>
      <c r="S675" s="1"/>
      <c r="T675" s="1"/>
      <c r="U675" s="1"/>
      <c r="V675" s="1"/>
      <c r="W675" s="1"/>
      <c r="X675" s="1"/>
      <c r="Y675" s="1"/>
    </row>
    <row r="676">
      <c r="A676" s="17"/>
      <c r="B676" s="23"/>
      <c r="C676" s="1"/>
      <c r="D676" s="1"/>
      <c r="E676" s="1"/>
      <c r="F676" s="1"/>
      <c r="G676" s="1"/>
      <c r="H676" s="1"/>
      <c r="I676" s="1"/>
      <c r="J676" s="1"/>
      <c r="K676" s="1"/>
      <c r="L676" s="1"/>
      <c r="M676" s="1"/>
      <c r="N676" s="1"/>
      <c r="O676" s="1"/>
      <c r="P676" s="1"/>
      <c r="Q676" s="1"/>
      <c r="R676" s="1"/>
      <c r="S676" s="1"/>
      <c r="T676" s="1"/>
      <c r="U676" s="1"/>
      <c r="V676" s="1"/>
      <c r="W676" s="1"/>
      <c r="X676" s="1"/>
      <c r="Y676" s="1"/>
    </row>
    <row r="677">
      <c r="A677" s="17"/>
      <c r="B677" s="23"/>
      <c r="C677" s="1"/>
      <c r="D677" s="1"/>
      <c r="E677" s="1"/>
      <c r="F677" s="1"/>
      <c r="G677" s="1"/>
      <c r="H677" s="1"/>
      <c r="I677" s="1"/>
      <c r="J677" s="1"/>
      <c r="K677" s="1"/>
      <c r="L677" s="1"/>
      <c r="M677" s="1"/>
      <c r="N677" s="1"/>
      <c r="O677" s="1"/>
      <c r="P677" s="1"/>
      <c r="Q677" s="1"/>
      <c r="R677" s="1"/>
      <c r="S677" s="1"/>
      <c r="T677" s="1"/>
      <c r="U677" s="1"/>
      <c r="V677" s="1"/>
      <c r="W677" s="1"/>
      <c r="X677" s="1"/>
      <c r="Y677" s="1"/>
    </row>
    <row r="678">
      <c r="A678" s="17"/>
      <c r="B678" s="23"/>
      <c r="C678" s="1"/>
      <c r="D678" s="1"/>
      <c r="E678" s="1"/>
      <c r="F678" s="1"/>
      <c r="G678" s="1"/>
      <c r="H678" s="1"/>
      <c r="I678" s="1"/>
      <c r="J678" s="1"/>
      <c r="K678" s="1"/>
      <c r="L678" s="1"/>
      <c r="M678" s="1"/>
      <c r="N678" s="1"/>
      <c r="O678" s="1"/>
      <c r="P678" s="1"/>
      <c r="Q678" s="1"/>
      <c r="R678" s="1"/>
      <c r="S678" s="1"/>
      <c r="T678" s="1"/>
      <c r="U678" s="1"/>
      <c r="V678" s="1"/>
      <c r="W678" s="1"/>
      <c r="X678" s="1"/>
      <c r="Y678" s="1"/>
    </row>
    <row r="679">
      <c r="A679" s="17"/>
      <c r="B679" s="23"/>
      <c r="C679" s="1"/>
      <c r="D679" s="1"/>
      <c r="E679" s="1"/>
      <c r="F679" s="1"/>
      <c r="G679" s="1"/>
      <c r="H679" s="1"/>
      <c r="I679" s="1"/>
      <c r="J679" s="1"/>
      <c r="K679" s="1"/>
      <c r="L679" s="1"/>
      <c r="M679" s="1"/>
      <c r="N679" s="1"/>
      <c r="O679" s="1"/>
      <c r="P679" s="1"/>
      <c r="Q679" s="1"/>
      <c r="R679" s="1"/>
      <c r="S679" s="1"/>
      <c r="T679" s="1"/>
      <c r="U679" s="1"/>
      <c r="V679" s="1"/>
      <c r="W679" s="1"/>
      <c r="X679" s="1"/>
      <c r="Y679" s="1"/>
    </row>
    <row r="680">
      <c r="A680" s="17"/>
      <c r="B680" s="23"/>
      <c r="C680" s="1"/>
      <c r="D680" s="1"/>
      <c r="E680" s="1"/>
      <c r="F680" s="1"/>
      <c r="G680" s="1"/>
      <c r="H680" s="1"/>
      <c r="I680" s="1"/>
      <c r="J680" s="1"/>
      <c r="K680" s="1"/>
      <c r="L680" s="1"/>
      <c r="M680" s="1"/>
      <c r="N680" s="1"/>
      <c r="O680" s="1"/>
      <c r="P680" s="1"/>
      <c r="Q680" s="1"/>
      <c r="R680" s="1"/>
      <c r="S680" s="1"/>
      <c r="T680" s="1"/>
      <c r="U680" s="1"/>
      <c r="V680" s="1"/>
      <c r="W680" s="1"/>
      <c r="X680" s="1"/>
      <c r="Y680" s="1"/>
    </row>
    <row r="681">
      <c r="A681" s="17"/>
      <c r="B681" s="23"/>
      <c r="C681" s="1"/>
      <c r="D681" s="1"/>
      <c r="E681" s="1"/>
      <c r="F681" s="1"/>
      <c r="G681" s="1"/>
      <c r="H681" s="1"/>
      <c r="I681" s="1"/>
      <c r="J681" s="1"/>
      <c r="K681" s="1"/>
      <c r="L681" s="1"/>
      <c r="M681" s="1"/>
      <c r="N681" s="1"/>
      <c r="O681" s="1"/>
      <c r="P681" s="1"/>
      <c r="Q681" s="1"/>
      <c r="R681" s="1"/>
      <c r="S681" s="1"/>
      <c r="T681" s="1"/>
      <c r="U681" s="1"/>
      <c r="V681" s="1"/>
      <c r="W681" s="1"/>
      <c r="X681" s="1"/>
      <c r="Y681" s="1"/>
    </row>
    <row r="682">
      <c r="A682" s="17"/>
      <c r="B682" s="23"/>
      <c r="C682" s="1"/>
      <c r="D682" s="1"/>
      <c r="E682" s="1"/>
      <c r="F682" s="1"/>
      <c r="G682" s="1"/>
      <c r="H682" s="1"/>
      <c r="I682" s="1"/>
      <c r="J682" s="1"/>
      <c r="K682" s="1"/>
      <c r="L682" s="1"/>
      <c r="M682" s="1"/>
      <c r="N682" s="1"/>
      <c r="O682" s="1"/>
      <c r="P682" s="1"/>
      <c r="Q682" s="1"/>
      <c r="R682" s="1"/>
      <c r="S682" s="1"/>
      <c r="T682" s="1"/>
      <c r="U682" s="1"/>
      <c r="V682" s="1"/>
      <c r="W682" s="1"/>
      <c r="X682" s="1"/>
      <c r="Y682" s="1"/>
    </row>
    <row r="683">
      <c r="A683" s="17"/>
      <c r="B683" s="23"/>
      <c r="C683" s="1"/>
      <c r="D683" s="1"/>
      <c r="E683" s="1"/>
      <c r="F683" s="1"/>
      <c r="G683" s="1"/>
      <c r="H683" s="1"/>
      <c r="I683" s="1"/>
      <c r="J683" s="1"/>
      <c r="K683" s="1"/>
      <c r="L683" s="1"/>
      <c r="M683" s="1"/>
      <c r="N683" s="1"/>
      <c r="O683" s="1"/>
      <c r="P683" s="1"/>
      <c r="Q683" s="1"/>
      <c r="R683" s="1"/>
      <c r="S683" s="1"/>
      <c r="T683" s="1"/>
      <c r="U683" s="1"/>
      <c r="V683" s="1"/>
      <c r="W683" s="1"/>
      <c r="X683" s="1"/>
      <c r="Y683" s="1"/>
    </row>
    <row r="684">
      <c r="A684" s="17"/>
      <c r="B684" s="23"/>
      <c r="C684" s="1"/>
      <c r="D684" s="1"/>
      <c r="E684" s="1"/>
      <c r="F684" s="1"/>
      <c r="G684" s="1"/>
      <c r="H684" s="1"/>
      <c r="I684" s="1"/>
      <c r="J684" s="1"/>
      <c r="K684" s="1"/>
      <c r="L684" s="1"/>
      <c r="M684" s="1"/>
      <c r="N684" s="1"/>
      <c r="O684" s="1"/>
      <c r="P684" s="1"/>
      <c r="Q684" s="1"/>
      <c r="R684" s="1"/>
      <c r="S684" s="1"/>
      <c r="T684" s="1"/>
      <c r="U684" s="1"/>
      <c r="V684" s="1"/>
      <c r="W684" s="1"/>
      <c r="X684" s="1"/>
      <c r="Y684" s="1"/>
    </row>
    <row r="685">
      <c r="A685" s="17"/>
      <c r="B685" s="23"/>
      <c r="C685" s="1"/>
      <c r="D685" s="1"/>
      <c r="E685" s="1"/>
      <c r="F685" s="1"/>
      <c r="G685" s="1"/>
      <c r="H685" s="1"/>
      <c r="I685" s="1"/>
      <c r="J685" s="1"/>
      <c r="K685" s="1"/>
      <c r="L685" s="1"/>
      <c r="M685" s="1"/>
      <c r="N685" s="1"/>
      <c r="O685" s="1"/>
      <c r="P685" s="1"/>
      <c r="Q685" s="1"/>
      <c r="R685" s="1"/>
      <c r="S685" s="1"/>
      <c r="T685" s="1"/>
      <c r="U685" s="1"/>
      <c r="V685" s="1"/>
      <c r="W685" s="1"/>
      <c r="X685" s="1"/>
      <c r="Y685" s="1"/>
    </row>
    <row r="686">
      <c r="A686" s="17"/>
      <c r="B686" s="23"/>
      <c r="C686" s="1"/>
      <c r="D686" s="1"/>
      <c r="E686" s="1"/>
      <c r="F686" s="1"/>
      <c r="G686" s="1"/>
      <c r="H686" s="1"/>
      <c r="I686" s="1"/>
      <c r="J686" s="1"/>
      <c r="K686" s="1"/>
      <c r="L686" s="1"/>
      <c r="M686" s="1"/>
      <c r="N686" s="1"/>
      <c r="O686" s="1"/>
      <c r="P686" s="1"/>
      <c r="Q686" s="1"/>
      <c r="R686" s="1"/>
      <c r="S686" s="1"/>
      <c r="T686" s="1"/>
      <c r="U686" s="1"/>
      <c r="V686" s="1"/>
      <c r="W686" s="1"/>
      <c r="X686" s="1"/>
      <c r="Y686" s="1"/>
    </row>
    <row r="687">
      <c r="A687" s="17"/>
      <c r="B687" s="23"/>
      <c r="C687" s="1"/>
      <c r="D687" s="1"/>
      <c r="E687" s="1"/>
      <c r="F687" s="1"/>
      <c r="G687" s="1"/>
      <c r="H687" s="1"/>
      <c r="I687" s="1"/>
      <c r="J687" s="1"/>
      <c r="K687" s="1"/>
      <c r="L687" s="1"/>
      <c r="M687" s="1"/>
      <c r="N687" s="1"/>
      <c r="O687" s="1"/>
      <c r="P687" s="1"/>
      <c r="Q687" s="1"/>
      <c r="R687" s="1"/>
      <c r="S687" s="1"/>
      <c r="T687" s="1"/>
      <c r="U687" s="1"/>
      <c r="V687" s="1"/>
      <c r="W687" s="1"/>
      <c r="X687" s="1"/>
      <c r="Y687" s="1"/>
    </row>
    <row r="688">
      <c r="A688" s="17"/>
      <c r="B688" s="23"/>
      <c r="C688" s="1"/>
      <c r="D688" s="1"/>
      <c r="E688" s="1"/>
      <c r="F688" s="1"/>
      <c r="G688" s="1"/>
      <c r="H688" s="1"/>
      <c r="I688" s="1"/>
      <c r="J688" s="1"/>
      <c r="K688" s="1"/>
      <c r="L688" s="1"/>
      <c r="M688" s="1"/>
      <c r="N688" s="1"/>
      <c r="O688" s="1"/>
      <c r="P688" s="1"/>
      <c r="Q688" s="1"/>
      <c r="R688" s="1"/>
      <c r="S688" s="1"/>
      <c r="T688" s="1"/>
      <c r="U688" s="1"/>
      <c r="V688" s="1"/>
      <c r="W688" s="1"/>
      <c r="X688" s="1"/>
      <c r="Y688" s="1"/>
    </row>
    <row r="689">
      <c r="A689" s="17"/>
      <c r="B689" s="23"/>
      <c r="C689" s="1"/>
      <c r="D689" s="1"/>
      <c r="E689" s="1"/>
      <c r="F689" s="1"/>
      <c r="G689" s="1"/>
      <c r="H689" s="1"/>
      <c r="I689" s="1"/>
      <c r="J689" s="1"/>
      <c r="K689" s="1"/>
      <c r="L689" s="1"/>
      <c r="M689" s="1"/>
      <c r="N689" s="1"/>
      <c r="O689" s="1"/>
      <c r="P689" s="1"/>
      <c r="Q689" s="1"/>
      <c r="R689" s="1"/>
      <c r="S689" s="1"/>
      <c r="T689" s="1"/>
      <c r="U689" s="1"/>
      <c r="V689" s="1"/>
      <c r="W689" s="1"/>
      <c r="X689" s="1"/>
      <c r="Y689" s="1"/>
    </row>
    <row r="690">
      <c r="A690" s="17"/>
      <c r="B690" s="23"/>
      <c r="C690" s="1"/>
      <c r="D690" s="1"/>
      <c r="E690" s="1"/>
      <c r="F690" s="1"/>
      <c r="G690" s="1"/>
      <c r="H690" s="1"/>
      <c r="I690" s="1"/>
      <c r="J690" s="1"/>
      <c r="K690" s="1"/>
      <c r="L690" s="1"/>
      <c r="M690" s="1"/>
      <c r="N690" s="1"/>
      <c r="O690" s="1"/>
      <c r="P690" s="1"/>
      <c r="Q690" s="1"/>
      <c r="R690" s="1"/>
      <c r="S690" s="1"/>
      <c r="T690" s="1"/>
      <c r="U690" s="1"/>
      <c r="V690" s="1"/>
      <c r="W690" s="1"/>
      <c r="X690" s="1"/>
      <c r="Y690" s="1"/>
    </row>
    <row r="691">
      <c r="A691" s="17"/>
      <c r="B691" s="23"/>
      <c r="C691" s="1"/>
      <c r="D691" s="1"/>
      <c r="E691" s="1"/>
      <c r="F691" s="1"/>
      <c r="G691" s="1"/>
      <c r="H691" s="1"/>
      <c r="I691" s="1"/>
      <c r="J691" s="1"/>
      <c r="K691" s="1"/>
      <c r="L691" s="1"/>
      <c r="M691" s="1"/>
      <c r="N691" s="1"/>
      <c r="O691" s="1"/>
      <c r="P691" s="1"/>
      <c r="Q691" s="1"/>
      <c r="R691" s="1"/>
      <c r="S691" s="1"/>
      <c r="T691" s="1"/>
      <c r="U691" s="1"/>
      <c r="V691" s="1"/>
      <c r="W691" s="1"/>
      <c r="X691" s="1"/>
      <c r="Y691" s="1"/>
    </row>
    <row r="692">
      <c r="A692" s="17"/>
      <c r="B692" s="23"/>
      <c r="C692" s="1"/>
      <c r="D692" s="1"/>
      <c r="E692" s="1"/>
      <c r="F692" s="1"/>
      <c r="G692" s="1"/>
      <c r="H692" s="1"/>
      <c r="I692" s="1"/>
      <c r="J692" s="1"/>
      <c r="K692" s="1"/>
      <c r="L692" s="1"/>
      <c r="M692" s="1"/>
      <c r="N692" s="1"/>
      <c r="O692" s="1"/>
      <c r="P692" s="1"/>
      <c r="Q692" s="1"/>
      <c r="R692" s="1"/>
      <c r="S692" s="1"/>
      <c r="T692" s="1"/>
      <c r="U692" s="1"/>
      <c r="V692" s="1"/>
      <c r="W692" s="1"/>
      <c r="X692" s="1"/>
      <c r="Y692" s="1"/>
    </row>
    <row r="693">
      <c r="A693" s="17"/>
      <c r="B693" s="23"/>
      <c r="C693" s="1"/>
      <c r="D693" s="1"/>
      <c r="E693" s="1"/>
      <c r="F693" s="1"/>
      <c r="G693" s="1"/>
      <c r="H693" s="1"/>
      <c r="I693" s="1"/>
      <c r="J693" s="1"/>
      <c r="K693" s="1"/>
      <c r="L693" s="1"/>
      <c r="M693" s="1"/>
      <c r="N693" s="1"/>
      <c r="O693" s="1"/>
      <c r="P693" s="1"/>
      <c r="Q693" s="1"/>
      <c r="R693" s="1"/>
      <c r="S693" s="1"/>
      <c r="T693" s="1"/>
      <c r="U693" s="1"/>
      <c r="V693" s="1"/>
      <c r="W693" s="1"/>
      <c r="X693" s="1"/>
      <c r="Y693" s="1"/>
    </row>
    <row r="694">
      <c r="A694" s="17"/>
      <c r="B694" s="23"/>
      <c r="C694" s="1"/>
      <c r="D694" s="1"/>
      <c r="E694" s="1"/>
      <c r="F694" s="1"/>
      <c r="G694" s="1"/>
      <c r="H694" s="1"/>
      <c r="I694" s="1"/>
      <c r="J694" s="1"/>
      <c r="K694" s="1"/>
      <c r="L694" s="1"/>
      <c r="M694" s="1"/>
      <c r="N694" s="1"/>
      <c r="O694" s="1"/>
      <c r="P694" s="1"/>
      <c r="Q694" s="1"/>
      <c r="R694" s="1"/>
      <c r="S694" s="1"/>
      <c r="T694" s="1"/>
      <c r="U694" s="1"/>
      <c r="V694" s="1"/>
      <c r="W694" s="1"/>
      <c r="X694" s="1"/>
      <c r="Y694" s="1"/>
    </row>
    <row r="695">
      <c r="A695" s="17"/>
      <c r="B695" s="23"/>
      <c r="C695" s="1"/>
      <c r="D695" s="1"/>
      <c r="E695" s="1"/>
      <c r="F695" s="1"/>
      <c r="G695" s="1"/>
      <c r="H695" s="1"/>
      <c r="I695" s="1"/>
      <c r="J695" s="1"/>
      <c r="K695" s="1"/>
      <c r="L695" s="1"/>
      <c r="M695" s="1"/>
      <c r="N695" s="1"/>
      <c r="O695" s="1"/>
      <c r="P695" s="1"/>
      <c r="Q695" s="1"/>
      <c r="R695" s="1"/>
      <c r="S695" s="1"/>
      <c r="T695" s="1"/>
      <c r="U695" s="1"/>
      <c r="V695" s="1"/>
      <c r="W695" s="1"/>
      <c r="X695" s="1"/>
      <c r="Y695" s="1"/>
    </row>
    <row r="696">
      <c r="A696" s="17"/>
      <c r="B696" s="23"/>
      <c r="C696" s="1"/>
      <c r="D696" s="1"/>
      <c r="E696" s="1"/>
      <c r="F696" s="1"/>
      <c r="G696" s="1"/>
      <c r="H696" s="1"/>
      <c r="I696" s="1"/>
      <c r="J696" s="1"/>
      <c r="K696" s="1"/>
      <c r="L696" s="1"/>
      <c r="M696" s="1"/>
      <c r="N696" s="1"/>
      <c r="O696" s="1"/>
      <c r="P696" s="1"/>
      <c r="Q696" s="1"/>
      <c r="R696" s="1"/>
      <c r="S696" s="1"/>
      <c r="T696" s="1"/>
      <c r="U696" s="1"/>
      <c r="V696" s="1"/>
      <c r="W696" s="1"/>
      <c r="X696" s="1"/>
      <c r="Y696" s="1"/>
    </row>
    <row r="697">
      <c r="A697" s="17"/>
      <c r="B697" s="23"/>
      <c r="C697" s="1"/>
      <c r="D697" s="1"/>
      <c r="E697" s="1"/>
      <c r="F697" s="1"/>
      <c r="G697" s="1"/>
      <c r="H697" s="1"/>
      <c r="I697" s="1"/>
      <c r="J697" s="1"/>
      <c r="K697" s="1"/>
      <c r="L697" s="1"/>
      <c r="M697" s="1"/>
      <c r="N697" s="1"/>
      <c r="O697" s="1"/>
      <c r="P697" s="1"/>
      <c r="Q697" s="1"/>
      <c r="R697" s="1"/>
      <c r="S697" s="1"/>
      <c r="T697" s="1"/>
      <c r="U697" s="1"/>
      <c r="V697" s="1"/>
      <c r="W697" s="1"/>
      <c r="X697" s="1"/>
      <c r="Y697" s="1"/>
    </row>
    <row r="698">
      <c r="A698" s="17"/>
      <c r="B698" s="23"/>
      <c r="C698" s="1"/>
      <c r="D698" s="1"/>
      <c r="E698" s="1"/>
      <c r="F698" s="1"/>
      <c r="G698" s="1"/>
      <c r="H698" s="1"/>
      <c r="I698" s="1"/>
      <c r="J698" s="1"/>
      <c r="K698" s="1"/>
      <c r="L698" s="1"/>
      <c r="M698" s="1"/>
      <c r="N698" s="1"/>
      <c r="O698" s="1"/>
      <c r="P698" s="1"/>
      <c r="Q698" s="1"/>
      <c r="R698" s="1"/>
      <c r="S698" s="1"/>
      <c r="T698" s="1"/>
      <c r="U698" s="1"/>
      <c r="V698" s="1"/>
      <c r="W698" s="1"/>
      <c r="X698" s="1"/>
      <c r="Y698" s="1"/>
    </row>
    <row r="699">
      <c r="A699" s="17"/>
      <c r="B699" s="23"/>
      <c r="C699" s="1"/>
      <c r="D699" s="1"/>
      <c r="E699" s="1"/>
      <c r="F699" s="1"/>
      <c r="G699" s="1"/>
      <c r="H699" s="1"/>
      <c r="I699" s="1"/>
      <c r="J699" s="1"/>
      <c r="K699" s="1"/>
      <c r="L699" s="1"/>
      <c r="M699" s="1"/>
      <c r="N699" s="1"/>
      <c r="O699" s="1"/>
      <c r="P699" s="1"/>
      <c r="Q699" s="1"/>
      <c r="R699" s="1"/>
      <c r="S699" s="1"/>
      <c r="T699" s="1"/>
      <c r="U699" s="1"/>
      <c r="V699" s="1"/>
      <c r="W699" s="1"/>
      <c r="X699" s="1"/>
      <c r="Y699" s="1"/>
    </row>
    <row r="700">
      <c r="A700" s="17"/>
      <c r="B700" s="23"/>
      <c r="C700" s="1"/>
      <c r="D700" s="1"/>
      <c r="E700" s="1"/>
      <c r="F700" s="1"/>
      <c r="G700" s="1"/>
      <c r="H700" s="1"/>
      <c r="I700" s="1"/>
      <c r="J700" s="1"/>
      <c r="K700" s="1"/>
      <c r="L700" s="1"/>
      <c r="M700" s="1"/>
      <c r="N700" s="1"/>
      <c r="O700" s="1"/>
      <c r="P700" s="1"/>
      <c r="Q700" s="1"/>
      <c r="R700" s="1"/>
      <c r="S700" s="1"/>
      <c r="T700" s="1"/>
      <c r="U700" s="1"/>
      <c r="V700" s="1"/>
      <c r="W700" s="1"/>
      <c r="X700" s="1"/>
      <c r="Y700" s="1"/>
    </row>
    <row r="701">
      <c r="A701" s="17"/>
      <c r="B701" s="23"/>
      <c r="C701" s="1"/>
      <c r="D701" s="1"/>
      <c r="E701" s="1"/>
      <c r="F701" s="1"/>
      <c r="G701" s="1"/>
      <c r="H701" s="1"/>
      <c r="I701" s="1"/>
      <c r="J701" s="1"/>
      <c r="K701" s="1"/>
      <c r="L701" s="1"/>
      <c r="M701" s="1"/>
      <c r="N701" s="1"/>
      <c r="O701" s="1"/>
      <c r="P701" s="1"/>
      <c r="Q701" s="1"/>
      <c r="R701" s="1"/>
      <c r="S701" s="1"/>
      <c r="T701" s="1"/>
      <c r="U701" s="1"/>
      <c r="V701" s="1"/>
      <c r="W701" s="1"/>
      <c r="X701" s="1"/>
      <c r="Y701" s="1"/>
    </row>
    <row r="702">
      <c r="A702" s="17"/>
      <c r="B702" s="23"/>
      <c r="C702" s="1"/>
      <c r="D702" s="1"/>
      <c r="E702" s="1"/>
      <c r="F702" s="1"/>
      <c r="G702" s="1"/>
      <c r="H702" s="1"/>
      <c r="I702" s="1"/>
      <c r="J702" s="1"/>
      <c r="K702" s="1"/>
      <c r="L702" s="1"/>
      <c r="M702" s="1"/>
      <c r="N702" s="1"/>
      <c r="O702" s="1"/>
      <c r="P702" s="1"/>
      <c r="Q702" s="1"/>
      <c r="R702" s="1"/>
      <c r="S702" s="1"/>
      <c r="T702" s="1"/>
      <c r="U702" s="1"/>
      <c r="V702" s="1"/>
      <c r="W702" s="1"/>
      <c r="X702" s="1"/>
      <c r="Y702" s="1"/>
    </row>
    <row r="703">
      <c r="A703" s="17"/>
      <c r="B703" s="23"/>
      <c r="C703" s="1"/>
      <c r="D703" s="1"/>
      <c r="E703" s="1"/>
      <c r="F703" s="1"/>
      <c r="G703" s="1"/>
      <c r="H703" s="1"/>
      <c r="I703" s="1"/>
      <c r="J703" s="1"/>
      <c r="K703" s="1"/>
      <c r="L703" s="1"/>
      <c r="M703" s="1"/>
      <c r="N703" s="1"/>
      <c r="O703" s="1"/>
      <c r="P703" s="1"/>
      <c r="Q703" s="1"/>
      <c r="R703" s="1"/>
      <c r="S703" s="1"/>
      <c r="T703" s="1"/>
      <c r="U703" s="1"/>
      <c r="V703" s="1"/>
      <c r="W703" s="1"/>
      <c r="X703" s="1"/>
      <c r="Y703" s="1"/>
    </row>
    <row r="704">
      <c r="A704" s="17"/>
      <c r="B704" s="23"/>
      <c r="C704" s="1"/>
      <c r="D704" s="1"/>
      <c r="E704" s="1"/>
      <c r="F704" s="1"/>
      <c r="G704" s="1"/>
      <c r="H704" s="1"/>
      <c r="I704" s="1"/>
      <c r="J704" s="1"/>
      <c r="K704" s="1"/>
      <c r="L704" s="1"/>
      <c r="M704" s="1"/>
      <c r="N704" s="1"/>
      <c r="O704" s="1"/>
      <c r="P704" s="1"/>
      <c r="Q704" s="1"/>
      <c r="R704" s="1"/>
      <c r="S704" s="1"/>
      <c r="T704" s="1"/>
      <c r="U704" s="1"/>
      <c r="V704" s="1"/>
      <c r="W704" s="1"/>
      <c r="X704" s="1"/>
      <c r="Y704" s="1"/>
    </row>
    <row r="705">
      <c r="A705" s="17"/>
      <c r="B705" s="23"/>
      <c r="C705" s="1"/>
      <c r="D705" s="1"/>
      <c r="E705" s="1"/>
      <c r="F705" s="1"/>
      <c r="G705" s="1"/>
      <c r="H705" s="1"/>
      <c r="I705" s="1"/>
      <c r="J705" s="1"/>
      <c r="K705" s="1"/>
      <c r="L705" s="1"/>
      <c r="M705" s="1"/>
      <c r="N705" s="1"/>
      <c r="O705" s="1"/>
      <c r="P705" s="1"/>
      <c r="Q705" s="1"/>
      <c r="R705" s="1"/>
      <c r="S705" s="1"/>
      <c r="T705" s="1"/>
      <c r="U705" s="1"/>
      <c r="V705" s="1"/>
      <c r="W705" s="1"/>
      <c r="X705" s="1"/>
      <c r="Y705" s="1"/>
    </row>
    <row r="706">
      <c r="A706" s="17"/>
      <c r="B706" s="23"/>
      <c r="C706" s="1"/>
      <c r="D706" s="1"/>
      <c r="E706" s="1"/>
      <c r="F706" s="1"/>
      <c r="G706" s="1"/>
      <c r="H706" s="1"/>
      <c r="I706" s="1"/>
      <c r="J706" s="1"/>
      <c r="K706" s="1"/>
      <c r="L706" s="1"/>
      <c r="M706" s="1"/>
      <c r="N706" s="1"/>
      <c r="O706" s="1"/>
      <c r="P706" s="1"/>
      <c r="Q706" s="1"/>
      <c r="R706" s="1"/>
      <c r="S706" s="1"/>
      <c r="T706" s="1"/>
      <c r="U706" s="1"/>
      <c r="V706" s="1"/>
      <c r="W706" s="1"/>
      <c r="X706" s="1"/>
      <c r="Y706" s="1"/>
    </row>
    <row r="707">
      <c r="A707" s="17"/>
      <c r="B707" s="23"/>
      <c r="C707" s="1"/>
      <c r="D707" s="1"/>
      <c r="E707" s="1"/>
      <c r="F707" s="1"/>
      <c r="G707" s="1"/>
      <c r="H707" s="1"/>
      <c r="I707" s="1"/>
      <c r="J707" s="1"/>
      <c r="K707" s="1"/>
      <c r="L707" s="1"/>
      <c r="M707" s="1"/>
      <c r="N707" s="1"/>
      <c r="O707" s="1"/>
      <c r="P707" s="1"/>
      <c r="Q707" s="1"/>
      <c r="R707" s="1"/>
      <c r="S707" s="1"/>
      <c r="T707" s="1"/>
      <c r="U707" s="1"/>
      <c r="V707" s="1"/>
      <c r="W707" s="1"/>
      <c r="X707" s="1"/>
      <c r="Y707" s="1"/>
    </row>
    <row r="708">
      <c r="A708" s="17"/>
      <c r="B708" s="23"/>
      <c r="C708" s="1"/>
      <c r="D708" s="1"/>
      <c r="E708" s="1"/>
      <c r="F708" s="1"/>
      <c r="G708" s="1"/>
      <c r="H708" s="1"/>
      <c r="I708" s="1"/>
      <c r="J708" s="1"/>
      <c r="K708" s="1"/>
      <c r="L708" s="1"/>
      <c r="M708" s="1"/>
      <c r="N708" s="1"/>
      <c r="O708" s="1"/>
      <c r="P708" s="1"/>
      <c r="Q708" s="1"/>
      <c r="R708" s="1"/>
      <c r="S708" s="1"/>
      <c r="T708" s="1"/>
      <c r="U708" s="1"/>
      <c r="V708" s="1"/>
      <c r="W708" s="1"/>
      <c r="X708" s="1"/>
      <c r="Y708" s="1"/>
    </row>
    <row r="709">
      <c r="A709" s="17"/>
      <c r="B709" s="23"/>
      <c r="C709" s="1"/>
      <c r="D709" s="1"/>
      <c r="E709" s="1"/>
      <c r="F709" s="1"/>
      <c r="G709" s="1"/>
      <c r="H709" s="1"/>
      <c r="I709" s="1"/>
      <c r="J709" s="1"/>
      <c r="K709" s="1"/>
      <c r="L709" s="1"/>
      <c r="M709" s="1"/>
      <c r="N709" s="1"/>
      <c r="O709" s="1"/>
      <c r="P709" s="1"/>
      <c r="Q709" s="1"/>
      <c r="R709" s="1"/>
      <c r="S709" s="1"/>
      <c r="T709" s="1"/>
      <c r="U709" s="1"/>
      <c r="V709" s="1"/>
      <c r="W709" s="1"/>
      <c r="X709" s="1"/>
      <c r="Y709" s="1"/>
    </row>
    <row r="710">
      <c r="A710" s="17"/>
      <c r="B710" s="23"/>
      <c r="C710" s="1"/>
      <c r="D710" s="1"/>
      <c r="E710" s="1"/>
      <c r="F710" s="1"/>
      <c r="G710" s="1"/>
      <c r="H710" s="1"/>
      <c r="I710" s="1"/>
      <c r="J710" s="1"/>
      <c r="K710" s="1"/>
      <c r="L710" s="1"/>
      <c r="M710" s="1"/>
      <c r="N710" s="1"/>
      <c r="O710" s="1"/>
      <c r="P710" s="1"/>
      <c r="Q710" s="1"/>
      <c r="R710" s="1"/>
      <c r="S710" s="1"/>
      <c r="T710" s="1"/>
      <c r="U710" s="1"/>
      <c r="V710" s="1"/>
      <c r="W710" s="1"/>
      <c r="X710" s="1"/>
      <c r="Y710" s="1"/>
    </row>
    <row r="711">
      <c r="A711" s="17"/>
      <c r="B711" s="23"/>
      <c r="C711" s="1"/>
      <c r="D711" s="1"/>
      <c r="E711" s="1"/>
      <c r="F711" s="1"/>
      <c r="G711" s="1"/>
      <c r="H711" s="1"/>
      <c r="I711" s="1"/>
      <c r="J711" s="1"/>
      <c r="K711" s="1"/>
      <c r="L711" s="1"/>
      <c r="M711" s="1"/>
      <c r="N711" s="1"/>
      <c r="O711" s="1"/>
      <c r="P711" s="1"/>
      <c r="Q711" s="1"/>
      <c r="R711" s="1"/>
      <c r="S711" s="1"/>
      <c r="T711" s="1"/>
      <c r="U711" s="1"/>
      <c r="V711" s="1"/>
      <c r="W711" s="1"/>
      <c r="X711" s="1"/>
      <c r="Y711" s="1"/>
    </row>
    <row r="712">
      <c r="A712" s="17"/>
      <c r="B712" s="23"/>
      <c r="C712" s="1"/>
      <c r="D712" s="1"/>
      <c r="E712" s="1"/>
      <c r="F712" s="1"/>
      <c r="G712" s="1"/>
      <c r="H712" s="1"/>
      <c r="I712" s="1"/>
      <c r="J712" s="1"/>
      <c r="K712" s="1"/>
      <c r="L712" s="1"/>
      <c r="M712" s="1"/>
      <c r="N712" s="1"/>
      <c r="O712" s="1"/>
      <c r="P712" s="1"/>
      <c r="Q712" s="1"/>
      <c r="R712" s="1"/>
      <c r="S712" s="1"/>
      <c r="T712" s="1"/>
      <c r="U712" s="1"/>
      <c r="V712" s="1"/>
      <c r="W712" s="1"/>
      <c r="X712" s="1"/>
      <c r="Y712" s="1"/>
    </row>
    <row r="713">
      <c r="A713" s="17"/>
      <c r="B713" s="23"/>
      <c r="C713" s="1"/>
      <c r="D713" s="1"/>
      <c r="E713" s="1"/>
      <c r="F713" s="1"/>
      <c r="G713" s="1"/>
      <c r="H713" s="1"/>
      <c r="I713" s="1"/>
      <c r="J713" s="1"/>
      <c r="K713" s="1"/>
      <c r="L713" s="1"/>
      <c r="M713" s="1"/>
      <c r="N713" s="1"/>
      <c r="O713" s="1"/>
      <c r="P713" s="1"/>
      <c r="Q713" s="1"/>
      <c r="R713" s="1"/>
      <c r="S713" s="1"/>
      <c r="T713" s="1"/>
      <c r="U713" s="1"/>
      <c r="V713" s="1"/>
      <c r="W713" s="1"/>
      <c r="X713" s="1"/>
      <c r="Y713" s="1"/>
    </row>
    <row r="714">
      <c r="A714" s="17"/>
      <c r="B714" s="23"/>
      <c r="C714" s="1"/>
      <c r="D714" s="1"/>
      <c r="E714" s="1"/>
      <c r="F714" s="1"/>
      <c r="G714" s="1"/>
      <c r="H714" s="1"/>
      <c r="I714" s="1"/>
      <c r="J714" s="1"/>
      <c r="K714" s="1"/>
      <c r="L714" s="1"/>
      <c r="M714" s="1"/>
      <c r="N714" s="1"/>
      <c r="O714" s="1"/>
      <c r="P714" s="1"/>
      <c r="Q714" s="1"/>
      <c r="R714" s="1"/>
      <c r="S714" s="1"/>
      <c r="T714" s="1"/>
      <c r="U714" s="1"/>
      <c r="V714" s="1"/>
      <c r="W714" s="1"/>
      <c r="X714" s="1"/>
      <c r="Y714" s="1"/>
    </row>
    <row r="715">
      <c r="A715" s="17"/>
      <c r="B715" s="23"/>
      <c r="C715" s="1"/>
      <c r="D715" s="1"/>
      <c r="E715" s="1"/>
      <c r="F715" s="1"/>
      <c r="G715" s="1"/>
      <c r="H715" s="1"/>
      <c r="I715" s="1"/>
      <c r="J715" s="1"/>
      <c r="K715" s="1"/>
      <c r="L715" s="1"/>
      <c r="M715" s="1"/>
      <c r="N715" s="1"/>
      <c r="O715" s="1"/>
      <c r="P715" s="1"/>
      <c r="Q715" s="1"/>
      <c r="R715" s="1"/>
      <c r="S715" s="1"/>
      <c r="T715" s="1"/>
      <c r="U715" s="1"/>
      <c r="V715" s="1"/>
      <c r="W715" s="1"/>
      <c r="X715" s="1"/>
      <c r="Y715" s="1"/>
    </row>
    <row r="716">
      <c r="A716" s="17"/>
      <c r="B716" s="23"/>
      <c r="C716" s="1"/>
      <c r="D716" s="1"/>
      <c r="E716" s="1"/>
      <c r="F716" s="1"/>
      <c r="G716" s="1"/>
      <c r="H716" s="1"/>
      <c r="I716" s="1"/>
      <c r="J716" s="1"/>
      <c r="K716" s="1"/>
      <c r="L716" s="1"/>
      <c r="M716" s="1"/>
      <c r="N716" s="1"/>
      <c r="O716" s="1"/>
      <c r="P716" s="1"/>
      <c r="Q716" s="1"/>
      <c r="R716" s="1"/>
      <c r="S716" s="1"/>
      <c r="T716" s="1"/>
      <c r="U716" s="1"/>
      <c r="V716" s="1"/>
      <c r="W716" s="1"/>
      <c r="X716" s="1"/>
      <c r="Y716" s="1"/>
    </row>
    <row r="717">
      <c r="A717" s="17"/>
      <c r="B717" s="23"/>
      <c r="C717" s="1"/>
      <c r="D717" s="1"/>
      <c r="E717" s="1"/>
      <c r="F717" s="1"/>
      <c r="G717" s="1"/>
      <c r="H717" s="1"/>
      <c r="I717" s="1"/>
      <c r="J717" s="1"/>
      <c r="K717" s="1"/>
      <c r="L717" s="1"/>
      <c r="M717" s="1"/>
      <c r="N717" s="1"/>
      <c r="O717" s="1"/>
      <c r="P717" s="1"/>
      <c r="Q717" s="1"/>
      <c r="R717" s="1"/>
      <c r="S717" s="1"/>
      <c r="T717" s="1"/>
      <c r="U717" s="1"/>
      <c r="V717" s="1"/>
      <c r="W717" s="1"/>
      <c r="X717" s="1"/>
      <c r="Y717" s="1"/>
    </row>
    <row r="718">
      <c r="A718" s="17"/>
      <c r="B718" s="23"/>
      <c r="C718" s="1"/>
      <c r="D718" s="1"/>
      <c r="E718" s="1"/>
      <c r="F718" s="1"/>
      <c r="G718" s="1"/>
      <c r="H718" s="1"/>
      <c r="I718" s="1"/>
      <c r="J718" s="1"/>
      <c r="K718" s="1"/>
      <c r="L718" s="1"/>
      <c r="M718" s="1"/>
      <c r="N718" s="1"/>
      <c r="O718" s="1"/>
      <c r="P718" s="1"/>
      <c r="Q718" s="1"/>
      <c r="R718" s="1"/>
      <c r="S718" s="1"/>
      <c r="T718" s="1"/>
      <c r="U718" s="1"/>
      <c r="V718" s="1"/>
      <c r="W718" s="1"/>
      <c r="X718" s="1"/>
      <c r="Y718" s="1"/>
    </row>
    <row r="719">
      <c r="A719" s="17"/>
      <c r="B719" s="23"/>
      <c r="C719" s="1"/>
      <c r="D719" s="1"/>
      <c r="E719" s="1"/>
      <c r="F719" s="1"/>
      <c r="G719" s="1"/>
      <c r="H719" s="1"/>
      <c r="I719" s="1"/>
      <c r="J719" s="1"/>
      <c r="K719" s="1"/>
      <c r="L719" s="1"/>
      <c r="M719" s="1"/>
      <c r="N719" s="1"/>
      <c r="O719" s="1"/>
      <c r="P719" s="1"/>
      <c r="Q719" s="1"/>
      <c r="R719" s="1"/>
      <c r="S719" s="1"/>
      <c r="T719" s="1"/>
      <c r="U719" s="1"/>
      <c r="V719" s="1"/>
      <c r="W719" s="1"/>
      <c r="X719" s="1"/>
      <c r="Y719" s="1"/>
    </row>
    <row r="720">
      <c r="A720" s="17"/>
      <c r="B720" s="23"/>
      <c r="C720" s="1"/>
      <c r="D720" s="1"/>
      <c r="E720" s="1"/>
      <c r="F720" s="1"/>
      <c r="G720" s="1"/>
      <c r="H720" s="1"/>
      <c r="I720" s="1"/>
      <c r="J720" s="1"/>
      <c r="K720" s="1"/>
      <c r="L720" s="1"/>
      <c r="M720" s="1"/>
      <c r="N720" s="1"/>
      <c r="O720" s="1"/>
      <c r="P720" s="1"/>
      <c r="Q720" s="1"/>
      <c r="R720" s="1"/>
      <c r="S720" s="1"/>
      <c r="T720" s="1"/>
      <c r="U720" s="1"/>
      <c r="V720" s="1"/>
      <c r="W720" s="1"/>
      <c r="X720" s="1"/>
      <c r="Y720" s="1"/>
    </row>
    <row r="721">
      <c r="A721" s="17"/>
      <c r="B721" s="23"/>
      <c r="C721" s="1"/>
      <c r="D721" s="1"/>
      <c r="E721" s="1"/>
      <c r="F721" s="1"/>
      <c r="G721" s="1"/>
      <c r="H721" s="1"/>
      <c r="I721" s="1"/>
      <c r="J721" s="1"/>
      <c r="K721" s="1"/>
      <c r="L721" s="1"/>
      <c r="M721" s="1"/>
      <c r="N721" s="1"/>
      <c r="O721" s="1"/>
      <c r="P721" s="1"/>
      <c r="Q721" s="1"/>
      <c r="R721" s="1"/>
      <c r="S721" s="1"/>
      <c r="T721" s="1"/>
      <c r="U721" s="1"/>
      <c r="V721" s="1"/>
      <c r="W721" s="1"/>
      <c r="X721" s="1"/>
      <c r="Y721" s="1"/>
    </row>
    <row r="722">
      <c r="A722" s="17"/>
      <c r="B722" s="23"/>
      <c r="C722" s="1"/>
      <c r="D722" s="1"/>
      <c r="E722" s="1"/>
      <c r="F722" s="1"/>
      <c r="G722" s="1"/>
      <c r="H722" s="1"/>
      <c r="I722" s="1"/>
      <c r="J722" s="1"/>
      <c r="K722" s="1"/>
      <c r="L722" s="1"/>
      <c r="M722" s="1"/>
      <c r="N722" s="1"/>
      <c r="O722" s="1"/>
      <c r="P722" s="1"/>
      <c r="Q722" s="1"/>
      <c r="R722" s="1"/>
      <c r="S722" s="1"/>
      <c r="T722" s="1"/>
      <c r="U722" s="1"/>
      <c r="V722" s="1"/>
      <c r="W722" s="1"/>
      <c r="X722" s="1"/>
      <c r="Y722" s="1"/>
    </row>
    <row r="723">
      <c r="A723" s="17"/>
      <c r="B723" s="23"/>
      <c r="C723" s="1"/>
      <c r="D723" s="1"/>
      <c r="E723" s="1"/>
      <c r="F723" s="1"/>
      <c r="G723" s="1"/>
      <c r="H723" s="1"/>
      <c r="I723" s="1"/>
      <c r="J723" s="1"/>
      <c r="K723" s="1"/>
      <c r="L723" s="1"/>
      <c r="M723" s="1"/>
      <c r="N723" s="1"/>
      <c r="O723" s="1"/>
      <c r="P723" s="1"/>
      <c r="Q723" s="1"/>
      <c r="R723" s="1"/>
      <c r="S723" s="1"/>
      <c r="T723" s="1"/>
      <c r="U723" s="1"/>
      <c r="V723" s="1"/>
      <c r="W723" s="1"/>
      <c r="X723" s="1"/>
      <c r="Y723" s="1"/>
    </row>
    <row r="724">
      <c r="A724" s="17"/>
      <c r="B724" s="23"/>
      <c r="C724" s="1"/>
      <c r="D724" s="1"/>
      <c r="E724" s="1"/>
      <c r="F724" s="1"/>
      <c r="G724" s="1"/>
      <c r="H724" s="1"/>
      <c r="I724" s="1"/>
      <c r="J724" s="1"/>
      <c r="K724" s="1"/>
      <c r="L724" s="1"/>
      <c r="M724" s="1"/>
      <c r="N724" s="1"/>
      <c r="O724" s="1"/>
      <c r="P724" s="1"/>
      <c r="Q724" s="1"/>
      <c r="R724" s="1"/>
      <c r="S724" s="1"/>
      <c r="T724" s="1"/>
      <c r="U724" s="1"/>
      <c r="V724" s="1"/>
      <c r="W724" s="1"/>
      <c r="X724" s="1"/>
      <c r="Y724" s="1"/>
    </row>
    <row r="725">
      <c r="A725" s="17"/>
      <c r="B725" s="23"/>
      <c r="C725" s="1"/>
      <c r="D725" s="1"/>
      <c r="E725" s="1"/>
      <c r="F725" s="1"/>
      <c r="G725" s="1"/>
      <c r="H725" s="1"/>
      <c r="I725" s="1"/>
      <c r="J725" s="1"/>
      <c r="K725" s="1"/>
      <c r="L725" s="1"/>
      <c r="M725" s="1"/>
      <c r="N725" s="1"/>
      <c r="O725" s="1"/>
      <c r="P725" s="1"/>
      <c r="Q725" s="1"/>
      <c r="R725" s="1"/>
      <c r="S725" s="1"/>
      <c r="T725" s="1"/>
      <c r="U725" s="1"/>
      <c r="V725" s="1"/>
      <c r="W725" s="1"/>
      <c r="X725" s="1"/>
      <c r="Y725" s="1"/>
    </row>
    <row r="726">
      <c r="A726" s="17"/>
      <c r="B726" s="23"/>
      <c r="C726" s="1"/>
      <c r="D726" s="1"/>
      <c r="E726" s="1"/>
      <c r="F726" s="1"/>
      <c r="G726" s="1"/>
      <c r="H726" s="1"/>
      <c r="I726" s="1"/>
      <c r="J726" s="1"/>
      <c r="K726" s="1"/>
      <c r="L726" s="1"/>
      <c r="M726" s="1"/>
      <c r="N726" s="1"/>
      <c r="O726" s="1"/>
      <c r="P726" s="1"/>
      <c r="Q726" s="1"/>
      <c r="R726" s="1"/>
      <c r="S726" s="1"/>
      <c r="T726" s="1"/>
      <c r="U726" s="1"/>
      <c r="V726" s="1"/>
      <c r="W726" s="1"/>
      <c r="X726" s="1"/>
      <c r="Y726" s="1"/>
    </row>
    <row r="727">
      <c r="A727" s="17"/>
      <c r="B727" s="23"/>
      <c r="C727" s="1"/>
      <c r="D727" s="1"/>
      <c r="E727" s="1"/>
      <c r="F727" s="1"/>
      <c r="G727" s="1"/>
      <c r="H727" s="1"/>
      <c r="I727" s="1"/>
      <c r="J727" s="1"/>
      <c r="K727" s="1"/>
      <c r="L727" s="1"/>
      <c r="M727" s="1"/>
      <c r="N727" s="1"/>
      <c r="O727" s="1"/>
      <c r="P727" s="1"/>
      <c r="Q727" s="1"/>
      <c r="R727" s="1"/>
      <c r="S727" s="1"/>
      <c r="T727" s="1"/>
      <c r="U727" s="1"/>
      <c r="V727" s="1"/>
      <c r="W727" s="1"/>
      <c r="X727" s="1"/>
      <c r="Y727" s="1"/>
    </row>
    <row r="728">
      <c r="A728" s="17"/>
      <c r="B728" s="23"/>
      <c r="C728" s="1"/>
      <c r="D728" s="1"/>
      <c r="E728" s="1"/>
      <c r="F728" s="1"/>
      <c r="G728" s="1"/>
      <c r="H728" s="1"/>
      <c r="I728" s="1"/>
      <c r="J728" s="1"/>
      <c r="K728" s="1"/>
      <c r="L728" s="1"/>
      <c r="M728" s="1"/>
      <c r="N728" s="1"/>
      <c r="O728" s="1"/>
      <c r="P728" s="1"/>
      <c r="Q728" s="1"/>
      <c r="R728" s="1"/>
      <c r="S728" s="1"/>
      <c r="T728" s="1"/>
      <c r="U728" s="1"/>
      <c r="V728" s="1"/>
      <c r="W728" s="1"/>
      <c r="X728" s="1"/>
      <c r="Y728" s="1"/>
    </row>
    <row r="729">
      <c r="A729" s="17"/>
      <c r="B729" s="23"/>
      <c r="C729" s="1"/>
      <c r="D729" s="1"/>
      <c r="E729" s="1"/>
      <c r="F729" s="1"/>
      <c r="G729" s="1"/>
      <c r="H729" s="1"/>
      <c r="I729" s="1"/>
      <c r="J729" s="1"/>
      <c r="K729" s="1"/>
      <c r="L729" s="1"/>
      <c r="M729" s="1"/>
      <c r="N729" s="1"/>
      <c r="O729" s="1"/>
      <c r="P729" s="1"/>
      <c r="Q729" s="1"/>
      <c r="R729" s="1"/>
      <c r="S729" s="1"/>
      <c r="T729" s="1"/>
      <c r="U729" s="1"/>
      <c r="V729" s="1"/>
      <c r="W729" s="1"/>
      <c r="X729" s="1"/>
      <c r="Y729" s="1"/>
    </row>
    <row r="730">
      <c r="A730" s="17"/>
      <c r="B730" s="23"/>
      <c r="C730" s="1"/>
      <c r="D730" s="1"/>
      <c r="E730" s="1"/>
      <c r="F730" s="1"/>
      <c r="G730" s="1"/>
      <c r="H730" s="1"/>
      <c r="I730" s="1"/>
      <c r="J730" s="1"/>
      <c r="K730" s="1"/>
      <c r="L730" s="1"/>
      <c r="M730" s="1"/>
      <c r="N730" s="1"/>
      <c r="O730" s="1"/>
      <c r="P730" s="1"/>
      <c r="Q730" s="1"/>
      <c r="R730" s="1"/>
      <c r="S730" s="1"/>
      <c r="T730" s="1"/>
      <c r="U730" s="1"/>
      <c r="V730" s="1"/>
      <c r="W730" s="1"/>
      <c r="X730" s="1"/>
      <c r="Y730" s="1"/>
    </row>
    <row r="731">
      <c r="A731" s="17"/>
      <c r="B731" s="23"/>
      <c r="C731" s="1"/>
      <c r="D731" s="1"/>
      <c r="E731" s="1"/>
      <c r="F731" s="1"/>
      <c r="G731" s="1"/>
      <c r="H731" s="1"/>
      <c r="I731" s="1"/>
      <c r="J731" s="1"/>
      <c r="K731" s="1"/>
      <c r="L731" s="1"/>
      <c r="M731" s="1"/>
      <c r="N731" s="1"/>
      <c r="O731" s="1"/>
      <c r="P731" s="1"/>
      <c r="Q731" s="1"/>
      <c r="R731" s="1"/>
      <c r="S731" s="1"/>
      <c r="T731" s="1"/>
      <c r="U731" s="1"/>
      <c r="V731" s="1"/>
      <c r="W731" s="1"/>
      <c r="X731" s="1"/>
      <c r="Y731" s="1"/>
    </row>
    <row r="732">
      <c r="A732" s="17"/>
      <c r="B732" s="23"/>
      <c r="C732" s="1"/>
      <c r="D732" s="1"/>
      <c r="E732" s="1"/>
      <c r="F732" s="1"/>
      <c r="G732" s="1"/>
      <c r="H732" s="1"/>
      <c r="I732" s="1"/>
      <c r="J732" s="1"/>
      <c r="K732" s="1"/>
      <c r="L732" s="1"/>
      <c r="M732" s="1"/>
      <c r="N732" s="1"/>
      <c r="O732" s="1"/>
      <c r="P732" s="1"/>
      <c r="Q732" s="1"/>
      <c r="R732" s="1"/>
      <c r="S732" s="1"/>
      <c r="T732" s="1"/>
      <c r="U732" s="1"/>
      <c r="V732" s="1"/>
      <c r="W732" s="1"/>
      <c r="X732" s="1"/>
      <c r="Y732" s="1"/>
    </row>
    <row r="733">
      <c r="A733" s="17"/>
      <c r="B733" s="23"/>
      <c r="C733" s="1"/>
      <c r="D733" s="1"/>
      <c r="E733" s="1"/>
      <c r="F733" s="1"/>
      <c r="G733" s="1"/>
      <c r="H733" s="1"/>
      <c r="I733" s="1"/>
      <c r="J733" s="1"/>
      <c r="K733" s="1"/>
      <c r="L733" s="1"/>
      <c r="M733" s="1"/>
      <c r="N733" s="1"/>
      <c r="O733" s="1"/>
      <c r="P733" s="1"/>
      <c r="Q733" s="1"/>
      <c r="R733" s="1"/>
      <c r="S733" s="1"/>
      <c r="T733" s="1"/>
      <c r="U733" s="1"/>
      <c r="V733" s="1"/>
      <c r="W733" s="1"/>
      <c r="X733" s="1"/>
      <c r="Y733" s="1"/>
    </row>
    <row r="734">
      <c r="A734" s="17"/>
      <c r="B734" s="23"/>
      <c r="C734" s="1"/>
      <c r="D734" s="1"/>
      <c r="E734" s="1"/>
      <c r="F734" s="1"/>
      <c r="G734" s="1"/>
      <c r="H734" s="1"/>
      <c r="I734" s="1"/>
      <c r="J734" s="1"/>
      <c r="K734" s="1"/>
      <c r="L734" s="1"/>
      <c r="M734" s="1"/>
      <c r="N734" s="1"/>
      <c r="O734" s="1"/>
      <c r="P734" s="1"/>
      <c r="Q734" s="1"/>
      <c r="R734" s="1"/>
      <c r="S734" s="1"/>
      <c r="T734" s="1"/>
      <c r="U734" s="1"/>
      <c r="V734" s="1"/>
      <c r="W734" s="1"/>
      <c r="X734" s="1"/>
      <c r="Y734" s="1"/>
    </row>
    <row r="735">
      <c r="A735" s="17"/>
      <c r="B735" s="23"/>
      <c r="C735" s="1"/>
      <c r="D735" s="1"/>
      <c r="E735" s="1"/>
      <c r="F735" s="1"/>
      <c r="G735" s="1"/>
      <c r="H735" s="1"/>
      <c r="I735" s="1"/>
      <c r="J735" s="1"/>
      <c r="K735" s="1"/>
      <c r="L735" s="1"/>
      <c r="M735" s="1"/>
      <c r="N735" s="1"/>
      <c r="O735" s="1"/>
      <c r="P735" s="1"/>
      <c r="Q735" s="1"/>
      <c r="R735" s="1"/>
      <c r="S735" s="1"/>
      <c r="T735" s="1"/>
      <c r="U735" s="1"/>
      <c r="V735" s="1"/>
      <c r="W735" s="1"/>
      <c r="X735" s="1"/>
      <c r="Y735" s="1"/>
    </row>
    <row r="736">
      <c r="A736" s="17"/>
      <c r="B736" s="23"/>
      <c r="C736" s="1"/>
      <c r="D736" s="1"/>
      <c r="E736" s="1"/>
      <c r="F736" s="1"/>
      <c r="G736" s="1"/>
      <c r="H736" s="1"/>
      <c r="I736" s="1"/>
      <c r="J736" s="1"/>
      <c r="K736" s="1"/>
      <c r="L736" s="1"/>
      <c r="M736" s="1"/>
      <c r="N736" s="1"/>
      <c r="O736" s="1"/>
      <c r="P736" s="1"/>
      <c r="Q736" s="1"/>
      <c r="R736" s="1"/>
      <c r="S736" s="1"/>
      <c r="T736" s="1"/>
      <c r="U736" s="1"/>
      <c r="V736" s="1"/>
      <c r="W736" s="1"/>
      <c r="X736" s="1"/>
      <c r="Y736" s="1"/>
    </row>
    <row r="737">
      <c r="A737" s="17"/>
      <c r="B737" s="23"/>
      <c r="C737" s="1"/>
      <c r="D737" s="1"/>
      <c r="E737" s="1"/>
      <c r="F737" s="1"/>
      <c r="G737" s="1"/>
      <c r="H737" s="1"/>
      <c r="I737" s="1"/>
      <c r="J737" s="1"/>
      <c r="K737" s="1"/>
      <c r="L737" s="1"/>
      <c r="M737" s="1"/>
      <c r="N737" s="1"/>
      <c r="O737" s="1"/>
      <c r="P737" s="1"/>
      <c r="Q737" s="1"/>
      <c r="R737" s="1"/>
      <c r="S737" s="1"/>
      <c r="T737" s="1"/>
      <c r="U737" s="1"/>
      <c r="V737" s="1"/>
      <c r="W737" s="1"/>
      <c r="X737" s="1"/>
      <c r="Y737" s="1"/>
    </row>
    <row r="738">
      <c r="A738" s="17"/>
      <c r="B738" s="23"/>
      <c r="C738" s="1"/>
      <c r="D738" s="1"/>
      <c r="E738" s="1"/>
      <c r="F738" s="1"/>
      <c r="G738" s="1"/>
      <c r="H738" s="1"/>
      <c r="I738" s="1"/>
      <c r="J738" s="1"/>
      <c r="K738" s="1"/>
      <c r="L738" s="1"/>
      <c r="M738" s="1"/>
      <c r="N738" s="1"/>
      <c r="O738" s="1"/>
      <c r="P738" s="1"/>
      <c r="Q738" s="1"/>
      <c r="R738" s="1"/>
      <c r="S738" s="1"/>
      <c r="T738" s="1"/>
      <c r="U738" s="1"/>
      <c r="V738" s="1"/>
      <c r="W738" s="1"/>
      <c r="X738" s="1"/>
      <c r="Y738" s="1"/>
    </row>
    <row r="739">
      <c r="A739" s="17"/>
      <c r="B739" s="23"/>
      <c r="C739" s="1"/>
      <c r="D739" s="1"/>
      <c r="E739" s="1"/>
      <c r="F739" s="1"/>
      <c r="G739" s="1"/>
      <c r="H739" s="1"/>
      <c r="I739" s="1"/>
      <c r="J739" s="1"/>
      <c r="K739" s="1"/>
      <c r="L739" s="1"/>
      <c r="M739" s="1"/>
      <c r="N739" s="1"/>
      <c r="O739" s="1"/>
      <c r="P739" s="1"/>
      <c r="Q739" s="1"/>
      <c r="R739" s="1"/>
      <c r="S739" s="1"/>
      <c r="T739" s="1"/>
      <c r="U739" s="1"/>
      <c r="V739" s="1"/>
      <c r="W739" s="1"/>
      <c r="X739" s="1"/>
      <c r="Y739" s="1"/>
    </row>
    <row r="740">
      <c r="A740" s="17"/>
      <c r="B740" s="23"/>
      <c r="C740" s="1"/>
      <c r="D740" s="1"/>
      <c r="E740" s="1"/>
      <c r="F740" s="1"/>
      <c r="G740" s="1"/>
      <c r="H740" s="1"/>
      <c r="I740" s="1"/>
      <c r="J740" s="1"/>
      <c r="K740" s="1"/>
      <c r="L740" s="1"/>
      <c r="M740" s="1"/>
      <c r="N740" s="1"/>
      <c r="O740" s="1"/>
      <c r="P740" s="1"/>
      <c r="Q740" s="1"/>
      <c r="R740" s="1"/>
      <c r="S740" s="1"/>
      <c r="T740" s="1"/>
      <c r="U740" s="1"/>
      <c r="V740" s="1"/>
      <c r="W740" s="1"/>
      <c r="X740" s="1"/>
      <c r="Y740" s="1"/>
    </row>
    <row r="741">
      <c r="A741" s="17"/>
      <c r="B741" s="23"/>
      <c r="C741" s="1"/>
      <c r="D741" s="1"/>
      <c r="E741" s="1"/>
      <c r="F741" s="1"/>
      <c r="G741" s="1"/>
      <c r="H741" s="1"/>
      <c r="I741" s="1"/>
      <c r="J741" s="1"/>
      <c r="K741" s="1"/>
      <c r="L741" s="1"/>
      <c r="M741" s="1"/>
      <c r="N741" s="1"/>
      <c r="O741" s="1"/>
      <c r="P741" s="1"/>
      <c r="Q741" s="1"/>
      <c r="R741" s="1"/>
      <c r="S741" s="1"/>
      <c r="T741" s="1"/>
      <c r="U741" s="1"/>
      <c r="V741" s="1"/>
      <c r="W741" s="1"/>
      <c r="X741" s="1"/>
      <c r="Y741" s="1"/>
    </row>
    <row r="742">
      <c r="A742" s="17"/>
      <c r="B742" s="23"/>
      <c r="C742" s="1"/>
      <c r="D742" s="1"/>
      <c r="E742" s="1"/>
      <c r="F742" s="1"/>
      <c r="G742" s="1"/>
      <c r="H742" s="1"/>
      <c r="I742" s="1"/>
      <c r="J742" s="1"/>
      <c r="K742" s="1"/>
      <c r="L742" s="1"/>
      <c r="M742" s="1"/>
      <c r="N742" s="1"/>
      <c r="O742" s="1"/>
      <c r="P742" s="1"/>
      <c r="Q742" s="1"/>
      <c r="R742" s="1"/>
      <c r="S742" s="1"/>
      <c r="T742" s="1"/>
      <c r="U742" s="1"/>
      <c r="V742" s="1"/>
      <c r="W742" s="1"/>
      <c r="X742" s="1"/>
      <c r="Y742" s="1"/>
    </row>
    <row r="743">
      <c r="A743" s="17"/>
      <c r="B743" s="23"/>
      <c r="C743" s="1"/>
      <c r="D743" s="1"/>
      <c r="E743" s="1"/>
      <c r="F743" s="1"/>
      <c r="G743" s="1"/>
      <c r="H743" s="1"/>
      <c r="I743" s="1"/>
      <c r="J743" s="1"/>
      <c r="K743" s="1"/>
      <c r="L743" s="1"/>
      <c r="M743" s="1"/>
      <c r="N743" s="1"/>
      <c r="O743" s="1"/>
      <c r="P743" s="1"/>
      <c r="Q743" s="1"/>
      <c r="R743" s="1"/>
      <c r="S743" s="1"/>
      <c r="T743" s="1"/>
      <c r="U743" s="1"/>
      <c r="V743" s="1"/>
      <c r="W743" s="1"/>
      <c r="X743" s="1"/>
      <c r="Y743" s="1"/>
    </row>
    <row r="744">
      <c r="A744" s="17"/>
      <c r="B744" s="23"/>
      <c r="C744" s="1"/>
      <c r="D744" s="1"/>
      <c r="E744" s="1"/>
      <c r="F744" s="1"/>
      <c r="G744" s="1"/>
      <c r="H744" s="1"/>
      <c r="I744" s="1"/>
      <c r="J744" s="1"/>
      <c r="K744" s="1"/>
      <c r="L744" s="1"/>
      <c r="M744" s="1"/>
      <c r="N744" s="1"/>
      <c r="O744" s="1"/>
      <c r="P744" s="1"/>
      <c r="Q744" s="1"/>
      <c r="R744" s="1"/>
      <c r="S744" s="1"/>
      <c r="T744" s="1"/>
      <c r="U744" s="1"/>
      <c r="V744" s="1"/>
      <c r="W744" s="1"/>
      <c r="X744" s="1"/>
      <c r="Y744" s="1"/>
    </row>
    <row r="745">
      <c r="A745" s="17"/>
      <c r="B745" s="23"/>
      <c r="C745" s="1"/>
      <c r="D745" s="1"/>
      <c r="E745" s="1"/>
      <c r="F745" s="1"/>
      <c r="G745" s="1"/>
      <c r="H745" s="1"/>
      <c r="I745" s="1"/>
      <c r="J745" s="1"/>
      <c r="K745" s="1"/>
      <c r="L745" s="1"/>
      <c r="M745" s="1"/>
      <c r="N745" s="1"/>
      <c r="O745" s="1"/>
      <c r="P745" s="1"/>
      <c r="Q745" s="1"/>
      <c r="R745" s="1"/>
      <c r="S745" s="1"/>
      <c r="T745" s="1"/>
      <c r="U745" s="1"/>
      <c r="V745" s="1"/>
      <c r="W745" s="1"/>
      <c r="X745" s="1"/>
      <c r="Y745" s="1"/>
    </row>
    <row r="746">
      <c r="A746" s="17"/>
      <c r="B746" s="23"/>
      <c r="C746" s="1"/>
      <c r="D746" s="1"/>
      <c r="E746" s="1"/>
      <c r="F746" s="1"/>
      <c r="G746" s="1"/>
      <c r="H746" s="1"/>
      <c r="I746" s="1"/>
      <c r="J746" s="1"/>
      <c r="K746" s="1"/>
      <c r="L746" s="1"/>
      <c r="M746" s="1"/>
      <c r="N746" s="1"/>
      <c r="O746" s="1"/>
      <c r="P746" s="1"/>
      <c r="Q746" s="1"/>
      <c r="R746" s="1"/>
      <c r="S746" s="1"/>
      <c r="T746" s="1"/>
      <c r="U746" s="1"/>
      <c r="V746" s="1"/>
      <c r="W746" s="1"/>
      <c r="X746" s="1"/>
      <c r="Y746" s="1"/>
    </row>
    <row r="747">
      <c r="A747" s="17"/>
      <c r="B747" s="23"/>
      <c r="C747" s="1"/>
      <c r="D747" s="1"/>
      <c r="E747" s="1"/>
      <c r="F747" s="1"/>
      <c r="G747" s="1"/>
      <c r="H747" s="1"/>
      <c r="I747" s="1"/>
      <c r="J747" s="1"/>
      <c r="K747" s="1"/>
      <c r="L747" s="1"/>
      <c r="M747" s="1"/>
      <c r="N747" s="1"/>
      <c r="O747" s="1"/>
      <c r="P747" s="1"/>
      <c r="Q747" s="1"/>
      <c r="R747" s="1"/>
      <c r="S747" s="1"/>
      <c r="T747" s="1"/>
      <c r="U747" s="1"/>
      <c r="V747" s="1"/>
      <c r="W747" s="1"/>
      <c r="X747" s="1"/>
      <c r="Y747" s="1"/>
    </row>
    <row r="748">
      <c r="A748" s="17"/>
      <c r="B748" s="23"/>
      <c r="C748" s="1"/>
      <c r="D748" s="1"/>
      <c r="E748" s="1"/>
      <c r="F748" s="1"/>
      <c r="G748" s="1"/>
      <c r="H748" s="1"/>
      <c r="I748" s="1"/>
      <c r="J748" s="1"/>
      <c r="K748" s="1"/>
      <c r="L748" s="1"/>
      <c r="M748" s="1"/>
      <c r="N748" s="1"/>
      <c r="O748" s="1"/>
      <c r="P748" s="1"/>
      <c r="Q748" s="1"/>
      <c r="R748" s="1"/>
      <c r="S748" s="1"/>
      <c r="T748" s="1"/>
      <c r="U748" s="1"/>
      <c r="V748" s="1"/>
      <c r="W748" s="1"/>
      <c r="X748" s="1"/>
      <c r="Y748" s="1"/>
    </row>
    <row r="749">
      <c r="A749" s="17"/>
      <c r="B749" s="23"/>
      <c r="C749" s="1"/>
      <c r="D749" s="1"/>
      <c r="E749" s="1"/>
      <c r="F749" s="1"/>
      <c r="G749" s="1"/>
      <c r="H749" s="1"/>
      <c r="I749" s="1"/>
      <c r="J749" s="1"/>
      <c r="K749" s="1"/>
      <c r="L749" s="1"/>
      <c r="M749" s="1"/>
      <c r="N749" s="1"/>
      <c r="O749" s="1"/>
      <c r="P749" s="1"/>
      <c r="Q749" s="1"/>
      <c r="R749" s="1"/>
      <c r="S749" s="1"/>
      <c r="T749" s="1"/>
      <c r="U749" s="1"/>
      <c r="V749" s="1"/>
      <c r="W749" s="1"/>
      <c r="X749" s="1"/>
      <c r="Y749" s="1"/>
    </row>
    <row r="750">
      <c r="A750" s="17"/>
      <c r="B750" s="23"/>
      <c r="C750" s="1"/>
      <c r="D750" s="1"/>
      <c r="E750" s="1"/>
      <c r="F750" s="1"/>
      <c r="G750" s="1"/>
      <c r="H750" s="1"/>
      <c r="I750" s="1"/>
      <c r="J750" s="1"/>
      <c r="K750" s="1"/>
      <c r="L750" s="1"/>
      <c r="M750" s="1"/>
      <c r="N750" s="1"/>
      <c r="O750" s="1"/>
      <c r="P750" s="1"/>
      <c r="Q750" s="1"/>
      <c r="R750" s="1"/>
      <c r="S750" s="1"/>
      <c r="T750" s="1"/>
      <c r="U750" s="1"/>
      <c r="V750" s="1"/>
      <c r="W750" s="1"/>
      <c r="X750" s="1"/>
      <c r="Y750" s="1"/>
    </row>
    <row r="751">
      <c r="A751" s="17"/>
      <c r="B751" s="23"/>
      <c r="C751" s="1"/>
      <c r="D751" s="1"/>
      <c r="E751" s="1"/>
      <c r="F751" s="1"/>
      <c r="G751" s="1"/>
      <c r="H751" s="1"/>
      <c r="I751" s="1"/>
      <c r="J751" s="1"/>
      <c r="K751" s="1"/>
      <c r="L751" s="1"/>
      <c r="M751" s="1"/>
      <c r="N751" s="1"/>
      <c r="O751" s="1"/>
      <c r="P751" s="1"/>
      <c r="Q751" s="1"/>
      <c r="R751" s="1"/>
      <c r="S751" s="1"/>
      <c r="T751" s="1"/>
      <c r="U751" s="1"/>
      <c r="V751" s="1"/>
      <c r="W751" s="1"/>
      <c r="X751" s="1"/>
      <c r="Y751" s="1"/>
    </row>
    <row r="752">
      <c r="A752" s="17"/>
      <c r="B752" s="23"/>
      <c r="C752" s="1"/>
      <c r="D752" s="1"/>
      <c r="E752" s="1"/>
      <c r="F752" s="1"/>
      <c r="G752" s="1"/>
      <c r="H752" s="1"/>
      <c r="I752" s="1"/>
      <c r="J752" s="1"/>
      <c r="K752" s="1"/>
      <c r="L752" s="1"/>
      <c r="M752" s="1"/>
      <c r="N752" s="1"/>
      <c r="O752" s="1"/>
      <c r="P752" s="1"/>
      <c r="Q752" s="1"/>
      <c r="R752" s="1"/>
      <c r="S752" s="1"/>
      <c r="T752" s="1"/>
      <c r="U752" s="1"/>
      <c r="V752" s="1"/>
      <c r="W752" s="1"/>
      <c r="X752" s="1"/>
      <c r="Y752" s="1"/>
    </row>
    <row r="753">
      <c r="A753" s="17"/>
      <c r="B753" s="23"/>
      <c r="C753" s="1"/>
      <c r="D753" s="1"/>
      <c r="E753" s="1"/>
      <c r="F753" s="1"/>
      <c r="G753" s="1"/>
      <c r="H753" s="1"/>
      <c r="I753" s="1"/>
      <c r="J753" s="1"/>
      <c r="K753" s="1"/>
      <c r="L753" s="1"/>
      <c r="M753" s="1"/>
      <c r="N753" s="1"/>
      <c r="O753" s="1"/>
      <c r="P753" s="1"/>
      <c r="Q753" s="1"/>
      <c r="R753" s="1"/>
      <c r="S753" s="1"/>
      <c r="T753" s="1"/>
      <c r="U753" s="1"/>
      <c r="V753" s="1"/>
      <c r="W753" s="1"/>
      <c r="X753" s="1"/>
      <c r="Y753" s="1"/>
    </row>
    <row r="754">
      <c r="A754" s="17"/>
      <c r="B754" s="23"/>
      <c r="C754" s="1"/>
      <c r="D754" s="1"/>
      <c r="E754" s="1"/>
      <c r="F754" s="1"/>
      <c r="G754" s="1"/>
      <c r="H754" s="1"/>
      <c r="I754" s="1"/>
      <c r="J754" s="1"/>
      <c r="K754" s="1"/>
      <c r="L754" s="1"/>
      <c r="M754" s="1"/>
      <c r="N754" s="1"/>
      <c r="O754" s="1"/>
      <c r="P754" s="1"/>
      <c r="Q754" s="1"/>
      <c r="R754" s="1"/>
      <c r="S754" s="1"/>
      <c r="T754" s="1"/>
      <c r="U754" s="1"/>
      <c r="V754" s="1"/>
      <c r="W754" s="1"/>
      <c r="X754" s="1"/>
      <c r="Y754" s="1"/>
    </row>
    <row r="755">
      <c r="A755" s="17"/>
      <c r="B755" s="23"/>
      <c r="C755" s="1"/>
      <c r="D755" s="1"/>
      <c r="E755" s="1"/>
      <c r="F755" s="1"/>
      <c r="G755" s="1"/>
      <c r="H755" s="1"/>
      <c r="I755" s="1"/>
      <c r="J755" s="1"/>
      <c r="K755" s="1"/>
      <c r="L755" s="1"/>
      <c r="M755" s="1"/>
      <c r="N755" s="1"/>
      <c r="O755" s="1"/>
      <c r="P755" s="1"/>
      <c r="Q755" s="1"/>
      <c r="R755" s="1"/>
      <c r="S755" s="1"/>
      <c r="T755" s="1"/>
      <c r="U755" s="1"/>
      <c r="V755" s="1"/>
      <c r="W755" s="1"/>
      <c r="X755" s="1"/>
      <c r="Y755" s="1"/>
    </row>
    <row r="756">
      <c r="A756" s="17"/>
      <c r="B756" s="23"/>
      <c r="C756" s="1"/>
      <c r="D756" s="1"/>
      <c r="E756" s="1"/>
      <c r="F756" s="1"/>
      <c r="G756" s="1"/>
      <c r="H756" s="1"/>
      <c r="I756" s="1"/>
      <c r="J756" s="1"/>
      <c r="K756" s="1"/>
      <c r="L756" s="1"/>
      <c r="M756" s="1"/>
      <c r="N756" s="1"/>
      <c r="O756" s="1"/>
      <c r="P756" s="1"/>
      <c r="Q756" s="1"/>
      <c r="R756" s="1"/>
      <c r="S756" s="1"/>
      <c r="T756" s="1"/>
      <c r="U756" s="1"/>
      <c r="V756" s="1"/>
      <c r="W756" s="1"/>
      <c r="X756" s="1"/>
      <c r="Y756" s="1"/>
    </row>
    <row r="757">
      <c r="A757" s="17"/>
      <c r="B757" s="23"/>
      <c r="C757" s="1"/>
      <c r="D757" s="1"/>
      <c r="E757" s="1"/>
      <c r="F757" s="1"/>
      <c r="G757" s="1"/>
      <c r="H757" s="1"/>
      <c r="I757" s="1"/>
      <c r="J757" s="1"/>
      <c r="K757" s="1"/>
      <c r="L757" s="1"/>
      <c r="M757" s="1"/>
      <c r="N757" s="1"/>
      <c r="O757" s="1"/>
      <c r="P757" s="1"/>
      <c r="Q757" s="1"/>
      <c r="R757" s="1"/>
      <c r="S757" s="1"/>
      <c r="T757" s="1"/>
      <c r="U757" s="1"/>
      <c r="V757" s="1"/>
      <c r="W757" s="1"/>
      <c r="X757" s="1"/>
      <c r="Y757" s="1"/>
    </row>
    <row r="758">
      <c r="A758" s="17"/>
      <c r="B758" s="23"/>
      <c r="C758" s="1"/>
      <c r="D758" s="1"/>
      <c r="E758" s="1"/>
      <c r="F758" s="1"/>
      <c r="G758" s="1"/>
      <c r="H758" s="1"/>
      <c r="I758" s="1"/>
      <c r="J758" s="1"/>
      <c r="K758" s="1"/>
      <c r="L758" s="1"/>
      <c r="M758" s="1"/>
      <c r="N758" s="1"/>
      <c r="O758" s="1"/>
      <c r="P758" s="1"/>
      <c r="Q758" s="1"/>
      <c r="R758" s="1"/>
      <c r="S758" s="1"/>
      <c r="T758" s="1"/>
      <c r="U758" s="1"/>
      <c r="V758" s="1"/>
      <c r="W758" s="1"/>
      <c r="X758" s="1"/>
      <c r="Y758" s="1"/>
    </row>
    <row r="759">
      <c r="A759" s="17"/>
      <c r="B759" s="23"/>
      <c r="C759" s="1"/>
      <c r="D759" s="1"/>
      <c r="E759" s="1"/>
      <c r="F759" s="1"/>
      <c r="G759" s="1"/>
      <c r="H759" s="1"/>
      <c r="I759" s="1"/>
      <c r="J759" s="1"/>
      <c r="K759" s="1"/>
      <c r="L759" s="1"/>
      <c r="M759" s="1"/>
      <c r="N759" s="1"/>
      <c r="O759" s="1"/>
      <c r="P759" s="1"/>
      <c r="Q759" s="1"/>
      <c r="R759" s="1"/>
      <c r="S759" s="1"/>
      <c r="T759" s="1"/>
      <c r="U759" s="1"/>
      <c r="V759" s="1"/>
      <c r="W759" s="1"/>
      <c r="X759" s="1"/>
      <c r="Y759" s="1"/>
    </row>
    <row r="760">
      <c r="A760" s="17"/>
      <c r="B760" s="23"/>
      <c r="C760" s="1"/>
      <c r="D760" s="1"/>
      <c r="E760" s="1"/>
      <c r="F760" s="1"/>
      <c r="G760" s="1"/>
      <c r="H760" s="1"/>
      <c r="I760" s="1"/>
      <c r="J760" s="1"/>
      <c r="K760" s="1"/>
      <c r="L760" s="1"/>
      <c r="M760" s="1"/>
      <c r="N760" s="1"/>
      <c r="O760" s="1"/>
      <c r="P760" s="1"/>
      <c r="Q760" s="1"/>
      <c r="R760" s="1"/>
      <c r="S760" s="1"/>
      <c r="T760" s="1"/>
      <c r="U760" s="1"/>
      <c r="V760" s="1"/>
      <c r="W760" s="1"/>
      <c r="X760" s="1"/>
      <c r="Y760" s="1"/>
    </row>
    <row r="761">
      <c r="A761" s="17"/>
      <c r="B761" s="23"/>
      <c r="C761" s="1"/>
      <c r="D761" s="1"/>
      <c r="E761" s="1"/>
      <c r="F761" s="1"/>
      <c r="G761" s="1"/>
      <c r="H761" s="1"/>
      <c r="I761" s="1"/>
      <c r="J761" s="1"/>
      <c r="K761" s="1"/>
      <c r="L761" s="1"/>
      <c r="M761" s="1"/>
      <c r="N761" s="1"/>
      <c r="O761" s="1"/>
      <c r="P761" s="1"/>
      <c r="Q761" s="1"/>
      <c r="R761" s="1"/>
      <c r="S761" s="1"/>
      <c r="T761" s="1"/>
      <c r="U761" s="1"/>
      <c r="V761" s="1"/>
      <c r="W761" s="1"/>
      <c r="X761" s="1"/>
      <c r="Y761" s="1"/>
    </row>
    <row r="762">
      <c r="A762" s="17"/>
      <c r="B762" s="23"/>
      <c r="C762" s="1"/>
      <c r="D762" s="1"/>
      <c r="E762" s="1"/>
      <c r="F762" s="1"/>
      <c r="G762" s="1"/>
      <c r="H762" s="1"/>
      <c r="I762" s="1"/>
      <c r="J762" s="1"/>
      <c r="K762" s="1"/>
      <c r="L762" s="1"/>
      <c r="M762" s="1"/>
      <c r="N762" s="1"/>
      <c r="O762" s="1"/>
      <c r="P762" s="1"/>
      <c r="Q762" s="1"/>
      <c r="R762" s="1"/>
      <c r="S762" s="1"/>
      <c r="T762" s="1"/>
      <c r="U762" s="1"/>
      <c r="V762" s="1"/>
      <c r="W762" s="1"/>
      <c r="X762" s="1"/>
      <c r="Y762" s="1"/>
    </row>
    <row r="763">
      <c r="A763" s="17"/>
      <c r="B763" s="23"/>
      <c r="C763" s="1"/>
      <c r="D763" s="1"/>
      <c r="E763" s="1"/>
      <c r="F763" s="1"/>
      <c r="G763" s="1"/>
      <c r="H763" s="1"/>
      <c r="I763" s="1"/>
      <c r="J763" s="1"/>
      <c r="K763" s="1"/>
      <c r="L763" s="1"/>
      <c r="M763" s="1"/>
      <c r="N763" s="1"/>
      <c r="O763" s="1"/>
      <c r="P763" s="1"/>
      <c r="Q763" s="1"/>
      <c r="R763" s="1"/>
      <c r="S763" s="1"/>
      <c r="T763" s="1"/>
      <c r="U763" s="1"/>
      <c r="V763" s="1"/>
      <c r="W763" s="1"/>
      <c r="X763" s="1"/>
      <c r="Y763" s="1"/>
    </row>
    <row r="764">
      <c r="A764" s="17"/>
      <c r="B764" s="23"/>
      <c r="C764" s="1"/>
      <c r="D764" s="1"/>
      <c r="E764" s="1"/>
      <c r="F764" s="1"/>
      <c r="G764" s="1"/>
      <c r="H764" s="1"/>
      <c r="I764" s="1"/>
      <c r="J764" s="1"/>
      <c r="K764" s="1"/>
      <c r="L764" s="1"/>
      <c r="M764" s="1"/>
      <c r="N764" s="1"/>
      <c r="O764" s="1"/>
      <c r="P764" s="1"/>
      <c r="Q764" s="1"/>
      <c r="R764" s="1"/>
      <c r="S764" s="1"/>
      <c r="T764" s="1"/>
      <c r="U764" s="1"/>
      <c r="V764" s="1"/>
      <c r="W764" s="1"/>
      <c r="X764" s="1"/>
      <c r="Y764" s="1"/>
    </row>
    <row r="765">
      <c r="A765" s="17"/>
      <c r="B765" s="23"/>
      <c r="C765" s="1"/>
      <c r="D765" s="1"/>
      <c r="E765" s="1"/>
      <c r="F765" s="1"/>
      <c r="G765" s="1"/>
      <c r="H765" s="1"/>
      <c r="I765" s="1"/>
      <c r="J765" s="1"/>
      <c r="K765" s="1"/>
      <c r="L765" s="1"/>
      <c r="M765" s="1"/>
      <c r="N765" s="1"/>
      <c r="O765" s="1"/>
      <c r="P765" s="1"/>
      <c r="Q765" s="1"/>
      <c r="R765" s="1"/>
      <c r="S765" s="1"/>
      <c r="T765" s="1"/>
      <c r="U765" s="1"/>
      <c r="V765" s="1"/>
      <c r="W765" s="1"/>
      <c r="X765" s="1"/>
      <c r="Y765" s="1"/>
    </row>
    <row r="766">
      <c r="A766" s="17"/>
      <c r="B766" s="23"/>
      <c r="C766" s="1"/>
      <c r="D766" s="1"/>
      <c r="E766" s="1"/>
      <c r="F766" s="1"/>
      <c r="G766" s="1"/>
      <c r="H766" s="1"/>
      <c r="I766" s="1"/>
      <c r="J766" s="1"/>
      <c r="K766" s="1"/>
      <c r="L766" s="1"/>
      <c r="M766" s="1"/>
      <c r="N766" s="1"/>
      <c r="O766" s="1"/>
      <c r="P766" s="1"/>
      <c r="Q766" s="1"/>
      <c r="R766" s="1"/>
      <c r="S766" s="1"/>
      <c r="T766" s="1"/>
      <c r="U766" s="1"/>
      <c r="V766" s="1"/>
      <c r="W766" s="1"/>
      <c r="X766" s="1"/>
      <c r="Y766" s="1"/>
    </row>
    <row r="767">
      <c r="A767" s="17"/>
      <c r="B767" s="23"/>
      <c r="C767" s="1"/>
      <c r="D767" s="1"/>
      <c r="E767" s="1"/>
      <c r="F767" s="1"/>
      <c r="G767" s="1"/>
      <c r="H767" s="1"/>
      <c r="I767" s="1"/>
      <c r="J767" s="1"/>
      <c r="K767" s="1"/>
      <c r="L767" s="1"/>
      <c r="M767" s="1"/>
      <c r="N767" s="1"/>
      <c r="O767" s="1"/>
      <c r="P767" s="1"/>
      <c r="Q767" s="1"/>
      <c r="R767" s="1"/>
      <c r="S767" s="1"/>
      <c r="T767" s="1"/>
      <c r="U767" s="1"/>
      <c r="V767" s="1"/>
      <c r="W767" s="1"/>
      <c r="X767" s="1"/>
      <c r="Y767" s="1"/>
    </row>
    <row r="768">
      <c r="A768" s="17"/>
      <c r="B768" s="23"/>
      <c r="C768" s="1"/>
      <c r="D768" s="1"/>
      <c r="E768" s="1"/>
      <c r="F768" s="1"/>
      <c r="G768" s="1"/>
      <c r="H768" s="1"/>
      <c r="I768" s="1"/>
      <c r="J768" s="1"/>
      <c r="K768" s="1"/>
      <c r="L768" s="1"/>
      <c r="M768" s="1"/>
      <c r="N768" s="1"/>
      <c r="O768" s="1"/>
      <c r="P768" s="1"/>
      <c r="Q768" s="1"/>
      <c r="R768" s="1"/>
      <c r="S768" s="1"/>
      <c r="T768" s="1"/>
      <c r="U768" s="1"/>
      <c r="V768" s="1"/>
      <c r="W768" s="1"/>
      <c r="X768" s="1"/>
      <c r="Y768" s="1"/>
    </row>
    <row r="769">
      <c r="A769" s="17"/>
      <c r="B769" s="23"/>
      <c r="C769" s="1"/>
      <c r="D769" s="1"/>
      <c r="E769" s="1"/>
      <c r="F769" s="1"/>
      <c r="G769" s="1"/>
      <c r="H769" s="1"/>
      <c r="I769" s="1"/>
      <c r="J769" s="1"/>
      <c r="K769" s="1"/>
      <c r="L769" s="1"/>
      <c r="M769" s="1"/>
      <c r="N769" s="1"/>
      <c r="O769" s="1"/>
      <c r="P769" s="1"/>
      <c r="Q769" s="1"/>
      <c r="R769" s="1"/>
      <c r="S769" s="1"/>
      <c r="T769" s="1"/>
      <c r="U769" s="1"/>
      <c r="V769" s="1"/>
      <c r="W769" s="1"/>
      <c r="X769" s="1"/>
      <c r="Y769" s="1"/>
    </row>
    <row r="770">
      <c r="A770" s="17"/>
      <c r="B770" s="23"/>
      <c r="C770" s="1"/>
      <c r="D770" s="1"/>
      <c r="E770" s="1"/>
      <c r="F770" s="1"/>
      <c r="G770" s="1"/>
      <c r="H770" s="1"/>
      <c r="I770" s="1"/>
      <c r="J770" s="1"/>
      <c r="K770" s="1"/>
      <c r="L770" s="1"/>
      <c r="M770" s="1"/>
      <c r="N770" s="1"/>
      <c r="O770" s="1"/>
      <c r="P770" s="1"/>
      <c r="Q770" s="1"/>
      <c r="R770" s="1"/>
      <c r="S770" s="1"/>
      <c r="T770" s="1"/>
      <c r="U770" s="1"/>
      <c r="V770" s="1"/>
      <c r="W770" s="1"/>
      <c r="X770" s="1"/>
      <c r="Y770" s="1"/>
    </row>
    <row r="771">
      <c r="A771" s="17"/>
      <c r="B771" s="23"/>
      <c r="C771" s="1"/>
      <c r="D771" s="1"/>
      <c r="E771" s="1"/>
      <c r="F771" s="1"/>
      <c r="G771" s="1"/>
      <c r="H771" s="1"/>
      <c r="I771" s="1"/>
      <c r="J771" s="1"/>
      <c r="K771" s="1"/>
      <c r="L771" s="1"/>
      <c r="M771" s="1"/>
      <c r="N771" s="1"/>
      <c r="O771" s="1"/>
      <c r="P771" s="1"/>
      <c r="Q771" s="1"/>
      <c r="R771" s="1"/>
      <c r="S771" s="1"/>
      <c r="T771" s="1"/>
      <c r="U771" s="1"/>
      <c r="V771" s="1"/>
      <c r="W771" s="1"/>
      <c r="X771" s="1"/>
      <c r="Y771" s="1"/>
    </row>
    <row r="772">
      <c r="A772" s="17"/>
      <c r="B772" s="23"/>
      <c r="C772" s="1"/>
      <c r="D772" s="1"/>
      <c r="E772" s="1"/>
      <c r="F772" s="1"/>
      <c r="G772" s="1"/>
      <c r="H772" s="1"/>
      <c r="I772" s="1"/>
      <c r="J772" s="1"/>
      <c r="K772" s="1"/>
      <c r="L772" s="1"/>
      <c r="M772" s="1"/>
      <c r="N772" s="1"/>
      <c r="O772" s="1"/>
      <c r="P772" s="1"/>
      <c r="Q772" s="1"/>
      <c r="R772" s="1"/>
      <c r="S772" s="1"/>
      <c r="T772" s="1"/>
      <c r="U772" s="1"/>
      <c r="V772" s="1"/>
      <c r="W772" s="1"/>
      <c r="X772" s="1"/>
      <c r="Y772" s="1"/>
    </row>
    <row r="773">
      <c r="A773" s="17"/>
      <c r="B773" s="23"/>
      <c r="C773" s="1"/>
      <c r="D773" s="1"/>
      <c r="E773" s="1"/>
      <c r="F773" s="1"/>
      <c r="G773" s="1"/>
      <c r="H773" s="1"/>
      <c r="I773" s="1"/>
      <c r="J773" s="1"/>
      <c r="K773" s="1"/>
      <c r="L773" s="1"/>
      <c r="M773" s="1"/>
      <c r="N773" s="1"/>
      <c r="O773" s="1"/>
      <c r="P773" s="1"/>
      <c r="Q773" s="1"/>
      <c r="R773" s="1"/>
      <c r="S773" s="1"/>
      <c r="T773" s="1"/>
      <c r="U773" s="1"/>
      <c r="V773" s="1"/>
      <c r="W773" s="1"/>
      <c r="X773" s="1"/>
      <c r="Y773" s="1"/>
    </row>
    <row r="774">
      <c r="A774" s="17"/>
      <c r="B774" s="23"/>
      <c r="C774" s="1"/>
      <c r="D774" s="1"/>
      <c r="E774" s="1"/>
      <c r="F774" s="1"/>
      <c r="G774" s="1"/>
      <c r="H774" s="1"/>
      <c r="I774" s="1"/>
      <c r="J774" s="1"/>
      <c r="K774" s="1"/>
      <c r="L774" s="1"/>
      <c r="M774" s="1"/>
      <c r="N774" s="1"/>
      <c r="O774" s="1"/>
      <c r="P774" s="1"/>
      <c r="Q774" s="1"/>
      <c r="R774" s="1"/>
      <c r="S774" s="1"/>
      <c r="T774" s="1"/>
      <c r="U774" s="1"/>
      <c r="V774" s="1"/>
      <c r="W774" s="1"/>
      <c r="X774" s="1"/>
      <c r="Y774" s="1"/>
    </row>
    <row r="775">
      <c r="A775" s="17"/>
      <c r="B775" s="23"/>
      <c r="C775" s="1"/>
      <c r="D775" s="1"/>
      <c r="E775" s="1"/>
      <c r="F775" s="1"/>
      <c r="G775" s="1"/>
      <c r="H775" s="1"/>
      <c r="I775" s="1"/>
      <c r="J775" s="1"/>
      <c r="K775" s="1"/>
      <c r="L775" s="1"/>
      <c r="M775" s="1"/>
      <c r="N775" s="1"/>
      <c r="O775" s="1"/>
      <c r="P775" s="1"/>
      <c r="Q775" s="1"/>
      <c r="R775" s="1"/>
      <c r="S775" s="1"/>
      <c r="T775" s="1"/>
      <c r="U775" s="1"/>
      <c r="V775" s="1"/>
      <c r="W775" s="1"/>
      <c r="X775" s="1"/>
      <c r="Y775" s="1"/>
    </row>
    <row r="776">
      <c r="A776" s="17"/>
      <c r="B776" s="23"/>
      <c r="C776" s="1"/>
      <c r="D776" s="1"/>
      <c r="E776" s="1"/>
      <c r="F776" s="1"/>
      <c r="G776" s="1"/>
      <c r="H776" s="1"/>
      <c r="I776" s="1"/>
      <c r="J776" s="1"/>
      <c r="K776" s="1"/>
      <c r="L776" s="1"/>
      <c r="M776" s="1"/>
      <c r="N776" s="1"/>
      <c r="O776" s="1"/>
      <c r="P776" s="1"/>
      <c r="Q776" s="1"/>
      <c r="R776" s="1"/>
      <c r="S776" s="1"/>
      <c r="T776" s="1"/>
      <c r="U776" s="1"/>
      <c r="V776" s="1"/>
      <c r="W776" s="1"/>
      <c r="X776" s="1"/>
      <c r="Y776" s="1"/>
    </row>
    <row r="777">
      <c r="A777" s="17"/>
      <c r="B777" s="23"/>
      <c r="C777" s="1"/>
      <c r="D777" s="1"/>
      <c r="E777" s="1"/>
      <c r="F777" s="1"/>
      <c r="G777" s="1"/>
      <c r="H777" s="1"/>
      <c r="I777" s="1"/>
      <c r="J777" s="1"/>
      <c r="K777" s="1"/>
      <c r="L777" s="1"/>
      <c r="M777" s="1"/>
      <c r="N777" s="1"/>
      <c r="O777" s="1"/>
      <c r="P777" s="1"/>
      <c r="Q777" s="1"/>
      <c r="R777" s="1"/>
      <c r="S777" s="1"/>
      <c r="T777" s="1"/>
      <c r="U777" s="1"/>
      <c r="V777" s="1"/>
      <c r="W777" s="1"/>
      <c r="X777" s="1"/>
      <c r="Y777" s="1"/>
    </row>
    <row r="778">
      <c r="A778" s="17"/>
      <c r="B778" s="23"/>
      <c r="C778" s="1"/>
      <c r="D778" s="1"/>
      <c r="E778" s="1"/>
      <c r="F778" s="1"/>
      <c r="G778" s="1"/>
      <c r="H778" s="1"/>
      <c r="I778" s="1"/>
      <c r="J778" s="1"/>
      <c r="K778" s="1"/>
      <c r="L778" s="1"/>
      <c r="M778" s="1"/>
      <c r="N778" s="1"/>
      <c r="O778" s="1"/>
      <c r="P778" s="1"/>
      <c r="Q778" s="1"/>
      <c r="R778" s="1"/>
      <c r="S778" s="1"/>
      <c r="T778" s="1"/>
      <c r="U778" s="1"/>
      <c r="V778" s="1"/>
      <c r="W778" s="1"/>
      <c r="X778" s="1"/>
      <c r="Y778" s="1"/>
    </row>
    <row r="779">
      <c r="A779" s="17"/>
      <c r="B779" s="23"/>
      <c r="C779" s="1"/>
      <c r="D779" s="1"/>
      <c r="E779" s="1"/>
      <c r="F779" s="1"/>
      <c r="G779" s="1"/>
      <c r="H779" s="1"/>
      <c r="I779" s="1"/>
      <c r="J779" s="1"/>
      <c r="K779" s="1"/>
      <c r="L779" s="1"/>
      <c r="M779" s="1"/>
      <c r="N779" s="1"/>
      <c r="O779" s="1"/>
      <c r="P779" s="1"/>
      <c r="Q779" s="1"/>
      <c r="R779" s="1"/>
      <c r="S779" s="1"/>
      <c r="T779" s="1"/>
      <c r="U779" s="1"/>
      <c r="V779" s="1"/>
      <c r="W779" s="1"/>
      <c r="X779" s="1"/>
      <c r="Y779" s="1"/>
    </row>
    <row r="780">
      <c r="A780" s="17"/>
      <c r="B780" s="23"/>
      <c r="C780" s="1"/>
      <c r="D780" s="1"/>
      <c r="E780" s="1"/>
      <c r="F780" s="1"/>
      <c r="G780" s="1"/>
      <c r="H780" s="1"/>
      <c r="I780" s="1"/>
      <c r="J780" s="1"/>
      <c r="K780" s="1"/>
      <c r="L780" s="1"/>
      <c r="M780" s="1"/>
      <c r="N780" s="1"/>
      <c r="O780" s="1"/>
      <c r="P780" s="1"/>
      <c r="Q780" s="1"/>
      <c r="R780" s="1"/>
      <c r="S780" s="1"/>
      <c r="T780" s="1"/>
      <c r="U780" s="1"/>
      <c r="V780" s="1"/>
      <c r="W780" s="1"/>
      <c r="X780" s="1"/>
      <c r="Y780" s="1"/>
    </row>
    <row r="781">
      <c r="A781" s="17"/>
      <c r="B781" s="23"/>
      <c r="C781" s="1"/>
      <c r="D781" s="1"/>
      <c r="E781" s="1"/>
      <c r="F781" s="1"/>
      <c r="G781" s="1"/>
      <c r="H781" s="1"/>
      <c r="I781" s="1"/>
      <c r="J781" s="1"/>
      <c r="K781" s="1"/>
      <c r="L781" s="1"/>
      <c r="M781" s="1"/>
      <c r="N781" s="1"/>
      <c r="O781" s="1"/>
      <c r="P781" s="1"/>
      <c r="Q781" s="1"/>
      <c r="R781" s="1"/>
      <c r="S781" s="1"/>
      <c r="T781" s="1"/>
      <c r="U781" s="1"/>
      <c r="V781" s="1"/>
      <c r="W781" s="1"/>
      <c r="X781" s="1"/>
      <c r="Y781" s="1"/>
    </row>
    <row r="782">
      <c r="A782" s="17"/>
      <c r="B782" s="23"/>
      <c r="C782" s="1"/>
      <c r="D782" s="1"/>
      <c r="E782" s="1"/>
      <c r="F782" s="1"/>
      <c r="G782" s="1"/>
      <c r="H782" s="1"/>
      <c r="I782" s="1"/>
      <c r="J782" s="1"/>
      <c r="K782" s="1"/>
      <c r="L782" s="1"/>
      <c r="M782" s="1"/>
      <c r="N782" s="1"/>
      <c r="O782" s="1"/>
      <c r="P782" s="1"/>
      <c r="Q782" s="1"/>
      <c r="R782" s="1"/>
      <c r="S782" s="1"/>
      <c r="T782" s="1"/>
      <c r="U782" s="1"/>
      <c r="V782" s="1"/>
      <c r="W782" s="1"/>
      <c r="X782" s="1"/>
      <c r="Y782" s="1"/>
    </row>
    <row r="783">
      <c r="A783" s="17"/>
      <c r="B783" s="23"/>
      <c r="C783" s="1"/>
      <c r="D783" s="1"/>
      <c r="E783" s="1"/>
      <c r="F783" s="1"/>
      <c r="G783" s="1"/>
      <c r="H783" s="1"/>
      <c r="I783" s="1"/>
      <c r="J783" s="1"/>
      <c r="K783" s="1"/>
      <c r="L783" s="1"/>
      <c r="M783" s="1"/>
      <c r="N783" s="1"/>
      <c r="O783" s="1"/>
      <c r="P783" s="1"/>
      <c r="Q783" s="1"/>
      <c r="R783" s="1"/>
      <c r="S783" s="1"/>
      <c r="T783" s="1"/>
      <c r="U783" s="1"/>
      <c r="V783" s="1"/>
      <c r="W783" s="1"/>
      <c r="X783" s="1"/>
      <c r="Y783" s="1"/>
    </row>
    <row r="784">
      <c r="A784" s="17"/>
      <c r="B784" s="23"/>
      <c r="C784" s="1"/>
      <c r="D784" s="1"/>
      <c r="E784" s="1"/>
      <c r="F784" s="1"/>
      <c r="G784" s="1"/>
      <c r="H784" s="1"/>
      <c r="I784" s="1"/>
      <c r="J784" s="1"/>
      <c r="K784" s="1"/>
      <c r="L784" s="1"/>
      <c r="M784" s="1"/>
      <c r="N784" s="1"/>
      <c r="O784" s="1"/>
      <c r="P784" s="1"/>
      <c r="Q784" s="1"/>
      <c r="R784" s="1"/>
      <c r="S784" s="1"/>
      <c r="T784" s="1"/>
      <c r="U784" s="1"/>
      <c r="V784" s="1"/>
      <c r="W784" s="1"/>
      <c r="X784" s="1"/>
      <c r="Y784" s="1"/>
    </row>
    <row r="785">
      <c r="A785" s="17"/>
      <c r="B785" s="23"/>
      <c r="C785" s="1"/>
      <c r="D785" s="1"/>
      <c r="E785" s="1"/>
      <c r="F785" s="1"/>
      <c r="G785" s="1"/>
      <c r="H785" s="1"/>
      <c r="I785" s="1"/>
      <c r="J785" s="1"/>
      <c r="K785" s="1"/>
      <c r="L785" s="1"/>
      <c r="M785" s="1"/>
      <c r="N785" s="1"/>
      <c r="O785" s="1"/>
      <c r="P785" s="1"/>
      <c r="Q785" s="1"/>
      <c r="R785" s="1"/>
      <c r="S785" s="1"/>
      <c r="T785" s="1"/>
      <c r="U785" s="1"/>
      <c r="V785" s="1"/>
      <c r="W785" s="1"/>
      <c r="X785" s="1"/>
      <c r="Y785" s="1"/>
    </row>
    <row r="786">
      <c r="A786" s="17"/>
      <c r="B786" s="23"/>
      <c r="C786" s="1"/>
      <c r="D786" s="1"/>
      <c r="E786" s="1"/>
      <c r="F786" s="1"/>
      <c r="G786" s="1"/>
      <c r="H786" s="1"/>
      <c r="I786" s="1"/>
      <c r="J786" s="1"/>
      <c r="K786" s="1"/>
      <c r="L786" s="1"/>
      <c r="M786" s="1"/>
      <c r="N786" s="1"/>
      <c r="O786" s="1"/>
      <c r="P786" s="1"/>
      <c r="Q786" s="1"/>
      <c r="R786" s="1"/>
      <c r="S786" s="1"/>
      <c r="T786" s="1"/>
      <c r="U786" s="1"/>
      <c r="V786" s="1"/>
      <c r="W786" s="1"/>
      <c r="X786" s="1"/>
      <c r="Y786" s="1"/>
    </row>
    <row r="787">
      <c r="A787" s="17"/>
      <c r="B787" s="23"/>
      <c r="C787" s="1"/>
      <c r="D787" s="1"/>
      <c r="E787" s="1"/>
      <c r="F787" s="1"/>
      <c r="G787" s="1"/>
      <c r="H787" s="1"/>
      <c r="I787" s="1"/>
      <c r="J787" s="1"/>
      <c r="K787" s="1"/>
      <c r="L787" s="1"/>
      <c r="M787" s="1"/>
      <c r="N787" s="1"/>
      <c r="O787" s="1"/>
      <c r="P787" s="1"/>
      <c r="Q787" s="1"/>
      <c r="R787" s="1"/>
      <c r="S787" s="1"/>
      <c r="T787" s="1"/>
      <c r="U787" s="1"/>
      <c r="V787" s="1"/>
      <c r="W787" s="1"/>
      <c r="X787" s="1"/>
      <c r="Y787" s="1"/>
    </row>
    <row r="788">
      <c r="A788" s="17"/>
      <c r="B788" s="23"/>
      <c r="C788" s="1"/>
      <c r="D788" s="1"/>
      <c r="E788" s="1"/>
      <c r="F788" s="1"/>
      <c r="G788" s="1"/>
      <c r="H788" s="1"/>
      <c r="I788" s="1"/>
      <c r="J788" s="1"/>
      <c r="K788" s="1"/>
      <c r="L788" s="1"/>
      <c r="M788" s="1"/>
      <c r="N788" s="1"/>
      <c r="O788" s="1"/>
      <c r="P788" s="1"/>
      <c r="Q788" s="1"/>
      <c r="R788" s="1"/>
      <c r="S788" s="1"/>
      <c r="T788" s="1"/>
      <c r="U788" s="1"/>
      <c r="V788" s="1"/>
      <c r="W788" s="1"/>
      <c r="X788" s="1"/>
      <c r="Y788" s="1"/>
    </row>
    <row r="789">
      <c r="A789" s="17"/>
      <c r="B789" s="23"/>
      <c r="C789" s="1"/>
      <c r="D789" s="1"/>
      <c r="E789" s="1"/>
      <c r="F789" s="1"/>
      <c r="G789" s="1"/>
      <c r="H789" s="1"/>
      <c r="I789" s="1"/>
      <c r="J789" s="1"/>
      <c r="K789" s="1"/>
      <c r="L789" s="1"/>
      <c r="M789" s="1"/>
      <c r="N789" s="1"/>
      <c r="O789" s="1"/>
      <c r="P789" s="1"/>
      <c r="Q789" s="1"/>
      <c r="R789" s="1"/>
      <c r="S789" s="1"/>
      <c r="T789" s="1"/>
      <c r="U789" s="1"/>
      <c r="V789" s="1"/>
      <c r="W789" s="1"/>
      <c r="X789" s="1"/>
      <c r="Y789" s="1"/>
    </row>
    <row r="790">
      <c r="A790" s="17"/>
      <c r="B790" s="23"/>
      <c r="C790" s="1"/>
      <c r="D790" s="1"/>
      <c r="E790" s="1"/>
      <c r="F790" s="1"/>
      <c r="G790" s="1"/>
      <c r="H790" s="1"/>
      <c r="I790" s="1"/>
      <c r="J790" s="1"/>
      <c r="K790" s="1"/>
      <c r="L790" s="1"/>
      <c r="M790" s="1"/>
      <c r="N790" s="1"/>
      <c r="O790" s="1"/>
      <c r="P790" s="1"/>
      <c r="Q790" s="1"/>
      <c r="R790" s="1"/>
      <c r="S790" s="1"/>
      <c r="T790" s="1"/>
      <c r="U790" s="1"/>
      <c r="V790" s="1"/>
      <c r="W790" s="1"/>
      <c r="X790" s="1"/>
      <c r="Y790" s="1"/>
    </row>
    <row r="791">
      <c r="A791" s="17"/>
      <c r="B791" s="23"/>
      <c r="C791" s="1"/>
      <c r="D791" s="1"/>
      <c r="E791" s="1"/>
      <c r="F791" s="1"/>
      <c r="G791" s="1"/>
      <c r="H791" s="1"/>
      <c r="I791" s="1"/>
      <c r="J791" s="1"/>
      <c r="K791" s="1"/>
      <c r="L791" s="1"/>
      <c r="M791" s="1"/>
      <c r="N791" s="1"/>
      <c r="O791" s="1"/>
      <c r="P791" s="1"/>
      <c r="Q791" s="1"/>
      <c r="R791" s="1"/>
      <c r="S791" s="1"/>
      <c r="T791" s="1"/>
      <c r="U791" s="1"/>
      <c r="V791" s="1"/>
      <c r="W791" s="1"/>
      <c r="X791" s="1"/>
      <c r="Y791" s="1"/>
    </row>
    <row r="792">
      <c r="A792" s="17"/>
      <c r="B792" s="23"/>
      <c r="C792" s="1"/>
      <c r="D792" s="1"/>
      <c r="E792" s="1"/>
      <c r="F792" s="1"/>
      <c r="G792" s="1"/>
      <c r="H792" s="1"/>
      <c r="I792" s="1"/>
      <c r="J792" s="1"/>
      <c r="K792" s="1"/>
      <c r="L792" s="1"/>
      <c r="M792" s="1"/>
      <c r="N792" s="1"/>
      <c r="O792" s="1"/>
      <c r="P792" s="1"/>
      <c r="Q792" s="1"/>
      <c r="R792" s="1"/>
      <c r="S792" s="1"/>
      <c r="T792" s="1"/>
      <c r="U792" s="1"/>
      <c r="V792" s="1"/>
      <c r="W792" s="1"/>
      <c r="X792" s="1"/>
      <c r="Y792" s="1"/>
    </row>
    <row r="793">
      <c r="A793" s="17"/>
      <c r="B793" s="23"/>
      <c r="C793" s="1"/>
      <c r="D793" s="1"/>
      <c r="E793" s="1"/>
      <c r="F793" s="1"/>
      <c r="G793" s="1"/>
      <c r="H793" s="1"/>
      <c r="I793" s="1"/>
      <c r="J793" s="1"/>
      <c r="K793" s="1"/>
      <c r="L793" s="1"/>
      <c r="M793" s="1"/>
      <c r="N793" s="1"/>
      <c r="O793" s="1"/>
      <c r="P793" s="1"/>
      <c r="Q793" s="1"/>
      <c r="R793" s="1"/>
      <c r="S793" s="1"/>
      <c r="T793" s="1"/>
      <c r="U793" s="1"/>
      <c r="V793" s="1"/>
      <c r="W793" s="1"/>
      <c r="X793" s="1"/>
      <c r="Y793" s="1"/>
    </row>
    <row r="794">
      <c r="A794" s="17"/>
      <c r="B794" s="23"/>
      <c r="C794" s="1"/>
      <c r="D794" s="1"/>
      <c r="E794" s="1"/>
      <c r="F794" s="1"/>
      <c r="G794" s="1"/>
      <c r="H794" s="1"/>
      <c r="I794" s="1"/>
      <c r="J794" s="1"/>
      <c r="K794" s="1"/>
      <c r="L794" s="1"/>
      <c r="M794" s="1"/>
      <c r="N794" s="1"/>
      <c r="O794" s="1"/>
      <c r="P794" s="1"/>
      <c r="Q794" s="1"/>
      <c r="R794" s="1"/>
      <c r="S794" s="1"/>
      <c r="T794" s="1"/>
      <c r="U794" s="1"/>
      <c r="V794" s="1"/>
      <c r="W794" s="1"/>
      <c r="X794" s="1"/>
      <c r="Y794" s="1"/>
    </row>
    <row r="795">
      <c r="A795" s="17"/>
      <c r="B795" s="23"/>
      <c r="C795" s="1"/>
      <c r="D795" s="1"/>
      <c r="E795" s="1"/>
      <c r="F795" s="1"/>
      <c r="G795" s="1"/>
      <c r="H795" s="1"/>
      <c r="I795" s="1"/>
      <c r="J795" s="1"/>
      <c r="K795" s="1"/>
      <c r="L795" s="1"/>
      <c r="M795" s="1"/>
      <c r="N795" s="1"/>
      <c r="O795" s="1"/>
      <c r="P795" s="1"/>
      <c r="Q795" s="1"/>
      <c r="R795" s="1"/>
      <c r="S795" s="1"/>
      <c r="T795" s="1"/>
      <c r="U795" s="1"/>
      <c r="V795" s="1"/>
      <c r="W795" s="1"/>
      <c r="X795" s="1"/>
      <c r="Y795" s="1"/>
    </row>
    <row r="796">
      <c r="A796" s="17"/>
      <c r="B796" s="23"/>
      <c r="C796" s="1"/>
      <c r="D796" s="1"/>
      <c r="E796" s="1"/>
      <c r="F796" s="1"/>
      <c r="G796" s="1"/>
      <c r="H796" s="1"/>
      <c r="I796" s="1"/>
      <c r="J796" s="1"/>
      <c r="K796" s="1"/>
      <c r="L796" s="1"/>
      <c r="M796" s="1"/>
      <c r="N796" s="1"/>
      <c r="O796" s="1"/>
      <c r="P796" s="1"/>
      <c r="Q796" s="1"/>
      <c r="R796" s="1"/>
      <c r="S796" s="1"/>
      <c r="T796" s="1"/>
      <c r="U796" s="1"/>
      <c r="V796" s="1"/>
      <c r="W796" s="1"/>
      <c r="X796" s="1"/>
      <c r="Y796" s="1"/>
    </row>
    <row r="797">
      <c r="A797" s="17"/>
      <c r="B797" s="23"/>
      <c r="C797" s="1"/>
      <c r="D797" s="1"/>
      <c r="E797" s="1"/>
      <c r="F797" s="1"/>
      <c r="G797" s="1"/>
      <c r="H797" s="1"/>
      <c r="I797" s="1"/>
      <c r="J797" s="1"/>
      <c r="K797" s="1"/>
      <c r="L797" s="1"/>
      <c r="M797" s="1"/>
      <c r="N797" s="1"/>
      <c r="O797" s="1"/>
      <c r="P797" s="1"/>
      <c r="Q797" s="1"/>
      <c r="R797" s="1"/>
      <c r="S797" s="1"/>
      <c r="T797" s="1"/>
      <c r="U797" s="1"/>
      <c r="V797" s="1"/>
      <c r="W797" s="1"/>
      <c r="X797" s="1"/>
      <c r="Y797" s="1"/>
    </row>
    <row r="798">
      <c r="A798" s="17"/>
      <c r="B798" s="23"/>
      <c r="C798" s="1"/>
      <c r="D798" s="1"/>
      <c r="E798" s="1"/>
      <c r="F798" s="1"/>
      <c r="G798" s="1"/>
      <c r="H798" s="1"/>
      <c r="I798" s="1"/>
      <c r="J798" s="1"/>
      <c r="K798" s="1"/>
      <c r="L798" s="1"/>
      <c r="M798" s="1"/>
      <c r="N798" s="1"/>
      <c r="O798" s="1"/>
      <c r="P798" s="1"/>
      <c r="Q798" s="1"/>
      <c r="R798" s="1"/>
      <c r="S798" s="1"/>
      <c r="T798" s="1"/>
      <c r="U798" s="1"/>
      <c r="V798" s="1"/>
      <c r="W798" s="1"/>
      <c r="X798" s="1"/>
      <c r="Y798" s="1"/>
    </row>
    <row r="799">
      <c r="A799" s="17"/>
      <c r="B799" s="23"/>
      <c r="C799" s="1"/>
      <c r="D799" s="1"/>
      <c r="E799" s="1"/>
      <c r="F799" s="1"/>
      <c r="G799" s="1"/>
      <c r="H799" s="1"/>
      <c r="I799" s="1"/>
      <c r="J799" s="1"/>
      <c r="K799" s="1"/>
      <c r="L799" s="1"/>
      <c r="M799" s="1"/>
      <c r="N799" s="1"/>
      <c r="O799" s="1"/>
      <c r="P799" s="1"/>
      <c r="Q799" s="1"/>
      <c r="R799" s="1"/>
      <c r="S799" s="1"/>
      <c r="T799" s="1"/>
      <c r="U799" s="1"/>
      <c r="V799" s="1"/>
      <c r="W799" s="1"/>
      <c r="X799" s="1"/>
      <c r="Y799" s="1"/>
    </row>
    <row r="800">
      <c r="A800" s="17"/>
      <c r="B800" s="23"/>
      <c r="C800" s="1"/>
      <c r="D800" s="1"/>
      <c r="E800" s="1"/>
      <c r="F800" s="1"/>
      <c r="G800" s="1"/>
      <c r="H800" s="1"/>
      <c r="I800" s="1"/>
      <c r="J800" s="1"/>
      <c r="K800" s="1"/>
      <c r="L800" s="1"/>
      <c r="M800" s="1"/>
      <c r="N800" s="1"/>
      <c r="O800" s="1"/>
      <c r="P800" s="1"/>
      <c r="Q800" s="1"/>
      <c r="R800" s="1"/>
      <c r="S800" s="1"/>
      <c r="T800" s="1"/>
      <c r="U800" s="1"/>
      <c r="V800" s="1"/>
      <c r="W800" s="1"/>
      <c r="X800" s="1"/>
      <c r="Y800" s="1"/>
    </row>
    <row r="801">
      <c r="A801" s="17"/>
      <c r="B801" s="23"/>
      <c r="C801" s="1"/>
      <c r="D801" s="1"/>
      <c r="E801" s="1"/>
      <c r="F801" s="1"/>
      <c r="G801" s="1"/>
      <c r="H801" s="1"/>
      <c r="I801" s="1"/>
      <c r="J801" s="1"/>
      <c r="K801" s="1"/>
      <c r="L801" s="1"/>
      <c r="M801" s="1"/>
      <c r="N801" s="1"/>
      <c r="O801" s="1"/>
      <c r="P801" s="1"/>
      <c r="Q801" s="1"/>
      <c r="R801" s="1"/>
      <c r="S801" s="1"/>
      <c r="T801" s="1"/>
      <c r="U801" s="1"/>
      <c r="V801" s="1"/>
      <c r="W801" s="1"/>
      <c r="X801" s="1"/>
      <c r="Y801" s="1"/>
    </row>
    <row r="802">
      <c r="A802" s="17"/>
      <c r="B802" s="23"/>
      <c r="C802" s="1"/>
      <c r="D802" s="1"/>
      <c r="E802" s="1"/>
      <c r="F802" s="1"/>
      <c r="G802" s="1"/>
      <c r="H802" s="1"/>
      <c r="I802" s="1"/>
      <c r="J802" s="1"/>
      <c r="K802" s="1"/>
      <c r="L802" s="1"/>
      <c r="M802" s="1"/>
      <c r="N802" s="1"/>
      <c r="O802" s="1"/>
      <c r="P802" s="1"/>
      <c r="Q802" s="1"/>
      <c r="R802" s="1"/>
      <c r="S802" s="1"/>
      <c r="T802" s="1"/>
      <c r="U802" s="1"/>
      <c r="V802" s="1"/>
      <c r="W802" s="1"/>
      <c r="X802" s="1"/>
      <c r="Y802" s="1"/>
    </row>
    <row r="803">
      <c r="A803" s="17"/>
      <c r="B803" s="23"/>
      <c r="C803" s="1"/>
      <c r="D803" s="1"/>
      <c r="E803" s="1"/>
      <c r="F803" s="1"/>
      <c r="G803" s="1"/>
      <c r="H803" s="1"/>
      <c r="I803" s="1"/>
      <c r="J803" s="1"/>
      <c r="K803" s="1"/>
      <c r="L803" s="1"/>
      <c r="M803" s="1"/>
      <c r="N803" s="1"/>
      <c r="O803" s="1"/>
      <c r="P803" s="1"/>
      <c r="Q803" s="1"/>
      <c r="R803" s="1"/>
      <c r="S803" s="1"/>
      <c r="T803" s="1"/>
      <c r="U803" s="1"/>
      <c r="V803" s="1"/>
      <c r="W803" s="1"/>
      <c r="X803" s="1"/>
      <c r="Y803" s="1"/>
    </row>
    <row r="804">
      <c r="A804" s="17"/>
      <c r="B804" s="23"/>
      <c r="C804" s="1"/>
      <c r="D804" s="1"/>
      <c r="E804" s="1"/>
      <c r="F804" s="1"/>
      <c r="G804" s="1"/>
      <c r="H804" s="1"/>
      <c r="I804" s="1"/>
      <c r="J804" s="1"/>
      <c r="K804" s="1"/>
      <c r="L804" s="1"/>
      <c r="M804" s="1"/>
      <c r="N804" s="1"/>
      <c r="O804" s="1"/>
      <c r="P804" s="1"/>
      <c r="Q804" s="1"/>
      <c r="R804" s="1"/>
      <c r="S804" s="1"/>
      <c r="T804" s="1"/>
      <c r="U804" s="1"/>
      <c r="V804" s="1"/>
      <c r="W804" s="1"/>
      <c r="X804" s="1"/>
      <c r="Y804" s="1"/>
    </row>
    <row r="805">
      <c r="A805" s="17"/>
      <c r="B805" s="23"/>
      <c r="C805" s="1"/>
      <c r="D805" s="1"/>
      <c r="E805" s="1"/>
      <c r="F805" s="1"/>
      <c r="G805" s="1"/>
      <c r="H805" s="1"/>
      <c r="I805" s="1"/>
      <c r="J805" s="1"/>
      <c r="K805" s="1"/>
      <c r="L805" s="1"/>
      <c r="M805" s="1"/>
      <c r="N805" s="1"/>
      <c r="O805" s="1"/>
      <c r="P805" s="1"/>
      <c r="Q805" s="1"/>
      <c r="R805" s="1"/>
      <c r="S805" s="1"/>
      <c r="T805" s="1"/>
      <c r="U805" s="1"/>
      <c r="V805" s="1"/>
      <c r="W805" s="1"/>
      <c r="X805" s="1"/>
      <c r="Y805" s="1"/>
    </row>
    <row r="806">
      <c r="A806" s="17"/>
      <c r="B806" s="23"/>
      <c r="C806" s="1"/>
      <c r="D806" s="1"/>
      <c r="E806" s="1"/>
      <c r="F806" s="1"/>
      <c r="G806" s="1"/>
      <c r="H806" s="1"/>
      <c r="I806" s="1"/>
      <c r="J806" s="1"/>
      <c r="K806" s="1"/>
      <c r="L806" s="1"/>
      <c r="M806" s="1"/>
      <c r="N806" s="1"/>
      <c r="O806" s="1"/>
      <c r="P806" s="1"/>
      <c r="Q806" s="1"/>
      <c r="R806" s="1"/>
      <c r="S806" s="1"/>
      <c r="T806" s="1"/>
      <c r="U806" s="1"/>
      <c r="V806" s="1"/>
      <c r="W806" s="1"/>
      <c r="X806" s="1"/>
      <c r="Y806" s="1"/>
    </row>
    <row r="807">
      <c r="A807" s="17"/>
      <c r="B807" s="23"/>
      <c r="C807" s="1"/>
      <c r="D807" s="1"/>
      <c r="E807" s="1"/>
      <c r="F807" s="1"/>
      <c r="G807" s="1"/>
      <c r="H807" s="1"/>
      <c r="I807" s="1"/>
      <c r="J807" s="1"/>
      <c r="K807" s="1"/>
      <c r="L807" s="1"/>
      <c r="M807" s="1"/>
      <c r="N807" s="1"/>
      <c r="O807" s="1"/>
      <c r="P807" s="1"/>
      <c r="Q807" s="1"/>
      <c r="R807" s="1"/>
      <c r="S807" s="1"/>
      <c r="T807" s="1"/>
      <c r="U807" s="1"/>
      <c r="V807" s="1"/>
      <c r="W807" s="1"/>
      <c r="X807" s="1"/>
      <c r="Y807" s="1"/>
    </row>
    <row r="808">
      <c r="A808" s="17"/>
      <c r="B808" s="23"/>
      <c r="C808" s="1"/>
      <c r="D808" s="1"/>
      <c r="E808" s="1"/>
      <c r="F808" s="1"/>
      <c r="G808" s="1"/>
      <c r="H808" s="1"/>
      <c r="I808" s="1"/>
      <c r="J808" s="1"/>
      <c r="K808" s="1"/>
      <c r="L808" s="1"/>
      <c r="M808" s="1"/>
      <c r="N808" s="1"/>
      <c r="O808" s="1"/>
      <c r="P808" s="1"/>
      <c r="Q808" s="1"/>
      <c r="R808" s="1"/>
      <c r="S808" s="1"/>
      <c r="T808" s="1"/>
      <c r="U808" s="1"/>
      <c r="V808" s="1"/>
      <c r="W808" s="1"/>
      <c r="X808" s="1"/>
      <c r="Y808" s="1"/>
    </row>
    <row r="809">
      <c r="A809" s="17"/>
      <c r="B809" s="23"/>
      <c r="C809" s="1"/>
      <c r="D809" s="1"/>
      <c r="E809" s="1"/>
      <c r="F809" s="1"/>
      <c r="G809" s="1"/>
      <c r="H809" s="1"/>
      <c r="I809" s="1"/>
      <c r="J809" s="1"/>
      <c r="K809" s="1"/>
      <c r="L809" s="1"/>
      <c r="M809" s="1"/>
      <c r="N809" s="1"/>
      <c r="O809" s="1"/>
      <c r="P809" s="1"/>
      <c r="Q809" s="1"/>
      <c r="R809" s="1"/>
      <c r="S809" s="1"/>
      <c r="T809" s="1"/>
      <c r="U809" s="1"/>
      <c r="V809" s="1"/>
      <c r="W809" s="1"/>
      <c r="X809" s="1"/>
      <c r="Y809" s="1"/>
    </row>
    <row r="810">
      <c r="A810" s="17"/>
      <c r="B810" s="23"/>
      <c r="C810" s="1"/>
      <c r="D810" s="1"/>
      <c r="E810" s="1"/>
      <c r="F810" s="1"/>
      <c r="G810" s="1"/>
      <c r="H810" s="1"/>
      <c r="I810" s="1"/>
      <c r="J810" s="1"/>
      <c r="K810" s="1"/>
      <c r="L810" s="1"/>
      <c r="M810" s="1"/>
      <c r="N810" s="1"/>
      <c r="O810" s="1"/>
      <c r="P810" s="1"/>
      <c r="Q810" s="1"/>
      <c r="R810" s="1"/>
      <c r="S810" s="1"/>
      <c r="T810" s="1"/>
      <c r="U810" s="1"/>
      <c r="V810" s="1"/>
      <c r="W810" s="1"/>
      <c r="X810" s="1"/>
      <c r="Y810" s="1"/>
    </row>
    <row r="811">
      <c r="A811" s="17"/>
      <c r="B811" s="23"/>
      <c r="C811" s="1"/>
      <c r="D811" s="1"/>
      <c r="E811" s="1"/>
      <c r="F811" s="1"/>
      <c r="G811" s="1"/>
      <c r="H811" s="1"/>
      <c r="I811" s="1"/>
      <c r="J811" s="1"/>
      <c r="K811" s="1"/>
      <c r="L811" s="1"/>
      <c r="M811" s="1"/>
      <c r="N811" s="1"/>
      <c r="O811" s="1"/>
      <c r="P811" s="1"/>
      <c r="Q811" s="1"/>
      <c r="R811" s="1"/>
      <c r="S811" s="1"/>
      <c r="T811" s="1"/>
      <c r="U811" s="1"/>
      <c r="V811" s="1"/>
      <c r="W811" s="1"/>
      <c r="X811" s="1"/>
      <c r="Y811" s="1"/>
    </row>
    <row r="812">
      <c r="A812" s="17"/>
      <c r="B812" s="23"/>
      <c r="C812" s="1"/>
      <c r="D812" s="1"/>
      <c r="E812" s="1"/>
      <c r="F812" s="1"/>
      <c r="G812" s="1"/>
      <c r="H812" s="1"/>
      <c r="I812" s="1"/>
      <c r="J812" s="1"/>
      <c r="K812" s="1"/>
      <c r="L812" s="1"/>
      <c r="M812" s="1"/>
      <c r="N812" s="1"/>
      <c r="O812" s="1"/>
      <c r="P812" s="1"/>
      <c r="Q812" s="1"/>
      <c r="R812" s="1"/>
      <c r="S812" s="1"/>
      <c r="T812" s="1"/>
      <c r="U812" s="1"/>
      <c r="V812" s="1"/>
      <c r="W812" s="1"/>
      <c r="X812" s="1"/>
      <c r="Y812" s="1"/>
    </row>
    <row r="813">
      <c r="A813" s="17"/>
      <c r="B813" s="23"/>
      <c r="C813" s="1"/>
      <c r="D813" s="1"/>
      <c r="E813" s="1"/>
      <c r="F813" s="1"/>
      <c r="G813" s="1"/>
      <c r="H813" s="1"/>
      <c r="I813" s="1"/>
      <c r="J813" s="1"/>
      <c r="K813" s="1"/>
      <c r="L813" s="1"/>
      <c r="M813" s="1"/>
      <c r="N813" s="1"/>
      <c r="O813" s="1"/>
      <c r="P813" s="1"/>
      <c r="Q813" s="1"/>
      <c r="R813" s="1"/>
      <c r="S813" s="1"/>
      <c r="T813" s="1"/>
      <c r="U813" s="1"/>
      <c r="V813" s="1"/>
      <c r="W813" s="1"/>
      <c r="X813" s="1"/>
      <c r="Y813" s="1"/>
    </row>
    <row r="814">
      <c r="A814" s="17"/>
      <c r="B814" s="23"/>
      <c r="C814" s="1"/>
      <c r="D814" s="1"/>
      <c r="E814" s="1"/>
      <c r="F814" s="1"/>
      <c r="G814" s="1"/>
      <c r="H814" s="1"/>
      <c r="I814" s="1"/>
      <c r="J814" s="1"/>
      <c r="K814" s="1"/>
      <c r="L814" s="1"/>
      <c r="M814" s="1"/>
      <c r="N814" s="1"/>
      <c r="O814" s="1"/>
      <c r="P814" s="1"/>
      <c r="Q814" s="1"/>
      <c r="R814" s="1"/>
      <c r="S814" s="1"/>
      <c r="T814" s="1"/>
      <c r="U814" s="1"/>
      <c r="V814" s="1"/>
      <c r="W814" s="1"/>
      <c r="X814" s="1"/>
      <c r="Y814" s="1"/>
    </row>
    <row r="815">
      <c r="A815" s="17"/>
      <c r="B815" s="23"/>
      <c r="C815" s="1"/>
      <c r="D815" s="1"/>
      <c r="E815" s="1"/>
      <c r="F815" s="1"/>
      <c r="G815" s="1"/>
      <c r="H815" s="1"/>
      <c r="I815" s="1"/>
      <c r="J815" s="1"/>
      <c r="K815" s="1"/>
      <c r="L815" s="1"/>
      <c r="M815" s="1"/>
      <c r="N815" s="1"/>
      <c r="O815" s="1"/>
      <c r="P815" s="1"/>
      <c r="Q815" s="1"/>
      <c r="R815" s="1"/>
      <c r="S815" s="1"/>
      <c r="T815" s="1"/>
      <c r="U815" s="1"/>
      <c r="V815" s="1"/>
      <c r="W815" s="1"/>
      <c r="X815" s="1"/>
      <c r="Y815" s="1"/>
    </row>
    <row r="816">
      <c r="A816" s="17"/>
      <c r="B816" s="23"/>
      <c r="C816" s="1"/>
      <c r="D816" s="1"/>
      <c r="E816" s="1"/>
      <c r="F816" s="1"/>
      <c r="G816" s="1"/>
      <c r="H816" s="1"/>
      <c r="I816" s="1"/>
      <c r="J816" s="1"/>
      <c r="K816" s="1"/>
      <c r="L816" s="1"/>
      <c r="M816" s="1"/>
      <c r="N816" s="1"/>
      <c r="O816" s="1"/>
      <c r="P816" s="1"/>
      <c r="Q816" s="1"/>
      <c r="R816" s="1"/>
      <c r="S816" s="1"/>
      <c r="T816" s="1"/>
      <c r="U816" s="1"/>
      <c r="V816" s="1"/>
      <c r="W816" s="1"/>
      <c r="X816" s="1"/>
      <c r="Y816" s="1"/>
    </row>
    <row r="817">
      <c r="A817" s="17"/>
      <c r="B817" s="23"/>
      <c r="C817" s="1"/>
      <c r="D817" s="1"/>
      <c r="E817" s="1"/>
      <c r="F817" s="1"/>
      <c r="G817" s="1"/>
      <c r="H817" s="1"/>
      <c r="I817" s="1"/>
      <c r="J817" s="1"/>
      <c r="K817" s="1"/>
      <c r="L817" s="1"/>
      <c r="M817" s="1"/>
      <c r="N817" s="1"/>
      <c r="O817" s="1"/>
      <c r="P817" s="1"/>
      <c r="Q817" s="1"/>
      <c r="R817" s="1"/>
      <c r="S817" s="1"/>
      <c r="T817" s="1"/>
      <c r="U817" s="1"/>
      <c r="V817" s="1"/>
      <c r="W817" s="1"/>
      <c r="X817" s="1"/>
      <c r="Y817" s="1"/>
    </row>
    <row r="818">
      <c r="A818" s="17"/>
      <c r="B818" s="23"/>
      <c r="C818" s="1"/>
      <c r="D818" s="1"/>
      <c r="E818" s="1"/>
      <c r="F818" s="1"/>
      <c r="G818" s="1"/>
      <c r="H818" s="1"/>
      <c r="I818" s="1"/>
      <c r="J818" s="1"/>
      <c r="K818" s="1"/>
      <c r="L818" s="1"/>
      <c r="M818" s="1"/>
      <c r="N818" s="1"/>
      <c r="O818" s="1"/>
      <c r="P818" s="1"/>
      <c r="Q818" s="1"/>
      <c r="R818" s="1"/>
      <c r="S818" s="1"/>
      <c r="T818" s="1"/>
      <c r="U818" s="1"/>
      <c r="V818" s="1"/>
      <c r="W818" s="1"/>
      <c r="X818" s="1"/>
      <c r="Y818" s="1"/>
    </row>
    <row r="819">
      <c r="A819" s="17"/>
      <c r="B819" s="23"/>
      <c r="C819" s="1"/>
      <c r="D819" s="1"/>
      <c r="E819" s="1"/>
      <c r="F819" s="1"/>
      <c r="G819" s="1"/>
      <c r="H819" s="1"/>
      <c r="I819" s="1"/>
      <c r="J819" s="1"/>
      <c r="K819" s="1"/>
      <c r="L819" s="1"/>
      <c r="M819" s="1"/>
      <c r="N819" s="1"/>
      <c r="O819" s="1"/>
      <c r="P819" s="1"/>
      <c r="Q819" s="1"/>
      <c r="R819" s="1"/>
      <c r="S819" s="1"/>
      <c r="T819" s="1"/>
      <c r="U819" s="1"/>
      <c r="V819" s="1"/>
      <c r="W819" s="1"/>
      <c r="X819" s="1"/>
      <c r="Y819" s="1"/>
    </row>
    <row r="820">
      <c r="A820" s="17"/>
      <c r="B820" s="23"/>
      <c r="C820" s="1"/>
      <c r="D820" s="1"/>
      <c r="E820" s="1"/>
      <c r="F820" s="1"/>
      <c r="G820" s="1"/>
      <c r="H820" s="1"/>
      <c r="I820" s="1"/>
      <c r="J820" s="1"/>
      <c r="K820" s="1"/>
      <c r="L820" s="1"/>
      <c r="M820" s="1"/>
      <c r="N820" s="1"/>
      <c r="O820" s="1"/>
      <c r="P820" s="1"/>
      <c r="Q820" s="1"/>
      <c r="R820" s="1"/>
      <c r="S820" s="1"/>
      <c r="T820" s="1"/>
      <c r="U820" s="1"/>
      <c r="V820" s="1"/>
      <c r="W820" s="1"/>
      <c r="X820" s="1"/>
      <c r="Y820" s="1"/>
    </row>
    <row r="821">
      <c r="A821" s="17"/>
      <c r="B821" s="23"/>
      <c r="C821" s="1"/>
      <c r="D821" s="1"/>
      <c r="E821" s="1"/>
      <c r="F821" s="1"/>
      <c r="G821" s="1"/>
      <c r="H821" s="1"/>
      <c r="I821" s="1"/>
      <c r="J821" s="1"/>
      <c r="K821" s="1"/>
      <c r="L821" s="1"/>
      <c r="M821" s="1"/>
      <c r="N821" s="1"/>
      <c r="O821" s="1"/>
      <c r="P821" s="1"/>
      <c r="Q821" s="1"/>
      <c r="R821" s="1"/>
      <c r="S821" s="1"/>
      <c r="T821" s="1"/>
      <c r="U821" s="1"/>
      <c r="V821" s="1"/>
      <c r="W821" s="1"/>
      <c r="X821" s="1"/>
      <c r="Y821" s="1"/>
    </row>
    <row r="822">
      <c r="A822" s="17"/>
      <c r="B822" s="23"/>
      <c r="C822" s="1"/>
      <c r="D822" s="1"/>
      <c r="E822" s="1"/>
      <c r="F822" s="1"/>
      <c r="G822" s="1"/>
      <c r="H822" s="1"/>
      <c r="I822" s="1"/>
      <c r="J822" s="1"/>
      <c r="K822" s="1"/>
      <c r="L822" s="1"/>
      <c r="M822" s="1"/>
      <c r="N822" s="1"/>
      <c r="O822" s="1"/>
      <c r="P822" s="1"/>
      <c r="Q822" s="1"/>
      <c r="R822" s="1"/>
      <c r="S822" s="1"/>
      <c r="T822" s="1"/>
      <c r="U822" s="1"/>
      <c r="V822" s="1"/>
      <c r="W822" s="1"/>
      <c r="X822" s="1"/>
      <c r="Y822" s="1"/>
    </row>
    <row r="823">
      <c r="A823" s="17"/>
      <c r="B823" s="23"/>
      <c r="C823" s="1"/>
      <c r="D823" s="1"/>
      <c r="E823" s="1"/>
      <c r="F823" s="1"/>
      <c r="G823" s="1"/>
      <c r="H823" s="1"/>
      <c r="I823" s="1"/>
      <c r="J823" s="1"/>
      <c r="K823" s="1"/>
      <c r="L823" s="1"/>
      <c r="M823" s="1"/>
      <c r="N823" s="1"/>
      <c r="O823" s="1"/>
      <c r="P823" s="1"/>
      <c r="Q823" s="1"/>
      <c r="R823" s="1"/>
      <c r="S823" s="1"/>
      <c r="T823" s="1"/>
      <c r="U823" s="1"/>
      <c r="V823" s="1"/>
      <c r="W823" s="1"/>
      <c r="X823" s="1"/>
      <c r="Y823" s="1"/>
    </row>
    <row r="824">
      <c r="A824" s="17"/>
      <c r="B824" s="23"/>
      <c r="C824" s="1"/>
      <c r="D824" s="1"/>
      <c r="E824" s="1"/>
      <c r="F824" s="1"/>
      <c r="G824" s="1"/>
      <c r="H824" s="1"/>
      <c r="I824" s="1"/>
      <c r="J824" s="1"/>
      <c r="K824" s="1"/>
      <c r="L824" s="1"/>
      <c r="M824" s="1"/>
      <c r="N824" s="1"/>
      <c r="O824" s="1"/>
      <c r="P824" s="1"/>
      <c r="Q824" s="1"/>
      <c r="R824" s="1"/>
      <c r="S824" s="1"/>
      <c r="T824" s="1"/>
      <c r="U824" s="1"/>
      <c r="V824" s="1"/>
      <c r="W824" s="1"/>
      <c r="X824" s="1"/>
      <c r="Y824" s="1"/>
    </row>
    <row r="825">
      <c r="A825" s="17"/>
      <c r="B825" s="23"/>
      <c r="C825" s="1"/>
      <c r="D825" s="1"/>
      <c r="E825" s="1"/>
      <c r="F825" s="1"/>
      <c r="G825" s="1"/>
      <c r="H825" s="1"/>
      <c r="I825" s="1"/>
      <c r="J825" s="1"/>
      <c r="K825" s="1"/>
      <c r="L825" s="1"/>
      <c r="M825" s="1"/>
      <c r="N825" s="1"/>
      <c r="O825" s="1"/>
      <c r="P825" s="1"/>
      <c r="Q825" s="1"/>
      <c r="R825" s="1"/>
      <c r="S825" s="1"/>
      <c r="T825" s="1"/>
      <c r="U825" s="1"/>
      <c r="V825" s="1"/>
      <c r="W825" s="1"/>
      <c r="X825" s="1"/>
      <c r="Y825" s="1"/>
    </row>
    <row r="826">
      <c r="A826" s="17"/>
      <c r="B826" s="23"/>
      <c r="C826" s="1"/>
      <c r="D826" s="1"/>
      <c r="E826" s="1"/>
      <c r="F826" s="1"/>
      <c r="G826" s="1"/>
      <c r="H826" s="1"/>
      <c r="I826" s="1"/>
      <c r="J826" s="1"/>
      <c r="K826" s="1"/>
      <c r="L826" s="1"/>
      <c r="M826" s="1"/>
      <c r="N826" s="1"/>
      <c r="O826" s="1"/>
      <c r="P826" s="1"/>
      <c r="Q826" s="1"/>
      <c r="R826" s="1"/>
      <c r="S826" s="1"/>
      <c r="T826" s="1"/>
      <c r="U826" s="1"/>
      <c r="V826" s="1"/>
      <c r="W826" s="1"/>
      <c r="X826" s="1"/>
      <c r="Y826" s="1"/>
    </row>
    <row r="827">
      <c r="A827" s="17"/>
      <c r="B827" s="23"/>
      <c r="C827" s="1"/>
      <c r="D827" s="1"/>
      <c r="E827" s="1"/>
      <c r="F827" s="1"/>
      <c r="G827" s="1"/>
      <c r="H827" s="1"/>
      <c r="I827" s="1"/>
      <c r="J827" s="1"/>
      <c r="K827" s="1"/>
      <c r="L827" s="1"/>
      <c r="M827" s="1"/>
      <c r="N827" s="1"/>
      <c r="O827" s="1"/>
      <c r="P827" s="1"/>
      <c r="Q827" s="1"/>
      <c r="R827" s="1"/>
      <c r="S827" s="1"/>
      <c r="T827" s="1"/>
      <c r="U827" s="1"/>
      <c r="V827" s="1"/>
      <c r="W827" s="1"/>
      <c r="X827" s="1"/>
      <c r="Y827" s="1"/>
    </row>
    <row r="828">
      <c r="A828" s="17"/>
      <c r="B828" s="23"/>
      <c r="C828" s="1"/>
      <c r="D828" s="1"/>
      <c r="E828" s="1"/>
      <c r="F828" s="1"/>
      <c r="G828" s="1"/>
      <c r="H828" s="1"/>
      <c r="I828" s="1"/>
      <c r="J828" s="1"/>
      <c r="K828" s="1"/>
      <c r="L828" s="1"/>
      <c r="M828" s="1"/>
      <c r="N828" s="1"/>
      <c r="O828" s="1"/>
      <c r="P828" s="1"/>
      <c r="Q828" s="1"/>
      <c r="R828" s="1"/>
      <c r="S828" s="1"/>
      <c r="T828" s="1"/>
      <c r="U828" s="1"/>
      <c r="V828" s="1"/>
      <c r="W828" s="1"/>
      <c r="X828" s="1"/>
      <c r="Y828" s="1"/>
    </row>
    <row r="829">
      <c r="A829" s="17"/>
      <c r="B829" s="23"/>
      <c r="C829" s="1"/>
      <c r="D829" s="1"/>
      <c r="E829" s="1"/>
      <c r="F829" s="1"/>
      <c r="G829" s="1"/>
      <c r="H829" s="1"/>
      <c r="I829" s="1"/>
      <c r="J829" s="1"/>
      <c r="K829" s="1"/>
      <c r="L829" s="1"/>
      <c r="M829" s="1"/>
      <c r="N829" s="1"/>
      <c r="O829" s="1"/>
      <c r="P829" s="1"/>
      <c r="Q829" s="1"/>
      <c r="R829" s="1"/>
      <c r="S829" s="1"/>
      <c r="T829" s="1"/>
      <c r="U829" s="1"/>
      <c r="V829" s="1"/>
      <c r="W829" s="1"/>
      <c r="X829" s="1"/>
      <c r="Y829" s="1"/>
    </row>
    <row r="830">
      <c r="A830" s="17"/>
      <c r="B830" s="23"/>
      <c r="C830" s="1"/>
      <c r="D830" s="1"/>
      <c r="E830" s="1"/>
      <c r="F830" s="1"/>
      <c r="G830" s="1"/>
      <c r="H830" s="1"/>
      <c r="I830" s="1"/>
      <c r="J830" s="1"/>
      <c r="K830" s="1"/>
      <c r="L830" s="1"/>
      <c r="M830" s="1"/>
      <c r="N830" s="1"/>
      <c r="O830" s="1"/>
      <c r="P830" s="1"/>
      <c r="Q830" s="1"/>
      <c r="R830" s="1"/>
      <c r="S830" s="1"/>
      <c r="T830" s="1"/>
      <c r="U830" s="1"/>
      <c r="V830" s="1"/>
      <c r="W830" s="1"/>
      <c r="X830" s="1"/>
      <c r="Y830" s="1"/>
    </row>
    <row r="831">
      <c r="A831" s="17"/>
      <c r="B831" s="23"/>
      <c r="C831" s="1"/>
      <c r="D831" s="1"/>
      <c r="E831" s="1"/>
      <c r="F831" s="1"/>
      <c r="G831" s="1"/>
      <c r="H831" s="1"/>
      <c r="I831" s="1"/>
      <c r="J831" s="1"/>
      <c r="K831" s="1"/>
      <c r="L831" s="1"/>
      <c r="M831" s="1"/>
      <c r="N831" s="1"/>
      <c r="O831" s="1"/>
      <c r="P831" s="1"/>
      <c r="Q831" s="1"/>
      <c r="R831" s="1"/>
      <c r="S831" s="1"/>
      <c r="T831" s="1"/>
      <c r="U831" s="1"/>
      <c r="V831" s="1"/>
      <c r="W831" s="1"/>
      <c r="X831" s="1"/>
      <c r="Y831" s="1"/>
    </row>
    <row r="832">
      <c r="A832" s="17"/>
      <c r="B832" s="23"/>
      <c r="C832" s="1"/>
      <c r="D832" s="1"/>
      <c r="E832" s="1"/>
      <c r="F832" s="1"/>
      <c r="G832" s="1"/>
      <c r="H832" s="1"/>
      <c r="I832" s="1"/>
      <c r="J832" s="1"/>
      <c r="K832" s="1"/>
      <c r="L832" s="1"/>
      <c r="M832" s="1"/>
      <c r="N832" s="1"/>
      <c r="O832" s="1"/>
      <c r="P832" s="1"/>
      <c r="Q832" s="1"/>
      <c r="R832" s="1"/>
      <c r="S832" s="1"/>
      <c r="T832" s="1"/>
      <c r="U832" s="1"/>
      <c r="V832" s="1"/>
      <c r="W832" s="1"/>
      <c r="X832" s="1"/>
      <c r="Y832" s="1"/>
    </row>
    <row r="833">
      <c r="A833" s="17"/>
      <c r="B833" s="23"/>
      <c r="C833" s="1"/>
      <c r="D833" s="1"/>
      <c r="E833" s="1"/>
      <c r="F833" s="1"/>
      <c r="G833" s="1"/>
      <c r="H833" s="1"/>
      <c r="I833" s="1"/>
      <c r="J833" s="1"/>
      <c r="K833" s="1"/>
      <c r="L833" s="1"/>
      <c r="M833" s="1"/>
      <c r="N833" s="1"/>
      <c r="O833" s="1"/>
      <c r="P833" s="1"/>
      <c r="Q833" s="1"/>
      <c r="R833" s="1"/>
      <c r="S833" s="1"/>
      <c r="T833" s="1"/>
      <c r="U833" s="1"/>
      <c r="V833" s="1"/>
      <c r="W833" s="1"/>
      <c r="X833" s="1"/>
      <c r="Y833" s="1"/>
    </row>
    <row r="834">
      <c r="A834" s="17"/>
      <c r="B834" s="23"/>
      <c r="C834" s="1"/>
      <c r="D834" s="1"/>
      <c r="E834" s="1"/>
      <c r="F834" s="1"/>
      <c r="G834" s="1"/>
      <c r="H834" s="1"/>
      <c r="I834" s="1"/>
      <c r="J834" s="1"/>
      <c r="K834" s="1"/>
      <c r="L834" s="1"/>
      <c r="M834" s="1"/>
      <c r="N834" s="1"/>
      <c r="O834" s="1"/>
      <c r="P834" s="1"/>
      <c r="Q834" s="1"/>
      <c r="R834" s="1"/>
      <c r="S834" s="1"/>
      <c r="T834" s="1"/>
      <c r="U834" s="1"/>
      <c r="V834" s="1"/>
      <c r="W834" s="1"/>
      <c r="X834" s="1"/>
      <c r="Y834" s="1"/>
    </row>
    <row r="835">
      <c r="A835" s="17"/>
      <c r="B835" s="23"/>
      <c r="C835" s="1"/>
      <c r="D835" s="1"/>
      <c r="E835" s="1"/>
      <c r="F835" s="1"/>
      <c r="G835" s="1"/>
      <c r="H835" s="1"/>
      <c r="I835" s="1"/>
      <c r="J835" s="1"/>
      <c r="K835" s="1"/>
      <c r="L835" s="1"/>
      <c r="M835" s="1"/>
      <c r="N835" s="1"/>
      <c r="O835" s="1"/>
      <c r="P835" s="1"/>
      <c r="Q835" s="1"/>
      <c r="R835" s="1"/>
      <c r="S835" s="1"/>
      <c r="T835" s="1"/>
      <c r="U835" s="1"/>
      <c r="V835" s="1"/>
      <c r="W835" s="1"/>
      <c r="X835" s="1"/>
      <c r="Y835" s="1"/>
    </row>
    <row r="836">
      <c r="A836" s="17"/>
      <c r="B836" s="23"/>
      <c r="C836" s="1"/>
      <c r="D836" s="1"/>
      <c r="E836" s="1"/>
      <c r="F836" s="1"/>
      <c r="G836" s="1"/>
      <c r="H836" s="1"/>
      <c r="I836" s="1"/>
      <c r="J836" s="1"/>
      <c r="K836" s="1"/>
      <c r="L836" s="1"/>
      <c r="M836" s="1"/>
      <c r="N836" s="1"/>
      <c r="O836" s="1"/>
      <c r="P836" s="1"/>
      <c r="Q836" s="1"/>
      <c r="R836" s="1"/>
      <c r="S836" s="1"/>
      <c r="T836" s="1"/>
      <c r="U836" s="1"/>
      <c r="V836" s="1"/>
      <c r="W836" s="1"/>
      <c r="X836" s="1"/>
      <c r="Y836" s="1"/>
    </row>
    <row r="837">
      <c r="A837" s="17"/>
      <c r="B837" s="23"/>
      <c r="C837" s="1"/>
      <c r="D837" s="1"/>
      <c r="E837" s="1"/>
      <c r="F837" s="1"/>
      <c r="G837" s="1"/>
      <c r="H837" s="1"/>
      <c r="I837" s="1"/>
      <c r="J837" s="1"/>
      <c r="K837" s="1"/>
      <c r="L837" s="1"/>
      <c r="M837" s="1"/>
      <c r="N837" s="1"/>
      <c r="O837" s="1"/>
      <c r="P837" s="1"/>
      <c r="Q837" s="1"/>
      <c r="R837" s="1"/>
      <c r="S837" s="1"/>
      <c r="T837" s="1"/>
      <c r="U837" s="1"/>
      <c r="V837" s="1"/>
      <c r="W837" s="1"/>
      <c r="X837" s="1"/>
      <c r="Y837" s="1"/>
    </row>
    <row r="838">
      <c r="A838" s="17"/>
      <c r="B838" s="23"/>
      <c r="C838" s="1"/>
      <c r="D838" s="1"/>
      <c r="E838" s="1"/>
      <c r="F838" s="1"/>
      <c r="G838" s="1"/>
      <c r="H838" s="1"/>
      <c r="I838" s="1"/>
      <c r="J838" s="1"/>
      <c r="K838" s="1"/>
      <c r="L838" s="1"/>
      <c r="M838" s="1"/>
      <c r="N838" s="1"/>
      <c r="O838" s="1"/>
      <c r="P838" s="1"/>
      <c r="Q838" s="1"/>
      <c r="R838" s="1"/>
      <c r="S838" s="1"/>
      <c r="T838" s="1"/>
      <c r="U838" s="1"/>
      <c r="V838" s="1"/>
      <c r="W838" s="1"/>
      <c r="X838" s="1"/>
      <c r="Y838" s="1"/>
    </row>
    <row r="839">
      <c r="A839" s="17"/>
      <c r="B839" s="23"/>
      <c r="C839" s="1"/>
      <c r="D839" s="1"/>
      <c r="E839" s="1"/>
      <c r="F839" s="1"/>
      <c r="G839" s="1"/>
      <c r="H839" s="1"/>
      <c r="I839" s="1"/>
      <c r="J839" s="1"/>
      <c r="K839" s="1"/>
      <c r="L839" s="1"/>
      <c r="M839" s="1"/>
      <c r="N839" s="1"/>
      <c r="O839" s="1"/>
      <c r="P839" s="1"/>
      <c r="Q839" s="1"/>
      <c r="R839" s="1"/>
      <c r="S839" s="1"/>
      <c r="T839" s="1"/>
      <c r="U839" s="1"/>
      <c r="V839" s="1"/>
      <c r="W839" s="1"/>
      <c r="X839" s="1"/>
      <c r="Y839" s="1"/>
    </row>
    <row r="840">
      <c r="A840" s="17"/>
      <c r="B840" s="23"/>
      <c r="C840" s="1"/>
      <c r="D840" s="1"/>
      <c r="E840" s="1"/>
      <c r="F840" s="1"/>
      <c r="G840" s="1"/>
      <c r="H840" s="1"/>
      <c r="I840" s="1"/>
      <c r="J840" s="1"/>
      <c r="K840" s="1"/>
      <c r="L840" s="1"/>
      <c r="M840" s="1"/>
      <c r="N840" s="1"/>
      <c r="O840" s="1"/>
      <c r="P840" s="1"/>
      <c r="Q840" s="1"/>
      <c r="R840" s="1"/>
      <c r="S840" s="1"/>
      <c r="T840" s="1"/>
      <c r="U840" s="1"/>
      <c r="V840" s="1"/>
      <c r="W840" s="1"/>
      <c r="X840" s="1"/>
      <c r="Y840" s="1"/>
    </row>
    <row r="841">
      <c r="A841" s="17"/>
      <c r="B841" s="23"/>
      <c r="C841" s="1"/>
      <c r="D841" s="1"/>
      <c r="E841" s="1"/>
      <c r="F841" s="1"/>
      <c r="G841" s="1"/>
      <c r="H841" s="1"/>
      <c r="I841" s="1"/>
      <c r="J841" s="1"/>
      <c r="K841" s="1"/>
      <c r="L841" s="1"/>
      <c r="M841" s="1"/>
      <c r="N841" s="1"/>
      <c r="O841" s="1"/>
      <c r="P841" s="1"/>
      <c r="Q841" s="1"/>
      <c r="R841" s="1"/>
      <c r="S841" s="1"/>
      <c r="T841" s="1"/>
      <c r="U841" s="1"/>
      <c r="V841" s="1"/>
      <c r="W841" s="1"/>
      <c r="X841" s="1"/>
      <c r="Y841" s="1"/>
    </row>
    <row r="842">
      <c r="A842" s="17"/>
      <c r="B842" s="23"/>
      <c r="C842" s="1"/>
      <c r="D842" s="1"/>
      <c r="E842" s="1"/>
      <c r="F842" s="1"/>
      <c r="G842" s="1"/>
      <c r="H842" s="1"/>
      <c r="I842" s="1"/>
      <c r="J842" s="1"/>
      <c r="K842" s="1"/>
      <c r="L842" s="1"/>
      <c r="M842" s="1"/>
      <c r="N842" s="1"/>
      <c r="O842" s="1"/>
      <c r="P842" s="1"/>
      <c r="Q842" s="1"/>
      <c r="R842" s="1"/>
      <c r="S842" s="1"/>
      <c r="T842" s="1"/>
      <c r="U842" s="1"/>
      <c r="V842" s="1"/>
      <c r="W842" s="1"/>
      <c r="X842" s="1"/>
      <c r="Y842" s="1"/>
    </row>
    <row r="843">
      <c r="A843" s="17"/>
      <c r="B843" s="23"/>
      <c r="C843" s="1"/>
      <c r="D843" s="1"/>
      <c r="E843" s="1"/>
      <c r="F843" s="1"/>
      <c r="G843" s="1"/>
      <c r="H843" s="1"/>
      <c r="I843" s="1"/>
      <c r="J843" s="1"/>
      <c r="K843" s="1"/>
      <c r="L843" s="1"/>
      <c r="M843" s="1"/>
      <c r="N843" s="1"/>
      <c r="O843" s="1"/>
      <c r="P843" s="1"/>
      <c r="Q843" s="1"/>
      <c r="R843" s="1"/>
      <c r="S843" s="1"/>
      <c r="T843" s="1"/>
      <c r="U843" s="1"/>
      <c r="V843" s="1"/>
      <c r="W843" s="1"/>
      <c r="X843" s="1"/>
      <c r="Y843" s="1"/>
    </row>
    <row r="844">
      <c r="A844" s="17"/>
      <c r="B844" s="23"/>
      <c r="C844" s="1"/>
      <c r="D844" s="1"/>
      <c r="E844" s="1"/>
      <c r="F844" s="1"/>
      <c r="G844" s="1"/>
      <c r="H844" s="1"/>
      <c r="I844" s="1"/>
      <c r="J844" s="1"/>
      <c r="K844" s="1"/>
      <c r="L844" s="1"/>
      <c r="M844" s="1"/>
      <c r="N844" s="1"/>
      <c r="O844" s="1"/>
      <c r="P844" s="1"/>
      <c r="Q844" s="1"/>
      <c r="R844" s="1"/>
      <c r="S844" s="1"/>
      <c r="T844" s="1"/>
      <c r="U844" s="1"/>
      <c r="V844" s="1"/>
      <c r="W844" s="1"/>
      <c r="X844" s="1"/>
      <c r="Y844" s="1"/>
    </row>
    <row r="845">
      <c r="A845" s="17"/>
      <c r="B845" s="23"/>
      <c r="C845" s="1"/>
      <c r="D845" s="1"/>
      <c r="E845" s="1"/>
      <c r="F845" s="1"/>
      <c r="G845" s="1"/>
      <c r="H845" s="1"/>
      <c r="I845" s="1"/>
      <c r="J845" s="1"/>
      <c r="K845" s="1"/>
      <c r="L845" s="1"/>
      <c r="M845" s="1"/>
      <c r="N845" s="1"/>
      <c r="O845" s="1"/>
      <c r="P845" s="1"/>
      <c r="Q845" s="1"/>
      <c r="R845" s="1"/>
      <c r="S845" s="1"/>
      <c r="T845" s="1"/>
      <c r="U845" s="1"/>
      <c r="V845" s="1"/>
      <c r="W845" s="1"/>
      <c r="X845" s="1"/>
      <c r="Y845" s="1"/>
    </row>
    <row r="846">
      <c r="A846" s="17"/>
      <c r="B846" s="23"/>
      <c r="C846" s="1"/>
      <c r="D846" s="1"/>
      <c r="E846" s="1"/>
      <c r="F846" s="1"/>
      <c r="G846" s="1"/>
      <c r="H846" s="1"/>
      <c r="I846" s="1"/>
      <c r="J846" s="1"/>
      <c r="K846" s="1"/>
      <c r="L846" s="1"/>
      <c r="M846" s="1"/>
      <c r="N846" s="1"/>
      <c r="O846" s="1"/>
      <c r="P846" s="1"/>
      <c r="Q846" s="1"/>
      <c r="R846" s="1"/>
      <c r="S846" s="1"/>
      <c r="T846" s="1"/>
      <c r="U846" s="1"/>
      <c r="V846" s="1"/>
      <c r="W846" s="1"/>
      <c r="X846" s="1"/>
      <c r="Y846" s="1"/>
    </row>
    <row r="847">
      <c r="A847" s="17"/>
      <c r="B847" s="23"/>
      <c r="C847" s="1"/>
      <c r="D847" s="1"/>
      <c r="E847" s="1"/>
      <c r="F847" s="1"/>
      <c r="G847" s="1"/>
      <c r="H847" s="1"/>
      <c r="I847" s="1"/>
      <c r="J847" s="1"/>
      <c r="K847" s="1"/>
      <c r="L847" s="1"/>
      <c r="M847" s="1"/>
      <c r="N847" s="1"/>
      <c r="O847" s="1"/>
      <c r="P847" s="1"/>
      <c r="Q847" s="1"/>
      <c r="R847" s="1"/>
      <c r="S847" s="1"/>
      <c r="T847" s="1"/>
      <c r="U847" s="1"/>
      <c r="V847" s="1"/>
      <c r="W847" s="1"/>
      <c r="X847" s="1"/>
      <c r="Y847" s="1"/>
    </row>
    <row r="848">
      <c r="A848" s="17"/>
      <c r="B848" s="23"/>
      <c r="C848" s="1"/>
      <c r="D848" s="1"/>
      <c r="E848" s="1"/>
      <c r="F848" s="1"/>
      <c r="G848" s="1"/>
      <c r="H848" s="1"/>
      <c r="I848" s="1"/>
      <c r="J848" s="1"/>
      <c r="K848" s="1"/>
      <c r="L848" s="1"/>
      <c r="M848" s="1"/>
      <c r="N848" s="1"/>
      <c r="O848" s="1"/>
      <c r="P848" s="1"/>
      <c r="Q848" s="1"/>
      <c r="R848" s="1"/>
      <c r="S848" s="1"/>
      <c r="T848" s="1"/>
      <c r="U848" s="1"/>
      <c r="V848" s="1"/>
      <c r="W848" s="1"/>
      <c r="X848" s="1"/>
      <c r="Y848" s="1"/>
    </row>
    <row r="849">
      <c r="A849" s="17"/>
      <c r="B849" s="23"/>
      <c r="C849" s="1"/>
      <c r="D849" s="1"/>
      <c r="E849" s="1"/>
      <c r="F849" s="1"/>
      <c r="G849" s="1"/>
      <c r="H849" s="1"/>
      <c r="I849" s="1"/>
      <c r="J849" s="1"/>
      <c r="K849" s="1"/>
      <c r="L849" s="1"/>
      <c r="M849" s="1"/>
      <c r="N849" s="1"/>
      <c r="O849" s="1"/>
      <c r="P849" s="1"/>
      <c r="Q849" s="1"/>
      <c r="R849" s="1"/>
      <c r="S849" s="1"/>
      <c r="T849" s="1"/>
      <c r="U849" s="1"/>
      <c r="V849" s="1"/>
      <c r="W849" s="1"/>
      <c r="X849" s="1"/>
      <c r="Y849" s="1"/>
    </row>
    <row r="850">
      <c r="A850" s="17"/>
      <c r="B850" s="23"/>
      <c r="C850" s="1"/>
      <c r="D850" s="1"/>
      <c r="E850" s="1"/>
      <c r="F850" s="1"/>
      <c r="G850" s="1"/>
      <c r="H850" s="1"/>
      <c r="I850" s="1"/>
      <c r="J850" s="1"/>
      <c r="K850" s="1"/>
      <c r="L850" s="1"/>
      <c r="M850" s="1"/>
      <c r="N850" s="1"/>
      <c r="O850" s="1"/>
      <c r="P850" s="1"/>
      <c r="Q850" s="1"/>
      <c r="R850" s="1"/>
      <c r="S850" s="1"/>
      <c r="T850" s="1"/>
      <c r="U850" s="1"/>
      <c r="V850" s="1"/>
      <c r="W850" s="1"/>
      <c r="X850" s="1"/>
      <c r="Y850" s="1"/>
    </row>
    <row r="851">
      <c r="A851" s="17"/>
      <c r="B851" s="23"/>
      <c r="C851" s="1"/>
      <c r="D851" s="1"/>
      <c r="E851" s="1"/>
      <c r="F851" s="1"/>
      <c r="G851" s="1"/>
      <c r="H851" s="1"/>
      <c r="I851" s="1"/>
      <c r="J851" s="1"/>
      <c r="K851" s="1"/>
      <c r="L851" s="1"/>
      <c r="M851" s="1"/>
      <c r="N851" s="1"/>
      <c r="O851" s="1"/>
      <c r="P851" s="1"/>
      <c r="Q851" s="1"/>
      <c r="R851" s="1"/>
      <c r="S851" s="1"/>
      <c r="T851" s="1"/>
      <c r="U851" s="1"/>
      <c r="V851" s="1"/>
      <c r="W851" s="1"/>
      <c r="X851" s="1"/>
      <c r="Y851" s="1"/>
    </row>
    <row r="852">
      <c r="A852" s="17"/>
      <c r="B852" s="23"/>
      <c r="C852" s="1"/>
      <c r="D852" s="1"/>
      <c r="E852" s="1"/>
      <c r="F852" s="1"/>
      <c r="G852" s="1"/>
      <c r="H852" s="1"/>
      <c r="I852" s="1"/>
      <c r="J852" s="1"/>
      <c r="K852" s="1"/>
      <c r="L852" s="1"/>
      <c r="M852" s="1"/>
      <c r="N852" s="1"/>
      <c r="O852" s="1"/>
      <c r="P852" s="1"/>
      <c r="Q852" s="1"/>
      <c r="R852" s="1"/>
      <c r="S852" s="1"/>
      <c r="T852" s="1"/>
      <c r="U852" s="1"/>
      <c r="V852" s="1"/>
      <c r="W852" s="1"/>
      <c r="X852" s="1"/>
      <c r="Y852" s="1"/>
    </row>
    <row r="853">
      <c r="A853" s="17"/>
      <c r="B853" s="23"/>
      <c r="C853" s="1"/>
      <c r="D853" s="1"/>
      <c r="E853" s="1"/>
      <c r="F853" s="1"/>
      <c r="G853" s="1"/>
      <c r="H853" s="1"/>
      <c r="I853" s="1"/>
      <c r="J853" s="1"/>
      <c r="K853" s="1"/>
      <c r="L853" s="1"/>
      <c r="M853" s="1"/>
      <c r="N853" s="1"/>
      <c r="O853" s="1"/>
      <c r="P853" s="1"/>
      <c r="Q853" s="1"/>
      <c r="R853" s="1"/>
      <c r="S853" s="1"/>
      <c r="T853" s="1"/>
      <c r="U853" s="1"/>
      <c r="V853" s="1"/>
      <c r="W853" s="1"/>
      <c r="X853" s="1"/>
      <c r="Y853" s="1"/>
    </row>
    <row r="854">
      <c r="A854" s="17"/>
      <c r="B854" s="23"/>
      <c r="C854" s="1"/>
      <c r="D854" s="1"/>
      <c r="E854" s="1"/>
      <c r="F854" s="1"/>
      <c r="G854" s="1"/>
      <c r="H854" s="1"/>
      <c r="I854" s="1"/>
      <c r="J854" s="1"/>
      <c r="K854" s="1"/>
      <c r="L854" s="1"/>
      <c r="M854" s="1"/>
      <c r="N854" s="1"/>
      <c r="O854" s="1"/>
      <c r="P854" s="1"/>
      <c r="Q854" s="1"/>
      <c r="R854" s="1"/>
      <c r="S854" s="1"/>
      <c r="T854" s="1"/>
      <c r="U854" s="1"/>
      <c r="V854" s="1"/>
      <c r="W854" s="1"/>
      <c r="X854" s="1"/>
      <c r="Y854" s="1"/>
    </row>
    <row r="855">
      <c r="A855" s="17"/>
      <c r="B855" s="23"/>
      <c r="C855" s="1"/>
      <c r="D855" s="1"/>
      <c r="E855" s="1"/>
      <c r="F855" s="1"/>
      <c r="G855" s="1"/>
      <c r="H855" s="1"/>
      <c r="I855" s="1"/>
      <c r="J855" s="1"/>
      <c r="K855" s="1"/>
      <c r="L855" s="1"/>
      <c r="M855" s="1"/>
      <c r="N855" s="1"/>
      <c r="O855" s="1"/>
      <c r="P855" s="1"/>
      <c r="Q855" s="1"/>
      <c r="R855" s="1"/>
      <c r="S855" s="1"/>
      <c r="T855" s="1"/>
      <c r="U855" s="1"/>
      <c r="V855" s="1"/>
      <c r="W855" s="1"/>
      <c r="X855" s="1"/>
      <c r="Y855" s="1"/>
    </row>
    <row r="856">
      <c r="A856" s="17"/>
      <c r="B856" s="23"/>
      <c r="C856" s="1"/>
      <c r="D856" s="1"/>
      <c r="E856" s="1"/>
      <c r="F856" s="1"/>
      <c r="G856" s="1"/>
      <c r="H856" s="1"/>
      <c r="I856" s="1"/>
      <c r="J856" s="1"/>
      <c r="K856" s="1"/>
      <c r="L856" s="1"/>
      <c r="M856" s="1"/>
      <c r="N856" s="1"/>
      <c r="O856" s="1"/>
      <c r="P856" s="1"/>
      <c r="Q856" s="1"/>
      <c r="R856" s="1"/>
      <c r="S856" s="1"/>
      <c r="T856" s="1"/>
      <c r="U856" s="1"/>
      <c r="V856" s="1"/>
      <c r="W856" s="1"/>
      <c r="X856" s="1"/>
      <c r="Y856" s="1"/>
    </row>
    <row r="857">
      <c r="A857" s="17"/>
      <c r="B857" s="23"/>
      <c r="C857" s="1"/>
      <c r="D857" s="1"/>
      <c r="E857" s="1"/>
      <c r="F857" s="1"/>
      <c r="G857" s="1"/>
      <c r="H857" s="1"/>
      <c r="I857" s="1"/>
      <c r="J857" s="1"/>
      <c r="K857" s="1"/>
      <c r="L857" s="1"/>
      <c r="M857" s="1"/>
      <c r="N857" s="1"/>
      <c r="O857" s="1"/>
      <c r="P857" s="1"/>
      <c r="Q857" s="1"/>
      <c r="R857" s="1"/>
      <c r="S857" s="1"/>
      <c r="T857" s="1"/>
      <c r="U857" s="1"/>
      <c r="V857" s="1"/>
      <c r="W857" s="1"/>
      <c r="X857" s="1"/>
      <c r="Y857" s="1"/>
    </row>
    <row r="858">
      <c r="A858" s="17"/>
      <c r="B858" s="23"/>
      <c r="C858" s="1"/>
      <c r="D858" s="1"/>
      <c r="E858" s="1"/>
      <c r="F858" s="1"/>
      <c r="G858" s="1"/>
      <c r="H858" s="1"/>
      <c r="I858" s="1"/>
      <c r="J858" s="1"/>
      <c r="K858" s="1"/>
      <c r="L858" s="1"/>
      <c r="M858" s="1"/>
      <c r="N858" s="1"/>
      <c r="O858" s="1"/>
      <c r="P858" s="1"/>
      <c r="Q858" s="1"/>
      <c r="R858" s="1"/>
      <c r="S858" s="1"/>
      <c r="T858" s="1"/>
      <c r="U858" s="1"/>
      <c r="V858" s="1"/>
      <c r="W858" s="1"/>
      <c r="X858" s="1"/>
      <c r="Y858" s="1"/>
    </row>
    <row r="859">
      <c r="A859" s="17"/>
      <c r="B859" s="23"/>
      <c r="C859" s="1"/>
      <c r="D859" s="1"/>
      <c r="E859" s="1"/>
      <c r="F859" s="1"/>
      <c r="G859" s="1"/>
      <c r="H859" s="1"/>
      <c r="I859" s="1"/>
      <c r="J859" s="1"/>
      <c r="K859" s="1"/>
      <c r="L859" s="1"/>
      <c r="M859" s="1"/>
      <c r="N859" s="1"/>
      <c r="O859" s="1"/>
      <c r="P859" s="1"/>
      <c r="Q859" s="1"/>
      <c r="R859" s="1"/>
      <c r="S859" s="1"/>
      <c r="T859" s="1"/>
      <c r="U859" s="1"/>
      <c r="V859" s="1"/>
      <c r="W859" s="1"/>
      <c r="X859" s="1"/>
      <c r="Y859" s="1"/>
    </row>
    <row r="860">
      <c r="A860" s="17"/>
      <c r="B860" s="23"/>
      <c r="C860" s="1"/>
      <c r="D860" s="1"/>
      <c r="E860" s="1"/>
      <c r="F860" s="1"/>
      <c r="G860" s="1"/>
      <c r="H860" s="1"/>
      <c r="I860" s="1"/>
      <c r="J860" s="1"/>
      <c r="K860" s="1"/>
      <c r="L860" s="1"/>
      <c r="M860" s="1"/>
      <c r="N860" s="1"/>
      <c r="O860" s="1"/>
      <c r="P860" s="1"/>
      <c r="Q860" s="1"/>
      <c r="R860" s="1"/>
      <c r="S860" s="1"/>
      <c r="T860" s="1"/>
      <c r="U860" s="1"/>
      <c r="V860" s="1"/>
      <c r="W860" s="1"/>
      <c r="X860" s="1"/>
      <c r="Y860" s="1"/>
    </row>
    <row r="861">
      <c r="A861" s="17"/>
      <c r="B861" s="23"/>
      <c r="C861" s="1"/>
      <c r="D861" s="1"/>
      <c r="E861" s="1"/>
      <c r="F861" s="1"/>
      <c r="G861" s="1"/>
      <c r="H861" s="1"/>
      <c r="I861" s="1"/>
      <c r="J861" s="1"/>
      <c r="K861" s="1"/>
      <c r="L861" s="1"/>
      <c r="M861" s="1"/>
      <c r="N861" s="1"/>
      <c r="O861" s="1"/>
      <c r="P861" s="1"/>
      <c r="Q861" s="1"/>
      <c r="R861" s="1"/>
      <c r="S861" s="1"/>
      <c r="T861" s="1"/>
      <c r="U861" s="1"/>
      <c r="V861" s="1"/>
      <c r="W861" s="1"/>
      <c r="X861" s="1"/>
      <c r="Y861" s="1"/>
    </row>
    <row r="862">
      <c r="A862" s="17"/>
      <c r="B862" s="23"/>
      <c r="C862" s="1"/>
      <c r="D862" s="1"/>
      <c r="E862" s="1"/>
      <c r="F862" s="1"/>
      <c r="G862" s="1"/>
      <c r="H862" s="1"/>
      <c r="I862" s="1"/>
      <c r="J862" s="1"/>
      <c r="K862" s="1"/>
      <c r="L862" s="1"/>
      <c r="M862" s="1"/>
      <c r="N862" s="1"/>
      <c r="O862" s="1"/>
      <c r="P862" s="1"/>
      <c r="Q862" s="1"/>
      <c r="R862" s="1"/>
      <c r="S862" s="1"/>
      <c r="T862" s="1"/>
      <c r="U862" s="1"/>
      <c r="V862" s="1"/>
      <c r="W862" s="1"/>
      <c r="X862" s="1"/>
      <c r="Y862" s="1"/>
    </row>
    <row r="863">
      <c r="A863" s="17"/>
      <c r="B863" s="23"/>
      <c r="C863" s="1"/>
      <c r="D863" s="1"/>
      <c r="E863" s="1"/>
      <c r="F863" s="1"/>
      <c r="G863" s="1"/>
      <c r="H863" s="1"/>
      <c r="I863" s="1"/>
      <c r="J863" s="1"/>
      <c r="K863" s="1"/>
      <c r="L863" s="1"/>
      <c r="M863" s="1"/>
      <c r="N863" s="1"/>
      <c r="O863" s="1"/>
      <c r="P863" s="1"/>
      <c r="Q863" s="1"/>
      <c r="R863" s="1"/>
      <c r="S863" s="1"/>
      <c r="T863" s="1"/>
      <c r="U863" s="1"/>
      <c r="V863" s="1"/>
      <c r="W863" s="1"/>
      <c r="X863" s="1"/>
      <c r="Y863" s="1"/>
    </row>
    <row r="864">
      <c r="A864" s="17"/>
      <c r="B864" s="23"/>
      <c r="C864" s="1"/>
      <c r="D864" s="1"/>
      <c r="E864" s="1"/>
      <c r="F864" s="1"/>
      <c r="G864" s="1"/>
      <c r="H864" s="1"/>
      <c r="I864" s="1"/>
      <c r="J864" s="1"/>
      <c r="K864" s="1"/>
      <c r="L864" s="1"/>
      <c r="M864" s="1"/>
      <c r="N864" s="1"/>
      <c r="O864" s="1"/>
      <c r="P864" s="1"/>
      <c r="Q864" s="1"/>
      <c r="R864" s="1"/>
      <c r="S864" s="1"/>
      <c r="T864" s="1"/>
      <c r="U864" s="1"/>
      <c r="V864" s="1"/>
      <c r="W864" s="1"/>
      <c r="X864" s="1"/>
      <c r="Y864" s="1"/>
    </row>
    <row r="865">
      <c r="A865" s="17"/>
      <c r="B865" s="23"/>
      <c r="C865" s="1"/>
      <c r="D865" s="1"/>
      <c r="E865" s="1"/>
      <c r="F865" s="1"/>
      <c r="G865" s="1"/>
      <c r="H865" s="1"/>
      <c r="I865" s="1"/>
      <c r="J865" s="1"/>
      <c r="K865" s="1"/>
      <c r="L865" s="1"/>
      <c r="M865" s="1"/>
      <c r="N865" s="1"/>
      <c r="O865" s="1"/>
      <c r="P865" s="1"/>
      <c r="Q865" s="1"/>
      <c r="R865" s="1"/>
      <c r="S865" s="1"/>
      <c r="T865" s="1"/>
      <c r="U865" s="1"/>
      <c r="V865" s="1"/>
      <c r="W865" s="1"/>
      <c r="X865" s="1"/>
      <c r="Y865" s="1"/>
    </row>
    <row r="866">
      <c r="A866" s="17"/>
      <c r="B866" s="23"/>
      <c r="C866" s="1"/>
      <c r="D866" s="1"/>
      <c r="E866" s="1"/>
      <c r="F866" s="1"/>
      <c r="G866" s="1"/>
      <c r="H866" s="1"/>
      <c r="I866" s="1"/>
      <c r="J866" s="1"/>
      <c r="K866" s="1"/>
      <c r="L866" s="1"/>
      <c r="M866" s="1"/>
      <c r="N866" s="1"/>
      <c r="O866" s="1"/>
      <c r="P866" s="1"/>
      <c r="Q866" s="1"/>
      <c r="R866" s="1"/>
      <c r="S866" s="1"/>
      <c r="T866" s="1"/>
      <c r="U866" s="1"/>
      <c r="V866" s="1"/>
      <c r="W866" s="1"/>
      <c r="X866" s="1"/>
      <c r="Y866" s="1"/>
    </row>
    <row r="867">
      <c r="A867" s="17"/>
      <c r="B867" s="23"/>
      <c r="C867" s="1"/>
      <c r="D867" s="1"/>
      <c r="E867" s="1"/>
      <c r="F867" s="1"/>
      <c r="G867" s="1"/>
      <c r="H867" s="1"/>
      <c r="I867" s="1"/>
      <c r="J867" s="1"/>
      <c r="K867" s="1"/>
      <c r="L867" s="1"/>
      <c r="M867" s="1"/>
      <c r="N867" s="1"/>
      <c r="O867" s="1"/>
      <c r="P867" s="1"/>
      <c r="Q867" s="1"/>
      <c r="R867" s="1"/>
      <c r="S867" s="1"/>
      <c r="T867" s="1"/>
      <c r="U867" s="1"/>
      <c r="V867" s="1"/>
      <c r="W867" s="1"/>
      <c r="X867" s="1"/>
      <c r="Y867" s="1"/>
    </row>
    <row r="868">
      <c r="A868" s="17"/>
      <c r="B868" s="23"/>
      <c r="C868" s="1"/>
      <c r="D868" s="1"/>
      <c r="E868" s="1"/>
      <c r="F868" s="1"/>
      <c r="G868" s="1"/>
      <c r="H868" s="1"/>
      <c r="I868" s="1"/>
      <c r="J868" s="1"/>
      <c r="K868" s="1"/>
      <c r="L868" s="1"/>
      <c r="M868" s="1"/>
      <c r="N868" s="1"/>
      <c r="O868" s="1"/>
      <c r="P868" s="1"/>
      <c r="Q868" s="1"/>
      <c r="R868" s="1"/>
      <c r="S868" s="1"/>
      <c r="T868" s="1"/>
      <c r="U868" s="1"/>
      <c r="V868" s="1"/>
      <c r="W868" s="1"/>
      <c r="X868" s="1"/>
      <c r="Y868" s="1"/>
    </row>
    <row r="869">
      <c r="A869" s="17"/>
      <c r="B869" s="23"/>
      <c r="C869" s="1"/>
      <c r="D869" s="1"/>
      <c r="E869" s="1"/>
      <c r="F869" s="1"/>
      <c r="G869" s="1"/>
      <c r="H869" s="1"/>
      <c r="I869" s="1"/>
      <c r="J869" s="1"/>
      <c r="K869" s="1"/>
      <c r="L869" s="1"/>
      <c r="M869" s="1"/>
      <c r="N869" s="1"/>
      <c r="O869" s="1"/>
      <c r="P869" s="1"/>
      <c r="Q869" s="1"/>
      <c r="R869" s="1"/>
      <c r="S869" s="1"/>
      <c r="T869" s="1"/>
      <c r="U869" s="1"/>
      <c r="V869" s="1"/>
      <c r="W869" s="1"/>
      <c r="X869" s="1"/>
      <c r="Y869" s="1"/>
    </row>
    <row r="870">
      <c r="A870" s="17"/>
      <c r="B870" s="23"/>
      <c r="C870" s="1"/>
      <c r="D870" s="1"/>
      <c r="E870" s="1"/>
      <c r="F870" s="1"/>
      <c r="G870" s="1"/>
      <c r="H870" s="1"/>
      <c r="I870" s="1"/>
      <c r="J870" s="1"/>
      <c r="K870" s="1"/>
      <c r="L870" s="1"/>
      <c r="M870" s="1"/>
      <c r="N870" s="1"/>
      <c r="O870" s="1"/>
      <c r="P870" s="1"/>
      <c r="Q870" s="1"/>
      <c r="R870" s="1"/>
      <c r="S870" s="1"/>
      <c r="T870" s="1"/>
      <c r="U870" s="1"/>
      <c r="V870" s="1"/>
      <c r="W870" s="1"/>
      <c r="X870" s="1"/>
      <c r="Y870" s="1"/>
    </row>
    <row r="871">
      <c r="A871" s="17"/>
      <c r="B871" s="23"/>
      <c r="C871" s="1"/>
      <c r="D871" s="1"/>
      <c r="E871" s="1"/>
      <c r="F871" s="1"/>
      <c r="G871" s="1"/>
      <c r="H871" s="1"/>
      <c r="I871" s="1"/>
      <c r="J871" s="1"/>
      <c r="K871" s="1"/>
      <c r="L871" s="1"/>
      <c r="M871" s="1"/>
      <c r="N871" s="1"/>
      <c r="O871" s="1"/>
      <c r="P871" s="1"/>
      <c r="Q871" s="1"/>
      <c r="R871" s="1"/>
      <c r="S871" s="1"/>
      <c r="T871" s="1"/>
      <c r="U871" s="1"/>
      <c r="V871" s="1"/>
      <c r="W871" s="1"/>
      <c r="X871" s="1"/>
      <c r="Y871" s="1"/>
    </row>
    <row r="872">
      <c r="A872" s="17"/>
      <c r="B872" s="23"/>
      <c r="C872" s="1"/>
      <c r="D872" s="1"/>
      <c r="E872" s="1"/>
      <c r="F872" s="1"/>
      <c r="G872" s="1"/>
      <c r="H872" s="1"/>
      <c r="I872" s="1"/>
      <c r="J872" s="1"/>
      <c r="K872" s="1"/>
      <c r="L872" s="1"/>
      <c r="M872" s="1"/>
      <c r="N872" s="1"/>
      <c r="O872" s="1"/>
      <c r="P872" s="1"/>
      <c r="Q872" s="1"/>
      <c r="R872" s="1"/>
      <c r="S872" s="1"/>
      <c r="T872" s="1"/>
      <c r="U872" s="1"/>
      <c r="V872" s="1"/>
      <c r="W872" s="1"/>
      <c r="X872" s="1"/>
      <c r="Y872" s="1"/>
    </row>
    <row r="873">
      <c r="A873" s="17"/>
      <c r="B873" s="23"/>
      <c r="C873" s="1"/>
      <c r="D873" s="1"/>
      <c r="E873" s="1"/>
      <c r="F873" s="1"/>
      <c r="G873" s="1"/>
      <c r="H873" s="1"/>
      <c r="I873" s="1"/>
      <c r="J873" s="1"/>
      <c r="K873" s="1"/>
      <c r="L873" s="1"/>
      <c r="M873" s="1"/>
      <c r="N873" s="1"/>
      <c r="O873" s="1"/>
      <c r="P873" s="1"/>
      <c r="Q873" s="1"/>
      <c r="R873" s="1"/>
      <c r="S873" s="1"/>
      <c r="T873" s="1"/>
      <c r="U873" s="1"/>
      <c r="V873" s="1"/>
      <c r="W873" s="1"/>
      <c r="X873" s="1"/>
      <c r="Y873" s="1"/>
    </row>
    <row r="874">
      <c r="A874" s="17"/>
      <c r="B874" s="23"/>
      <c r="C874" s="1"/>
      <c r="D874" s="1"/>
      <c r="E874" s="1"/>
      <c r="F874" s="1"/>
      <c r="G874" s="1"/>
      <c r="H874" s="1"/>
      <c r="I874" s="1"/>
      <c r="J874" s="1"/>
      <c r="K874" s="1"/>
      <c r="L874" s="1"/>
      <c r="M874" s="1"/>
      <c r="N874" s="1"/>
      <c r="O874" s="1"/>
      <c r="P874" s="1"/>
      <c r="Q874" s="1"/>
      <c r="R874" s="1"/>
      <c r="S874" s="1"/>
      <c r="T874" s="1"/>
      <c r="U874" s="1"/>
      <c r="V874" s="1"/>
      <c r="W874" s="1"/>
      <c r="X874" s="1"/>
      <c r="Y874" s="1"/>
    </row>
    <row r="875">
      <c r="A875" s="17"/>
      <c r="B875" s="23"/>
      <c r="C875" s="1"/>
      <c r="D875" s="1"/>
      <c r="E875" s="1"/>
      <c r="F875" s="1"/>
      <c r="G875" s="1"/>
      <c r="H875" s="1"/>
      <c r="I875" s="1"/>
      <c r="J875" s="1"/>
      <c r="K875" s="1"/>
      <c r="L875" s="1"/>
      <c r="M875" s="1"/>
      <c r="N875" s="1"/>
      <c r="O875" s="1"/>
      <c r="P875" s="1"/>
      <c r="Q875" s="1"/>
      <c r="R875" s="1"/>
      <c r="S875" s="1"/>
      <c r="T875" s="1"/>
      <c r="U875" s="1"/>
      <c r="V875" s="1"/>
      <c r="W875" s="1"/>
      <c r="X875" s="1"/>
      <c r="Y875" s="1"/>
    </row>
    <row r="876">
      <c r="A876" s="17"/>
      <c r="B876" s="23"/>
      <c r="C876" s="1"/>
      <c r="D876" s="1"/>
      <c r="E876" s="1"/>
      <c r="F876" s="1"/>
      <c r="G876" s="1"/>
      <c r="H876" s="1"/>
      <c r="I876" s="1"/>
      <c r="J876" s="1"/>
      <c r="K876" s="1"/>
      <c r="L876" s="1"/>
      <c r="M876" s="1"/>
      <c r="N876" s="1"/>
      <c r="O876" s="1"/>
      <c r="P876" s="1"/>
      <c r="Q876" s="1"/>
      <c r="R876" s="1"/>
      <c r="S876" s="1"/>
      <c r="T876" s="1"/>
      <c r="U876" s="1"/>
      <c r="V876" s="1"/>
      <c r="W876" s="1"/>
      <c r="X876" s="1"/>
      <c r="Y876" s="1"/>
    </row>
    <row r="877">
      <c r="A877" s="17"/>
      <c r="B877" s="23"/>
      <c r="C877" s="1"/>
      <c r="D877" s="1"/>
      <c r="E877" s="1"/>
      <c r="F877" s="1"/>
      <c r="G877" s="1"/>
      <c r="H877" s="1"/>
      <c r="I877" s="1"/>
      <c r="J877" s="1"/>
      <c r="K877" s="1"/>
      <c r="L877" s="1"/>
      <c r="M877" s="1"/>
      <c r="N877" s="1"/>
      <c r="O877" s="1"/>
      <c r="P877" s="1"/>
      <c r="Q877" s="1"/>
      <c r="R877" s="1"/>
      <c r="S877" s="1"/>
      <c r="T877" s="1"/>
      <c r="U877" s="1"/>
      <c r="V877" s="1"/>
      <c r="W877" s="1"/>
      <c r="X877" s="1"/>
      <c r="Y877" s="1"/>
    </row>
    <row r="878">
      <c r="A878" s="17"/>
      <c r="B878" s="23"/>
      <c r="C878" s="1"/>
      <c r="D878" s="1"/>
      <c r="E878" s="1"/>
      <c r="F878" s="1"/>
      <c r="G878" s="1"/>
      <c r="H878" s="1"/>
      <c r="I878" s="1"/>
      <c r="J878" s="1"/>
      <c r="K878" s="1"/>
      <c r="L878" s="1"/>
      <c r="M878" s="1"/>
      <c r="N878" s="1"/>
      <c r="O878" s="1"/>
      <c r="P878" s="1"/>
      <c r="Q878" s="1"/>
      <c r="R878" s="1"/>
      <c r="S878" s="1"/>
      <c r="T878" s="1"/>
      <c r="U878" s="1"/>
      <c r="V878" s="1"/>
      <c r="W878" s="1"/>
      <c r="X878" s="1"/>
      <c r="Y878" s="1"/>
    </row>
    <row r="879">
      <c r="A879" s="17"/>
      <c r="B879" s="23"/>
      <c r="C879" s="1"/>
      <c r="D879" s="1"/>
      <c r="E879" s="1"/>
      <c r="F879" s="1"/>
      <c r="G879" s="1"/>
      <c r="H879" s="1"/>
      <c r="I879" s="1"/>
      <c r="J879" s="1"/>
      <c r="K879" s="1"/>
      <c r="L879" s="1"/>
      <c r="M879" s="1"/>
      <c r="N879" s="1"/>
      <c r="O879" s="1"/>
      <c r="P879" s="1"/>
      <c r="Q879" s="1"/>
      <c r="R879" s="1"/>
      <c r="S879" s="1"/>
      <c r="T879" s="1"/>
      <c r="U879" s="1"/>
      <c r="V879" s="1"/>
      <c r="W879" s="1"/>
      <c r="X879" s="1"/>
      <c r="Y879" s="1"/>
    </row>
    <row r="880">
      <c r="A880" s="17"/>
      <c r="B880" s="23"/>
      <c r="C880" s="1"/>
      <c r="D880" s="1"/>
      <c r="E880" s="1"/>
      <c r="F880" s="1"/>
      <c r="G880" s="1"/>
      <c r="H880" s="1"/>
      <c r="I880" s="1"/>
      <c r="J880" s="1"/>
      <c r="K880" s="1"/>
      <c r="L880" s="1"/>
      <c r="M880" s="1"/>
      <c r="N880" s="1"/>
      <c r="O880" s="1"/>
      <c r="P880" s="1"/>
      <c r="Q880" s="1"/>
      <c r="R880" s="1"/>
      <c r="S880" s="1"/>
      <c r="T880" s="1"/>
      <c r="U880" s="1"/>
      <c r="V880" s="1"/>
      <c r="W880" s="1"/>
      <c r="X880" s="1"/>
      <c r="Y880" s="1"/>
    </row>
    <row r="881">
      <c r="A881" s="17"/>
      <c r="B881" s="23"/>
      <c r="C881" s="1"/>
      <c r="D881" s="1"/>
      <c r="E881" s="1"/>
      <c r="F881" s="1"/>
      <c r="G881" s="1"/>
      <c r="H881" s="1"/>
      <c r="I881" s="1"/>
      <c r="J881" s="1"/>
      <c r="K881" s="1"/>
      <c r="L881" s="1"/>
      <c r="M881" s="1"/>
      <c r="N881" s="1"/>
      <c r="O881" s="1"/>
      <c r="P881" s="1"/>
      <c r="Q881" s="1"/>
      <c r="R881" s="1"/>
      <c r="S881" s="1"/>
      <c r="T881" s="1"/>
      <c r="U881" s="1"/>
      <c r="V881" s="1"/>
      <c r="W881" s="1"/>
      <c r="X881" s="1"/>
      <c r="Y881" s="1"/>
    </row>
    <row r="882">
      <c r="A882" s="17"/>
      <c r="B882" s="23"/>
      <c r="C882" s="1"/>
      <c r="D882" s="1"/>
      <c r="E882" s="1"/>
      <c r="F882" s="1"/>
      <c r="G882" s="1"/>
      <c r="H882" s="1"/>
      <c r="I882" s="1"/>
      <c r="J882" s="1"/>
      <c r="K882" s="1"/>
      <c r="L882" s="1"/>
      <c r="M882" s="1"/>
      <c r="N882" s="1"/>
      <c r="O882" s="1"/>
      <c r="P882" s="1"/>
      <c r="Q882" s="1"/>
      <c r="R882" s="1"/>
      <c r="S882" s="1"/>
      <c r="T882" s="1"/>
      <c r="U882" s="1"/>
      <c r="V882" s="1"/>
      <c r="W882" s="1"/>
      <c r="X882" s="1"/>
      <c r="Y882" s="1"/>
    </row>
    <row r="883">
      <c r="A883" s="17"/>
      <c r="B883" s="23"/>
      <c r="C883" s="1"/>
      <c r="D883" s="1"/>
      <c r="E883" s="1"/>
      <c r="F883" s="1"/>
      <c r="G883" s="1"/>
      <c r="H883" s="1"/>
      <c r="I883" s="1"/>
      <c r="J883" s="1"/>
      <c r="K883" s="1"/>
      <c r="L883" s="1"/>
      <c r="M883" s="1"/>
      <c r="N883" s="1"/>
      <c r="O883" s="1"/>
      <c r="P883" s="1"/>
      <c r="Q883" s="1"/>
      <c r="R883" s="1"/>
      <c r="S883" s="1"/>
      <c r="T883" s="1"/>
      <c r="U883" s="1"/>
      <c r="V883" s="1"/>
      <c r="W883" s="1"/>
      <c r="X883" s="1"/>
      <c r="Y883" s="1"/>
    </row>
    <row r="884">
      <c r="A884" s="17"/>
      <c r="B884" s="23"/>
      <c r="C884" s="1"/>
      <c r="D884" s="1"/>
      <c r="E884" s="1"/>
      <c r="F884" s="1"/>
      <c r="G884" s="1"/>
      <c r="H884" s="1"/>
      <c r="I884" s="1"/>
      <c r="J884" s="1"/>
      <c r="K884" s="1"/>
      <c r="L884" s="1"/>
      <c r="M884" s="1"/>
      <c r="N884" s="1"/>
      <c r="O884" s="1"/>
      <c r="P884" s="1"/>
      <c r="Q884" s="1"/>
      <c r="R884" s="1"/>
      <c r="S884" s="1"/>
      <c r="T884" s="1"/>
      <c r="U884" s="1"/>
      <c r="V884" s="1"/>
      <c r="W884" s="1"/>
      <c r="X884" s="1"/>
      <c r="Y884" s="1"/>
    </row>
    <row r="885">
      <c r="A885" s="17"/>
      <c r="B885" s="23"/>
      <c r="C885" s="1"/>
      <c r="D885" s="1"/>
      <c r="E885" s="1"/>
      <c r="F885" s="1"/>
      <c r="G885" s="1"/>
      <c r="H885" s="1"/>
      <c r="I885" s="1"/>
      <c r="J885" s="1"/>
      <c r="K885" s="1"/>
      <c r="L885" s="1"/>
      <c r="M885" s="1"/>
      <c r="N885" s="1"/>
      <c r="O885" s="1"/>
      <c r="P885" s="1"/>
      <c r="Q885" s="1"/>
      <c r="R885" s="1"/>
      <c r="S885" s="1"/>
      <c r="T885" s="1"/>
      <c r="U885" s="1"/>
      <c r="V885" s="1"/>
      <c r="W885" s="1"/>
      <c r="X885" s="1"/>
      <c r="Y885" s="1"/>
    </row>
    <row r="886">
      <c r="A886" s="17"/>
      <c r="B886" s="23"/>
      <c r="C886" s="1"/>
      <c r="D886" s="1"/>
      <c r="E886" s="1"/>
      <c r="F886" s="1"/>
      <c r="G886" s="1"/>
      <c r="H886" s="1"/>
      <c r="I886" s="1"/>
      <c r="J886" s="1"/>
      <c r="K886" s="1"/>
      <c r="L886" s="1"/>
      <c r="M886" s="1"/>
      <c r="N886" s="1"/>
      <c r="O886" s="1"/>
      <c r="P886" s="1"/>
      <c r="Q886" s="1"/>
      <c r="R886" s="1"/>
      <c r="S886" s="1"/>
      <c r="T886" s="1"/>
      <c r="U886" s="1"/>
      <c r="V886" s="1"/>
      <c r="W886" s="1"/>
      <c r="X886" s="1"/>
      <c r="Y886" s="1"/>
    </row>
    <row r="887">
      <c r="A887" s="17"/>
      <c r="B887" s="23"/>
      <c r="C887" s="1"/>
      <c r="D887" s="1"/>
      <c r="E887" s="1"/>
      <c r="F887" s="1"/>
      <c r="G887" s="1"/>
      <c r="H887" s="1"/>
      <c r="I887" s="1"/>
      <c r="J887" s="1"/>
      <c r="K887" s="1"/>
      <c r="L887" s="1"/>
      <c r="M887" s="1"/>
      <c r="N887" s="1"/>
      <c r="O887" s="1"/>
      <c r="P887" s="1"/>
      <c r="Q887" s="1"/>
      <c r="R887" s="1"/>
      <c r="S887" s="1"/>
      <c r="T887" s="1"/>
      <c r="U887" s="1"/>
      <c r="V887" s="1"/>
      <c r="W887" s="1"/>
      <c r="X887" s="1"/>
      <c r="Y887" s="1"/>
    </row>
    <row r="888">
      <c r="A888" s="17"/>
      <c r="B888" s="23"/>
      <c r="C888" s="1"/>
      <c r="D888" s="1"/>
      <c r="E888" s="1"/>
      <c r="F888" s="1"/>
      <c r="G888" s="1"/>
      <c r="H888" s="1"/>
      <c r="I888" s="1"/>
      <c r="J888" s="1"/>
      <c r="K888" s="1"/>
      <c r="L888" s="1"/>
      <c r="M888" s="1"/>
      <c r="N888" s="1"/>
      <c r="O888" s="1"/>
      <c r="P888" s="1"/>
      <c r="Q888" s="1"/>
      <c r="R888" s="1"/>
      <c r="S888" s="1"/>
      <c r="T888" s="1"/>
      <c r="U888" s="1"/>
      <c r="V888" s="1"/>
      <c r="W888" s="1"/>
      <c r="X888" s="1"/>
      <c r="Y888" s="1"/>
    </row>
    <row r="889">
      <c r="A889" s="17"/>
      <c r="B889" s="23"/>
      <c r="C889" s="1"/>
      <c r="D889" s="1"/>
      <c r="E889" s="1"/>
      <c r="F889" s="1"/>
      <c r="G889" s="1"/>
      <c r="H889" s="1"/>
      <c r="I889" s="1"/>
      <c r="J889" s="1"/>
      <c r="K889" s="1"/>
      <c r="L889" s="1"/>
      <c r="M889" s="1"/>
      <c r="N889" s="1"/>
      <c r="O889" s="1"/>
      <c r="P889" s="1"/>
      <c r="Q889" s="1"/>
      <c r="R889" s="1"/>
      <c r="S889" s="1"/>
      <c r="T889" s="1"/>
      <c r="U889" s="1"/>
      <c r="V889" s="1"/>
      <c r="W889" s="1"/>
      <c r="X889" s="1"/>
      <c r="Y889" s="1"/>
    </row>
    <row r="890">
      <c r="A890" s="17"/>
      <c r="B890" s="23"/>
      <c r="C890" s="1"/>
      <c r="D890" s="1"/>
      <c r="E890" s="1"/>
      <c r="F890" s="1"/>
      <c r="G890" s="1"/>
      <c r="H890" s="1"/>
      <c r="I890" s="1"/>
      <c r="J890" s="1"/>
      <c r="K890" s="1"/>
      <c r="L890" s="1"/>
      <c r="M890" s="1"/>
      <c r="N890" s="1"/>
      <c r="O890" s="1"/>
      <c r="P890" s="1"/>
      <c r="Q890" s="1"/>
      <c r="R890" s="1"/>
      <c r="S890" s="1"/>
      <c r="T890" s="1"/>
      <c r="U890" s="1"/>
      <c r="V890" s="1"/>
      <c r="W890" s="1"/>
      <c r="X890" s="1"/>
      <c r="Y890" s="1"/>
    </row>
    <row r="891">
      <c r="A891" s="17"/>
      <c r="B891" s="23"/>
      <c r="C891" s="1"/>
      <c r="D891" s="1"/>
      <c r="E891" s="1"/>
      <c r="F891" s="1"/>
      <c r="G891" s="1"/>
      <c r="H891" s="1"/>
      <c r="I891" s="1"/>
      <c r="J891" s="1"/>
      <c r="K891" s="1"/>
      <c r="L891" s="1"/>
      <c r="M891" s="1"/>
      <c r="N891" s="1"/>
      <c r="O891" s="1"/>
      <c r="P891" s="1"/>
      <c r="Q891" s="1"/>
      <c r="R891" s="1"/>
      <c r="S891" s="1"/>
      <c r="T891" s="1"/>
      <c r="U891" s="1"/>
      <c r="V891" s="1"/>
      <c r="W891" s="1"/>
      <c r="X891" s="1"/>
      <c r="Y891" s="1"/>
    </row>
    <row r="892">
      <c r="A892" s="17"/>
      <c r="B892" s="23"/>
      <c r="C892" s="1"/>
      <c r="D892" s="1"/>
      <c r="E892" s="1"/>
      <c r="F892" s="1"/>
      <c r="G892" s="1"/>
      <c r="H892" s="1"/>
      <c r="I892" s="1"/>
      <c r="J892" s="1"/>
      <c r="K892" s="1"/>
      <c r="L892" s="1"/>
      <c r="M892" s="1"/>
      <c r="N892" s="1"/>
      <c r="O892" s="1"/>
      <c r="P892" s="1"/>
      <c r="Q892" s="1"/>
      <c r="R892" s="1"/>
      <c r="S892" s="1"/>
      <c r="T892" s="1"/>
      <c r="U892" s="1"/>
      <c r="V892" s="1"/>
      <c r="W892" s="1"/>
      <c r="X892" s="1"/>
      <c r="Y892" s="1"/>
    </row>
    <row r="893">
      <c r="A893" s="17"/>
      <c r="B893" s="23"/>
      <c r="C893" s="1"/>
      <c r="D893" s="1"/>
      <c r="E893" s="1"/>
      <c r="F893" s="1"/>
      <c r="G893" s="1"/>
      <c r="H893" s="1"/>
      <c r="I893" s="1"/>
      <c r="J893" s="1"/>
      <c r="K893" s="1"/>
      <c r="L893" s="1"/>
      <c r="M893" s="1"/>
      <c r="N893" s="1"/>
      <c r="O893" s="1"/>
      <c r="P893" s="1"/>
      <c r="Q893" s="1"/>
      <c r="R893" s="1"/>
      <c r="S893" s="1"/>
      <c r="T893" s="1"/>
      <c r="U893" s="1"/>
      <c r="V893" s="1"/>
      <c r="W893" s="1"/>
      <c r="X893" s="1"/>
      <c r="Y893" s="1"/>
    </row>
    <row r="894">
      <c r="A894" s="17"/>
      <c r="B894" s="23"/>
      <c r="C894" s="1"/>
      <c r="D894" s="1"/>
      <c r="E894" s="1"/>
      <c r="F894" s="1"/>
      <c r="G894" s="1"/>
      <c r="H894" s="1"/>
      <c r="I894" s="1"/>
      <c r="J894" s="1"/>
      <c r="K894" s="1"/>
      <c r="L894" s="1"/>
      <c r="M894" s="1"/>
      <c r="N894" s="1"/>
      <c r="O894" s="1"/>
      <c r="P894" s="1"/>
      <c r="Q894" s="1"/>
      <c r="R894" s="1"/>
      <c r="S894" s="1"/>
      <c r="T894" s="1"/>
      <c r="U894" s="1"/>
      <c r="V894" s="1"/>
      <c r="W894" s="1"/>
      <c r="X894" s="1"/>
      <c r="Y894" s="1"/>
    </row>
    <row r="895">
      <c r="A895" s="17"/>
      <c r="B895" s="23"/>
      <c r="C895" s="1"/>
      <c r="D895" s="1"/>
      <c r="E895" s="1"/>
      <c r="F895" s="1"/>
      <c r="G895" s="1"/>
      <c r="H895" s="1"/>
      <c r="I895" s="1"/>
      <c r="J895" s="1"/>
      <c r="K895" s="1"/>
      <c r="L895" s="1"/>
      <c r="M895" s="1"/>
      <c r="N895" s="1"/>
      <c r="O895" s="1"/>
      <c r="P895" s="1"/>
      <c r="Q895" s="1"/>
      <c r="R895" s="1"/>
      <c r="S895" s="1"/>
      <c r="T895" s="1"/>
      <c r="U895" s="1"/>
      <c r="V895" s="1"/>
      <c r="W895" s="1"/>
      <c r="X895" s="1"/>
      <c r="Y895" s="1"/>
    </row>
    <row r="896">
      <c r="A896" s="17"/>
      <c r="B896" s="23"/>
      <c r="C896" s="1"/>
      <c r="D896" s="1"/>
      <c r="E896" s="1"/>
      <c r="F896" s="1"/>
      <c r="G896" s="1"/>
      <c r="H896" s="1"/>
      <c r="I896" s="1"/>
      <c r="J896" s="1"/>
      <c r="K896" s="1"/>
      <c r="L896" s="1"/>
      <c r="M896" s="1"/>
      <c r="N896" s="1"/>
      <c r="O896" s="1"/>
      <c r="P896" s="1"/>
      <c r="Q896" s="1"/>
      <c r="R896" s="1"/>
      <c r="S896" s="1"/>
      <c r="T896" s="1"/>
      <c r="U896" s="1"/>
      <c r="V896" s="1"/>
      <c r="W896" s="1"/>
      <c r="X896" s="1"/>
      <c r="Y896" s="1"/>
    </row>
    <row r="897">
      <c r="A897" s="17"/>
      <c r="B897" s="23"/>
      <c r="C897" s="1"/>
      <c r="D897" s="1"/>
      <c r="E897" s="1"/>
      <c r="F897" s="1"/>
      <c r="G897" s="1"/>
      <c r="H897" s="1"/>
      <c r="I897" s="1"/>
      <c r="J897" s="1"/>
      <c r="K897" s="1"/>
      <c r="L897" s="1"/>
      <c r="M897" s="1"/>
      <c r="N897" s="1"/>
      <c r="O897" s="1"/>
      <c r="P897" s="1"/>
      <c r="Q897" s="1"/>
      <c r="R897" s="1"/>
      <c r="S897" s="1"/>
      <c r="T897" s="1"/>
      <c r="U897" s="1"/>
      <c r="V897" s="1"/>
      <c r="W897" s="1"/>
      <c r="X897" s="1"/>
      <c r="Y897" s="1"/>
    </row>
    <row r="898">
      <c r="A898" s="17"/>
      <c r="B898" s="23"/>
      <c r="C898" s="1"/>
      <c r="D898" s="1"/>
      <c r="E898" s="1"/>
      <c r="F898" s="1"/>
      <c r="G898" s="1"/>
      <c r="H898" s="1"/>
      <c r="I898" s="1"/>
      <c r="J898" s="1"/>
      <c r="K898" s="1"/>
      <c r="L898" s="1"/>
      <c r="M898" s="1"/>
      <c r="N898" s="1"/>
      <c r="O898" s="1"/>
      <c r="P898" s="1"/>
      <c r="Q898" s="1"/>
      <c r="R898" s="1"/>
      <c r="S898" s="1"/>
      <c r="T898" s="1"/>
      <c r="U898" s="1"/>
      <c r="V898" s="1"/>
      <c r="W898" s="1"/>
      <c r="X898" s="1"/>
      <c r="Y898" s="1"/>
    </row>
    <row r="899">
      <c r="A899" s="17"/>
      <c r="B899" s="23"/>
      <c r="C899" s="1"/>
      <c r="D899" s="1"/>
      <c r="E899" s="1"/>
      <c r="F899" s="1"/>
      <c r="G899" s="1"/>
      <c r="H899" s="1"/>
      <c r="I899" s="1"/>
      <c r="J899" s="1"/>
      <c r="K899" s="1"/>
      <c r="L899" s="1"/>
      <c r="M899" s="1"/>
      <c r="N899" s="1"/>
      <c r="O899" s="1"/>
      <c r="P899" s="1"/>
      <c r="Q899" s="1"/>
      <c r="R899" s="1"/>
      <c r="S899" s="1"/>
      <c r="T899" s="1"/>
      <c r="U899" s="1"/>
      <c r="V899" s="1"/>
      <c r="W899" s="1"/>
      <c r="X899" s="1"/>
      <c r="Y899" s="1"/>
    </row>
    <row r="900">
      <c r="A900" s="17"/>
      <c r="B900" s="23"/>
      <c r="C900" s="1"/>
      <c r="D900" s="1"/>
      <c r="E900" s="1"/>
      <c r="F900" s="1"/>
      <c r="G900" s="1"/>
      <c r="H900" s="1"/>
      <c r="I900" s="1"/>
      <c r="J900" s="1"/>
      <c r="K900" s="1"/>
      <c r="L900" s="1"/>
      <c r="M900" s="1"/>
      <c r="N900" s="1"/>
      <c r="O900" s="1"/>
      <c r="P900" s="1"/>
      <c r="Q900" s="1"/>
      <c r="R900" s="1"/>
      <c r="S900" s="1"/>
      <c r="T900" s="1"/>
      <c r="U900" s="1"/>
      <c r="V900" s="1"/>
      <c r="W900" s="1"/>
      <c r="X900" s="1"/>
      <c r="Y900" s="1"/>
    </row>
    <row r="901">
      <c r="A901" s="17"/>
      <c r="B901" s="23"/>
      <c r="C901" s="1"/>
      <c r="D901" s="1"/>
      <c r="E901" s="1"/>
      <c r="F901" s="1"/>
      <c r="G901" s="1"/>
      <c r="H901" s="1"/>
      <c r="I901" s="1"/>
      <c r="J901" s="1"/>
      <c r="K901" s="1"/>
      <c r="L901" s="1"/>
      <c r="M901" s="1"/>
      <c r="N901" s="1"/>
      <c r="O901" s="1"/>
      <c r="P901" s="1"/>
      <c r="Q901" s="1"/>
      <c r="R901" s="1"/>
      <c r="S901" s="1"/>
      <c r="T901" s="1"/>
      <c r="U901" s="1"/>
      <c r="V901" s="1"/>
      <c r="W901" s="1"/>
      <c r="X901" s="1"/>
      <c r="Y901" s="1"/>
    </row>
    <row r="902">
      <c r="A902" s="17"/>
      <c r="B902" s="23"/>
      <c r="C902" s="1"/>
      <c r="D902" s="1"/>
      <c r="E902" s="1"/>
      <c r="F902" s="1"/>
      <c r="G902" s="1"/>
      <c r="H902" s="1"/>
      <c r="I902" s="1"/>
      <c r="J902" s="1"/>
      <c r="K902" s="1"/>
      <c r="L902" s="1"/>
      <c r="M902" s="1"/>
      <c r="N902" s="1"/>
      <c r="O902" s="1"/>
      <c r="P902" s="1"/>
      <c r="Q902" s="1"/>
      <c r="R902" s="1"/>
      <c r="S902" s="1"/>
      <c r="T902" s="1"/>
      <c r="U902" s="1"/>
      <c r="V902" s="1"/>
      <c r="W902" s="1"/>
      <c r="X902" s="1"/>
      <c r="Y902" s="1"/>
    </row>
    <row r="903">
      <c r="A903" s="17"/>
      <c r="B903" s="23"/>
      <c r="C903" s="1"/>
      <c r="D903" s="1"/>
      <c r="E903" s="1"/>
      <c r="F903" s="1"/>
      <c r="G903" s="1"/>
      <c r="H903" s="1"/>
      <c r="I903" s="1"/>
      <c r="J903" s="1"/>
      <c r="K903" s="1"/>
      <c r="L903" s="1"/>
      <c r="M903" s="1"/>
      <c r="N903" s="1"/>
      <c r="O903" s="1"/>
      <c r="P903" s="1"/>
      <c r="Q903" s="1"/>
      <c r="R903" s="1"/>
      <c r="S903" s="1"/>
      <c r="T903" s="1"/>
      <c r="U903" s="1"/>
      <c r="V903" s="1"/>
      <c r="W903" s="1"/>
      <c r="X903" s="1"/>
      <c r="Y903" s="1"/>
    </row>
    <row r="904">
      <c r="A904" s="17"/>
      <c r="B904" s="23"/>
      <c r="C904" s="1"/>
      <c r="D904" s="1"/>
      <c r="E904" s="1"/>
      <c r="F904" s="1"/>
      <c r="G904" s="1"/>
      <c r="H904" s="1"/>
      <c r="I904" s="1"/>
      <c r="J904" s="1"/>
      <c r="K904" s="1"/>
      <c r="L904" s="1"/>
      <c r="M904" s="1"/>
      <c r="N904" s="1"/>
      <c r="O904" s="1"/>
      <c r="P904" s="1"/>
      <c r="Q904" s="1"/>
      <c r="R904" s="1"/>
      <c r="S904" s="1"/>
      <c r="T904" s="1"/>
      <c r="U904" s="1"/>
      <c r="V904" s="1"/>
      <c r="W904" s="1"/>
      <c r="X904" s="1"/>
      <c r="Y904" s="1"/>
    </row>
    <row r="905">
      <c r="A905" s="17"/>
      <c r="B905" s="23"/>
      <c r="C905" s="1"/>
      <c r="D905" s="1"/>
      <c r="E905" s="1"/>
      <c r="F905" s="1"/>
      <c r="G905" s="1"/>
      <c r="H905" s="1"/>
      <c r="I905" s="1"/>
      <c r="J905" s="1"/>
      <c r="K905" s="1"/>
      <c r="L905" s="1"/>
      <c r="M905" s="1"/>
      <c r="N905" s="1"/>
      <c r="O905" s="1"/>
      <c r="P905" s="1"/>
      <c r="Q905" s="1"/>
      <c r="R905" s="1"/>
      <c r="S905" s="1"/>
      <c r="T905" s="1"/>
      <c r="U905" s="1"/>
      <c r="V905" s="1"/>
      <c r="W905" s="1"/>
      <c r="X905" s="1"/>
      <c r="Y905" s="1"/>
    </row>
    <row r="906">
      <c r="A906" s="17"/>
      <c r="B906" s="23"/>
      <c r="C906" s="1"/>
      <c r="D906" s="1"/>
      <c r="E906" s="1"/>
      <c r="F906" s="1"/>
      <c r="G906" s="1"/>
      <c r="H906" s="1"/>
      <c r="I906" s="1"/>
      <c r="J906" s="1"/>
      <c r="K906" s="1"/>
      <c r="L906" s="1"/>
      <c r="M906" s="1"/>
      <c r="N906" s="1"/>
      <c r="O906" s="1"/>
      <c r="P906" s="1"/>
      <c r="Q906" s="1"/>
      <c r="R906" s="1"/>
      <c r="S906" s="1"/>
      <c r="T906" s="1"/>
      <c r="U906" s="1"/>
      <c r="V906" s="1"/>
      <c r="W906" s="1"/>
      <c r="X906" s="1"/>
      <c r="Y906" s="1"/>
    </row>
    <row r="907">
      <c r="A907" s="17"/>
      <c r="B907" s="23"/>
      <c r="C907" s="1"/>
      <c r="D907" s="1"/>
      <c r="E907" s="1"/>
      <c r="F907" s="1"/>
      <c r="G907" s="1"/>
      <c r="H907" s="1"/>
      <c r="I907" s="1"/>
      <c r="J907" s="1"/>
      <c r="K907" s="1"/>
      <c r="L907" s="1"/>
      <c r="M907" s="1"/>
      <c r="N907" s="1"/>
      <c r="O907" s="1"/>
      <c r="P907" s="1"/>
      <c r="Q907" s="1"/>
      <c r="R907" s="1"/>
      <c r="S907" s="1"/>
      <c r="T907" s="1"/>
      <c r="U907" s="1"/>
      <c r="V907" s="1"/>
      <c r="W907" s="1"/>
      <c r="X907" s="1"/>
      <c r="Y907" s="1"/>
    </row>
    <row r="908">
      <c r="A908" s="17"/>
      <c r="B908" s="23"/>
      <c r="C908" s="1"/>
      <c r="D908" s="1"/>
      <c r="E908" s="1"/>
      <c r="F908" s="1"/>
      <c r="G908" s="1"/>
      <c r="H908" s="1"/>
      <c r="I908" s="1"/>
      <c r="J908" s="1"/>
      <c r="K908" s="1"/>
      <c r="L908" s="1"/>
      <c r="M908" s="1"/>
      <c r="N908" s="1"/>
      <c r="O908" s="1"/>
      <c r="P908" s="1"/>
      <c r="Q908" s="1"/>
      <c r="R908" s="1"/>
      <c r="S908" s="1"/>
      <c r="T908" s="1"/>
      <c r="U908" s="1"/>
      <c r="V908" s="1"/>
      <c r="W908" s="1"/>
      <c r="X908" s="1"/>
      <c r="Y908" s="1"/>
    </row>
    <row r="909">
      <c r="A909" s="17"/>
      <c r="B909" s="23"/>
      <c r="C909" s="1"/>
      <c r="D909" s="1"/>
      <c r="E909" s="1"/>
      <c r="F909" s="1"/>
      <c r="G909" s="1"/>
      <c r="H909" s="1"/>
      <c r="I909" s="1"/>
      <c r="J909" s="1"/>
      <c r="K909" s="1"/>
      <c r="L909" s="1"/>
      <c r="M909" s="1"/>
      <c r="N909" s="1"/>
      <c r="O909" s="1"/>
      <c r="P909" s="1"/>
      <c r="Q909" s="1"/>
      <c r="R909" s="1"/>
      <c r="S909" s="1"/>
      <c r="T909" s="1"/>
      <c r="U909" s="1"/>
      <c r="V909" s="1"/>
      <c r="W909" s="1"/>
      <c r="X909" s="1"/>
      <c r="Y909" s="1"/>
    </row>
    <row r="910">
      <c r="A910" s="17"/>
      <c r="B910" s="23"/>
      <c r="C910" s="1"/>
      <c r="D910" s="1"/>
      <c r="E910" s="1"/>
      <c r="F910" s="1"/>
      <c r="G910" s="1"/>
      <c r="H910" s="1"/>
      <c r="I910" s="1"/>
      <c r="J910" s="1"/>
      <c r="K910" s="1"/>
      <c r="L910" s="1"/>
      <c r="M910" s="1"/>
      <c r="N910" s="1"/>
      <c r="O910" s="1"/>
      <c r="P910" s="1"/>
      <c r="Q910" s="1"/>
      <c r="R910" s="1"/>
      <c r="S910" s="1"/>
      <c r="T910" s="1"/>
      <c r="U910" s="1"/>
      <c r="V910" s="1"/>
      <c r="W910" s="1"/>
      <c r="X910" s="1"/>
      <c r="Y910" s="1"/>
    </row>
    <row r="911">
      <c r="A911" s="17"/>
      <c r="B911" s="23"/>
      <c r="C911" s="1"/>
      <c r="D911" s="1"/>
      <c r="E911" s="1"/>
      <c r="F911" s="1"/>
      <c r="G911" s="1"/>
      <c r="H911" s="1"/>
      <c r="I911" s="1"/>
      <c r="J911" s="1"/>
      <c r="K911" s="1"/>
      <c r="L911" s="1"/>
      <c r="M911" s="1"/>
      <c r="N911" s="1"/>
      <c r="O911" s="1"/>
      <c r="P911" s="1"/>
      <c r="Q911" s="1"/>
      <c r="R911" s="1"/>
      <c r="S911" s="1"/>
      <c r="T911" s="1"/>
      <c r="U911" s="1"/>
      <c r="V911" s="1"/>
      <c r="W911" s="1"/>
      <c r="X911" s="1"/>
      <c r="Y911" s="1"/>
    </row>
    <row r="912">
      <c r="A912" s="17"/>
      <c r="B912" s="23"/>
      <c r="C912" s="1"/>
      <c r="D912" s="1"/>
      <c r="E912" s="1"/>
      <c r="F912" s="1"/>
      <c r="G912" s="1"/>
      <c r="H912" s="1"/>
      <c r="I912" s="1"/>
      <c r="J912" s="1"/>
      <c r="K912" s="1"/>
      <c r="L912" s="1"/>
      <c r="M912" s="1"/>
      <c r="N912" s="1"/>
      <c r="O912" s="1"/>
      <c r="P912" s="1"/>
      <c r="Q912" s="1"/>
      <c r="R912" s="1"/>
      <c r="S912" s="1"/>
      <c r="T912" s="1"/>
      <c r="U912" s="1"/>
      <c r="V912" s="1"/>
      <c r="W912" s="1"/>
      <c r="X912" s="1"/>
      <c r="Y912" s="1"/>
    </row>
    <row r="913">
      <c r="A913" s="17"/>
      <c r="B913" s="23"/>
      <c r="C913" s="1"/>
      <c r="D913" s="1"/>
      <c r="E913" s="1"/>
      <c r="F913" s="1"/>
      <c r="G913" s="1"/>
      <c r="H913" s="1"/>
      <c r="I913" s="1"/>
      <c r="J913" s="1"/>
      <c r="K913" s="1"/>
      <c r="L913" s="1"/>
      <c r="M913" s="1"/>
      <c r="N913" s="1"/>
      <c r="O913" s="1"/>
      <c r="P913" s="1"/>
      <c r="Q913" s="1"/>
      <c r="R913" s="1"/>
      <c r="S913" s="1"/>
      <c r="T913" s="1"/>
      <c r="U913" s="1"/>
      <c r="V913" s="1"/>
      <c r="W913" s="1"/>
      <c r="X913" s="1"/>
      <c r="Y913" s="1"/>
    </row>
    <row r="914">
      <c r="A914" s="17"/>
      <c r="B914" s="23"/>
      <c r="C914" s="1"/>
      <c r="D914" s="1"/>
      <c r="E914" s="1"/>
      <c r="F914" s="1"/>
      <c r="G914" s="1"/>
      <c r="H914" s="1"/>
      <c r="I914" s="1"/>
      <c r="J914" s="1"/>
      <c r="K914" s="1"/>
      <c r="L914" s="1"/>
      <c r="M914" s="1"/>
      <c r="N914" s="1"/>
      <c r="O914" s="1"/>
      <c r="P914" s="1"/>
      <c r="Q914" s="1"/>
      <c r="R914" s="1"/>
      <c r="S914" s="1"/>
      <c r="T914" s="1"/>
      <c r="U914" s="1"/>
      <c r="V914" s="1"/>
      <c r="W914" s="1"/>
      <c r="X914" s="1"/>
      <c r="Y914" s="1"/>
    </row>
    <row r="915">
      <c r="A915" s="17"/>
      <c r="B915" s="23"/>
      <c r="C915" s="1"/>
      <c r="D915" s="1"/>
      <c r="E915" s="1"/>
      <c r="F915" s="1"/>
      <c r="G915" s="1"/>
      <c r="H915" s="1"/>
      <c r="I915" s="1"/>
      <c r="J915" s="1"/>
      <c r="K915" s="1"/>
      <c r="L915" s="1"/>
      <c r="M915" s="1"/>
      <c r="N915" s="1"/>
      <c r="O915" s="1"/>
      <c r="P915" s="1"/>
      <c r="Q915" s="1"/>
      <c r="R915" s="1"/>
      <c r="S915" s="1"/>
      <c r="T915" s="1"/>
      <c r="U915" s="1"/>
      <c r="V915" s="1"/>
      <c r="W915" s="1"/>
      <c r="X915" s="1"/>
      <c r="Y915" s="1"/>
    </row>
    <row r="916">
      <c r="A916" s="17"/>
      <c r="B916" s="23"/>
      <c r="C916" s="1"/>
      <c r="D916" s="1"/>
      <c r="E916" s="1"/>
      <c r="F916" s="1"/>
      <c r="G916" s="1"/>
      <c r="H916" s="1"/>
      <c r="I916" s="1"/>
      <c r="J916" s="1"/>
      <c r="K916" s="1"/>
      <c r="L916" s="1"/>
      <c r="M916" s="1"/>
      <c r="N916" s="1"/>
      <c r="O916" s="1"/>
      <c r="P916" s="1"/>
      <c r="Q916" s="1"/>
      <c r="R916" s="1"/>
      <c r="S916" s="1"/>
      <c r="T916" s="1"/>
      <c r="U916" s="1"/>
      <c r="V916" s="1"/>
      <c r="W916" s="1"/>
      <c r="X916" s="1"/>
      <c r="Y916" s="1"/>
    </row>
    <row r="917">
      <c r="A917" s="17"/>
      <c r="B917" s="23"/>
      <c r="C917" s="1"/>
      <c r="D917" s="1"/>
      <c r="E917" s="1"/>
      <c r="F917" s="1"/>
      <c r="G917" s="1"/>
      <c r="H917" s="1"/>
      <c r="I917" s="1"/>
      <c r="J917" s="1"/>
      <c r="K917" s="1"/>
      <c r="L917" s="1"/>
      <c r="M917" s="1"/>
      <c r="N917" s="1"/>
      <c r="O917" s="1"/>
      <c r="P917" s="1"/>
      <c r="Q917" s="1"/>
      <c r="R917" s="1"/>
      <c r="S917" s="1"/>
      <c r="T917" s="1"/>
      <c r="U917" s="1"/>
      <c r="V917" s="1"/>
      <c r="W917" s="1"/>
      <c r="X917" s="1"/>
      <c r="Y917" s="1"/>
    </row>
    <row r="918">
      <c r="A918" s="17"/>
      <c r="B918" s="23"/>
      <c r="C918" s="1"/>
      <c r="D918" s="1"/>
      <c r="E918" s="1"/>
      <c r="F918" s="1"/>
      <c r="G918" s="1"/>
      <c r="H918" s="1"/>
      <c r="I918" s="1"/>
      <c r="J918" s="1"/>
      <c r="K918" s="1"/>
      <c r="L918" s="1"/>
      <c r="M918" s="1"/>
      <c r="N918" s="1"/>
      <c r="O918" s="1"/>
      <c r="P918" s="1"/>
      <c r="Q918" s="1"/>
      <c r="R918" s="1"/>
      <c r="S918" s="1"/>
      <c r="T918" s="1"/>
      <c r="U918" s="1"/>
      <c r="V918" s="1"/>
      <c r="W918" s="1"/>
      <c r="X918" s="1"/>
      <c r="Y918" s="1"/>
    </row>
    <row r="919">
      <c r="A919" s="17"/>
      <c r="B919" s="23"/>
      <c r="C919" s="1"/>
      <c r="D919" s="1"/>
      <c r="E919" s="1"/>
      <c r="F919" s="1"/>
      <c r="G919" s="1"/>
      <c r="H919" s="1"/>
      <c r="I919" s="1"/>
      <c r="J919" s="1"/>
      <c r="K919" s="1"/>
      <c r="L919" s="1"/>
      <c r="M919" s="1"/>
      <c r="N919" s="1"/>
      <c r="O919" s="1"/>
      <c r="P919" s="1"/>
      <c r="Q919" s="1"/>
      <c r="R919" s="1"/>
      <c r="S919" s="1"/>
      <c r="T919" s="1"/>
      <c r="U919" s="1"/>
      <c r="V919" s="1"/>
      <c r="W919" s="1"/>
      <c r="X919" s="1"/>
      <c r="Y919" s="1"/>
    </row>
    <row r="920">
      <c r="A920" s="17"/>
      <c r="B920" s="23"/>
      <c r="C920" s="1"/>
      <c r="D920" s="1"/>
      <c r="E920" s="1"/>
      <c r="F920" s="1"/>
      <c r="G920" s="1"/>
      <c r="H920" s="1"/>
      <c r="I920" s="1"/>
      <c r="J920" s="1"/>
      <c r="K920" s="1"/>
      <c r="L920" s="1"/>
      <c r="M920" s="1"/>
      <c r="N920" s="1"/>
      <c r="O920" s="1"/>
      <c r="P920" s="1"/>
      <c r="Q920" s="1"/>
      <c r="R920" s="1"/>
      <c r="S920" s="1"/>
      <c r="T920" s="1"/>
      <c r="U920" s="1"/>
      <c r="V920" s="1"/>
      <c r="W920" s="1"/>
      <c r="X920" s="1"/>
      <c r="Y920" s="1"/>
    </row>
    <row r="921">
      <c r="A921" s="17"/>
      <c r="B921" s="23"/>
      <c r="C921" s="1"/>
      <c r="D921" s="1"/>
      <c r="E921" s="1"/>
      <c r="F921" s="1"/>
      <c r="G921" s="1"/>
      <c r="H921" s="1"/>
      <c r="I921" s="1"/>
      <c r="J921" s="1"/>
      <c r="K921" s="1"/>
      <c r="L921" s="1"/>
      <c r="M921" s="1"/>
      <c r="N921" s="1"/>
      <c r="O921" s="1"/>
      <c r="P921" s="1"/>
      <c r="Q921" s="1"/>
      <c r="R921" s="1"/>
      <c r="S921" s="1"/>
      <c r="T921" s="1"/>
      <c r="U921" s="1"/>
      <c r="V921" s="1"/>
      <c r="W921" s="1"/>
      <c r="X921" s="1"/>
      <c r="Y921" s="1"/>
    </row>
    <row r="922">
      <c r="A922" s="17"/>
      <c r="B922" s="23"/>
      <c r="C922" s="1"/>
      <c r="D922" s="1"/>
      <c r="E922" s="1"/>
      <c r="F922" s="1"/>
      <c r="G922" s="1"/>
      <c r="H922" s="1"/>
      <c r="I922" s="1"/>
      <c r="J922" s="1"/>
      <c r="K922" s="1"/>
      <c r="L922" s="1"/>
      <c r="M922" s="1"/>
      <c r="N922" s="1"/>
      <c r="O922" s="1"/>
      <c r="P922" s="1"/>
      <c r="Q922" s="1"/>
      <c r="R922" s="1"/>
      <c r="S922" s="1"/>
      <c r="T922" s="1"/>
      <c r="U922" s="1"/>
      <c r="V922" s="1"/>
      <c r="W922" s="1"/>
      <c r="X922" s="1"/>
      <c r="Y922" s="1"/>
    </row>
    <row r="923">
      <c r="A923" s="17"/>
      <c r="B923" s="23"/>
      <c r="C923" s="1"/>
      <c r="D923" s="1"/>
      <c r="E923" s="1"/>
      <c r="F923" s="1"/>
      <c r="G923" s="1"/>
      <c r="H923" s="1"/>
      <c r="I923" s="1"/>
      <c r="J923" s="1"/>
      <c r="K923" s="1"/>
      <c r="L923" s="1"/>
      <c r="M923" s="1"/>
      <c r="N923" s="1"/>
      <c r="O923" s="1"/>
      <c r="P923" s="1"/>
      <c r="Q923" s="1"/>
      <c r="R923" s="1"/>
      <c r="S923" s="1"/>
      <c r="T923" s="1"/>
      <c r="U923" s="1"/>
      <c r="V923" s="1"/>
      <c r="W923" s="1"/>
      <c r="X923" s="1"/>
      <c r="Y923" s="1"/>
    </row>
    <row r="924">
      <c r="A924" s="17"/>
      <c r="B924" s="23"/>
      <c r="C924" s="1"/>
      <c r="D924" s="1"/>
      <c r="E924" s="1"/>
      <c r="F924" s="1"/>
      <c r="G924" s="1"/>
      <c r="H924" s="1"/>
      <c r="I924" s="1"/>
      <c r="J924" s="1"/>
      <c r="K924" s="1"/>
      <c r="L924" s="1"/>
      <c r="M924" s="1"/>
      <c r="N924" s="1"/>
      <c r="O924" s="1"/>
      <c r="P924" s="1"/>
      <c r="Q924" s="1"/>
      <c r="R924" s="1"/>
      <c r="S924" s="1"/>
      <c r="T924" s="1"/>
      <c r="U924" s="1"/>
      <c r="V924" s="1"/>
      <c r="W924" s="1"/>
      <c r="X924" s="1"/>
      <c r="Y924" s="1"/>
    </row>
    <row r="925">
      <c r="A925" s="17"/>
      <c r="B925" s="23"/>
      <c r="C925" s="1"/>
      <c r="D925" s="1"/>
      <c r="E925" s="1"/>
      <c r="F925" s="1"/>
      <c r="G925" s="1"/>
      <c r="H925" s="1"/>
      <c r="I925" s="1"/>
      <c r="J925" s="1"/>
      <c r="K925" s="1"/>
      <c r="L925" s="1"/>
      <c r="M925" s="1"/>
      <c r="N925" s="1"/>
      <c r="O925" s="1"/>
      <c r="P925" s="1"/>
      <c r="Q925" s="1"/>
      <c r="R925" s="1"/>
      <c r="S925" s="1"/>
      <c r="T925" s="1"/>
      <c r="U925" s="1"/>
      <c r="V925" s="1"/>
      <c r="W925" s="1"/>
      <c r="X925" s="1"/>
      <c r="Y925" s="1"/>
    </row>
    <row r="926">
      <c r="A926" s="17"/>
      <c r="B926" s="23"/>
      <c r="C926" s="1"/>
      <c r="D926" s="1"/>
      <c r="E926" s="1"/>
      <c r="F926" s="1"/>
      <c r="G926" s="1"/>
      <c r="H926" s="1"/>
      <c r="I926" s="1"/>
      <c r="J926" s="1"/>
      <c r="K926" s="1"/>
      <c r="L926" s="1"/>
      <c r="M926" s="1"/>
      <c r="N926" s="1"/>
      <c r="O926" s="1"/>
      <c r="P926" s="1"/>
      <c r="Q926" s="1"/>
      <c r="R926" s="1"/>
      <c r="S926" s="1"/>
      <c r="T926" s="1"/>
      <c r="U926" s="1"/>
      <c r="V926" s="1"/>
      <c r="W926" s="1"/>
      <c r="X926" s="1"/>
      <c r="Y926" s="1"/>
    </row>
    <row r="927">
      <c r="A927" s="17"/>
      <c r="B927" s="23"/>
      <c r="C927" s="1"/>
      <c r="D927" s="1"/>
      <c r="E927" s="1"/>
      <c r="F927" s="1"/>
      <c r="G927" s="1"/>
      <c r="H927" s="1"/>
      <c r="I927" s="1"/>
      <c r="J927" s="1"/>
      <c r="K927" s="1"/>
      <c r="L927" s="1"/>
      <c r="M927" s="1"/>
      <c r="N927" s="1"/>
      <c r="O927" s="1"/>
      <c r="P927" s="1"/>
      <c r="Q927" s="1"/>
      <c r="R927" s="1"/>
      <c r="S927" s="1"/>
      <c r="T927" s="1"/>
      <c r="U927" s="1"/>
      <c r="V927" s="1"/>
      <c r="W927" s="1"/>
      <c r="X927" s="1"/>
      <c r="Y927" s="1"/>
    </row>
    <row r="928">
      <c r="A928" s="17"/>
      <c r="B928" s="23"/>
      <c r="C928" s="1"/>
      <c r="D928" s="1"/>
      <c r="E928" s="1"/>
      <c r="F928" s="1"/>
      <c r="G928" s="1"/>
      <c r="H928" s="1"/>
      <c r="I928" s="1"/>
      <c r="J928" s="1"/>
      <c r="K928" s="1"/>
      <c r="L928" s="1"/>
      <c r="M928" s="1"/>
      <c r="N928" s="1"/>
      <c r="O928" s="1"/>
      <c r="P928" s="1"/>
      <c r="Q928" s="1"/>
      <c r="R928" s="1"/>
      <c r="S928" s="1"/>
      <c r="T928" s="1"/>
      <c r="U928" s="1"/>
      <c r="V928" s="1"/>
      <c r="W928" s="1"/>
      <c r="X928" s="1"/>
      <c r="Y928" s="1"/>
    </row>
    <row r="929">
      <c r="A929" s="17"/>
      <c r="B929" s="23"/>
      <c r="C929" s="1"/>
      <c r="D929" s="1"/>
      <c r="E929" s="1"/>
      <c r="F929" s="1"/>
      <c r="G929" s="1"/>
      <c r="H929" s="1"/>
      <c r="I929" s="1"/>
      <c r="J929" s="1"/>
      <c r="K929" s="1"/>
      <c r="L929" s="1"/>
      <c r="M929" s="1"/>
      <c r="N929" s="1"/>
      <c r="O929" s="1"/>
      <c r="P929" s="1"/>
      <c r="Q929" s="1"/>
      <c r="R929" s="1"/>
      <c r="S929" s="1"/>
      <c r="T929" s="1"/>
      <c r="U929" s="1"/>
      <c r="V929" s="1"/>
      <c r="W929" s="1"/>
      <c r="X929" s="1"/>
      <c r="Y929" s="1"/>
    </row>
    <row r="930">
      <c r="A930" s="17"/>
      <c r="B930" s="23"/>
      <c r="C930" s="1"/>
      <c r="D930" s="1"/>
      <c r="E930" s="1"/>
      <c r="F930" s="1"/>
      <c r="G930" s="1"/>
      <c r="H930" s="1"/>
      <c r="I930" s="1"/>
      <c r="J930" s="1"/>
      <c r="K930" s="1"/>
      <c r="L930" s="1"/>
      <c r="M930" s="1"/>
      <c r="N930" s="1"/>
      <c r="O930" s="1"/>
      <c r="P930" s="1"/>
      <c r="Q930" s="1"/>
      <c r="R930" s="1"/>
      <c r="S930" s="1"/>
      <c r="T930" s="1"/>
      <c r="U930" s="1"/>
      <c r="V930" s="1"/>
      <c r="W930" s="1"/>
      <c r="X930" s="1"/>
      <c r="Y930" s="1"/>
    </row>
    <row r="931">
      <c r="A931" s="17"/>
      <c r="B931" s="23"/>
      <c r="C931" s="1"/>
      <c r="D931" s="1"/>
      <c r="E931" s="1"/>
      <c r="F931" s="1"/>
      <c r="G931" s="1"/>
      <c r="H931" s="1"/>
      <c r="I931" s="1"/>
      <c r="J931" s="1"/>
      <c r="K931" s="1"/>
      <c r="L931" s="1"/>
      <c r="M931" s="1"/>
      <c r="N931" s="1"/>
      <c r="O931" s="1"/>
      <c r="P931" s="1"/>
      <c r="Q931" s="1"/>
      <c r="R931" s="1"/>
      <c r="S931" s="1"/>
      <c r="T931" s="1"/>
      <c r="U931" s="1"/>
      <c r="V931" s="1"/>
      <c r="W931" s="1"/>
      <c r="X931" s="1"/>
      <c r="Y931" s="1"/>
    </row>
    <row r="932">
      <c r="A932" s="17"/>
      <c r="B932" s="23"/>
      <c r="C932" s="1"/>
      <c r="D932" s="1"/>
      <c r="E932" s="1"/>
      <c r="F932" s="1"/>
      <c r="G932" s="1"/>
      <c r="H932" s="1"/>
      <c r="I932" s="1"/>
      <c r="J932" s="1"/>
      <c r="K932" s="1"/>
      <c r="L932" s="1"/>
      <c r="M932" s="1"/>
      <c r="N932" s="1"/>
      <c r="O932" s="1"/>
      <c r="P932" s="1"/>
      <c r="Q932" s="1"/>
      <c r="R932" s="1"/>
      <c r="S932" s="1"/>
      <c r="T932" s="1"/>
      <c r="U932" s="1"/>
      <c r="V932" s="1"/>
      <c r="W932" s="1"/>
      <c r="X932" s="1"/>
      <c r="Y932" s="1"/>
    </row>
    <row r="933">
      <c r="A933" s="17"/>
      <c r="B933" s="23"/>
      <c r="C933" s="1"/>
      <c r="D933" s="1"/>
      <c r="E933" s="1"/>
      <c r="F933" s="1"/>
      <c r="G933" s="1"/>
      <c r="H933" s="1"/>
      <c r="I933" s="1"/>
      <c r="J933" s="1"/>
      <c r="K933" s="1"/>
      <c r="L933" s="1"/>
      <c r="M933" s="1"/>
      <c r="N933" s="1"/>
      <c r="O933" s="1"/>
      <c r="P933" s="1"/>
      <c r="Q933" s="1"/>
      <c r="R933" s="1"/>
      <c r="S933" s="1"/>
      <c r="T933" s="1"/>
      <c r="U933" s="1"/>
      <c r="V933" s="1"/>
      <c r="W933" s="1"/>
      <c r="X933" s="1"/>
      <c r="Y933" s="1"/>
    </row>
    <row r="934">
      <c r="A934" s="17"/>
      <c r="B934" s="23"/>
      <c r="C934" s="1"/>
      <c r="D934" s="1"/>
      <c r="E934" s="1"/>
      <c r="F934" s="1"/>
      <c r="G934" s="1"/>
      <c r="H934" s="1"/>
      <c r="I934" s="1"/>
      <c r="J934" s="1"/>
      <c r="K934" s="1"/>
      <c r="L934" s="1"/>
      <c r="M934" s="1"/>
      <c r="N934" s="1"/>
      <c r="O934" s="1"/>
      <c r="P934" s="1"/>
      <c r="Q934" s="1"/>
      <c r="R934" s="1"/>
      <c r="S934" s="1"/>
      <c r="T934" s="1"/>
      <c r="U934" s="1"/>
      <c r="V934" s="1"/>
      <c r="W934" s="1"/>
      <c r="X934" s="1"/>
      <c r="Y934" s="1"/>
    </row>
    <row r="935">
      <c r="A935" s="17"/>
      <c r="B935" s="23"/>
      <c r="C935" s="1"/>
      <c r="D935" s="1"/>
      <c r="E935" s="1"/>
      <c r="F935" s="1"/>
      <c r="G935" s="1"/>
      <c r="H935" s="1"/>
      <c r="I935" s="1"/>
      <c r="J935" s="1"/>
      <c r="K935" s="1"/>
      <c r="L935" s="1"/>
      <c r="M935" s="1"/>
      <c r="N935" s="1"/>
      <c r="O935" s="1"/>
      <c r="P935" s="1"/>
      <c r="Q935" s="1"/>
      <c r="R935" s="1"/>
      <c r="S935" s="1"/>
      <c r="T935" s="1"/>
      <c r="U935" s="1"/>
      <c r="V935" s="1"/>
      <c r="W935" s="1"/>
      <c r="X935" s="1"/>
      <c r="Y935" s="1"/>
    </row>
    <row r="936">
      <c r="A936" s="17"/>
      <c r="B936" s="23"/>
      <c r="C936" s="1"/>
      <c r="D936" s="1"/>
      <c r="E936" s="1"/>
      <c r="F936" s="1"/>
      <c r="G936" s="1"/>
      <c r="H936" s="1"/>
      <c r="I936" s="1"/>
      <c r="J936" s="1"/>
      <c r="K936" s="1"/>
      <c r="L936" s="1"/>
      <c r="M936" s="1"/>
      <c r="N936" s="1"/>
      <c r="O936" s="1"/>
      <c r="P936" s="1"/>
      <c r="Q936" s="1"/>
      <c r="R936" s="1"/>
      <c r="S936" s="1"/>
      <c r="T936" s="1"/>
      <c r="U936" s="1"/>
      <c r="V936" s="1"/>
      <c r="W936" s="1"/>
      <c r="X936" s="1"/>
      <c r="Y936" s="1"/>
    </row>
    <row r="937">
      <c r="A937" s="17"/>
      <c r="B937" s="23"/>
      <c r="C937" s="1"/>
      <c r="D937" s="1"/>
      <c r="E937" s="1"/>
      <c r="F937" s="1"/>
      <c r="G937" s="1"/>
      <c r="H937" s="1"/>
      <c r="I937" s="1"/>
      <c r="J937" s="1"/>
      <c r="K937" s="1"/>
      <c r="L937" s="1"/>
      <c r="M937" s="1"/>
      <c r="N937" s="1"/>
      <c r="O937" s="1"/>
      <c r="P937" s="1"/>
      <c r="Q937" s="1"/>
      <c r="R937" s="1"/>
      <c r="S937" s="1"/>
      <c r="T937" s="1"/>
      <c r="U937" s="1"/>
      <c r="V937" s="1"/>
      <c r="W937" s="1"/>
      <c r="X937" s="1"/>
      <c r="Y937" s="1"/>
    </row>
    <row r="938">
      <c r="A938" s="17"/>
      <c r="B938" s="23"/>
      <c r="C938" s="1"/>
      <c r="D938" s="1"/>
      <c r="E938" s="1"/>
      <c r="F938" s="1"/>
      <c r="G938" s="1"/>
      <c r="H938" s="1"/>
      <c r="I938" s="1"/>
      <c r="J938" s="1"/>
      <c r="K938" s="1"/>
      <c r="L938" s="1"/>
      <c r="M938" s="1"/>
      <c r="N938" s="1"/>
      <c r="O938" s="1"/>
      <c r="P938" s="1"/>
      <c r="Q938" s="1"/>
      <c r="R938" s="1"/>
      <c r="S938" s="1"/>
      <c r="T938" s="1"/>
      <c r="U938" s="1"/>
      <c r="V938" s="1"/>
      <c r="W938" s="1"/>
      <c r="X938" s="1"/>
      <c r="Y938" s="1"/>
    </row>
    <row r="939">
      <c r="A939" s="17"/>
      <c r="B939" s="23"/>
      <c r="C939" s="1"/>
      <c r="D939" s="1"/>
      <c r="E939" s="1"/>
      <c r="F939" s="1"/>
      <c r="G939" s="1"/>
      <c r="H939" s="1"/>
      <c r="I939" s="1"/>
      <c r="J939" s="1"/>
      <c r="K939" s="1"/>
      <c r="L939" s="1"/>
      <c r="M939" s="1"/>
      <c r="N939" s="1"/>
      <c r="O939" s="1"/>
      <c r="P939" s="1"/>
      <c r="Q939" s="1"/>
      <c r="R939" s="1"/>
      <c r="S939" s="1"/>
      <c r="T939" s="1"/>
      <c r="U939" s="1"/>
      <c r="V939" s="1"/>
      <c r="W939" s="1"/>
      <c r="X939" s="1"/>
      <c r="Y939" s="1"/>
    </row>
    <row r="940">
      <c r="A940" s="17"/>
      <c r="B940" s="23"/>
      <c r="C940" s="1"/>
      <c r="D940" s="1"/>
      <c r="E940" s="1"/>
      <c r="F940" s="1"/>
      <c r="G940" s="1"/>
      <c r="H940" s="1"/>
      <c r="I940" s="1"/>
      <c r="J940" s="1"/>
      <c r="K940" s="1"/>
      <c r="L940" s="1"/>
      <c r="M940" s="1"/>
      <c r="N940" s="1"/>
      <c r="O940" s="1"/>
      <c r="P940" s="1"/>
      <c r="Q940" s="1"/>
      <c r="R940" s="1"/>
      <c r="S940" s="1"/>
      <c r="T940" s="1"/>
      <c r="U940" s="1"/>
      <c r="V940" s="1"/>
      <c r="W940" s="1"/>
      <c r="X940" s="1"/>
      <c r="Y940" s="1"/>
    </row>
    <row r="941">
      <c r="A941" s="17"/>
      <c r="B941" s="23"/>
      <c r="C941" s="1"/>
      <c r="D941" s="1"/>
      <c r="E941" s="1"/>
      <c r="F941" s="1"/>
      <c r="G941" s="1"/>
      <c r="H941" s="1"/>
      <c r="I941" s="1"/>
      <c r="J941" s="1"/>
      <c r="K941" s="1"/>
      <c r="L941" s="1"/>
      <c r="M941" s="1"/>
      <c r="N941" s="1"/>
      <c r="O941" s="1"/>
      <c r="P941" s="1"/>
      <c r="Q941" s="1"/>
      <c r="R941" s="1"/>
      <c r="S941" s="1"/>
      <c r="T941" s="1"/>
      <c r="U941" s="1"/>
      <c r="V941" s="1"/>
      <c r="W941" s="1"/>
      <c r="X941" s="1"/>
      <c r="Y941" s="1"/>
    </row>
    <row r="942">
      <c r="A942" s="17"/>
      <c r="B942" s="23"/>
      <c r="C942" s="1"/>
      <c r="D942" s="1"/>
      <c r="E942" s="1"/>
      <c r="F942" s="1"/>
      <c r="G942" s="1"/>
      <c r="H942" s="1"/>
      <c r="I942" s="1"/>
      <c r="J942" s="1"/>
      <c r="K942" s="1"/>
      <c r="L942" s="1"/>
      <c r="M942" s="1"/>
      <c r="N942" s="1"/>
      <c r="O942" s="1"/>
      <c r="P942" s="1"/>
      <c r="Q942" s="1"/>
      <c r="R942" s="1"/>
      <c r="S942" s="1"/>
      <c r="T942" s="1"/>
      <c r="U942" s="1"/>
      <c r="V942" s="1"/>
      <c r="W942" s="1"/>
      <c r="X942" s="1"/>
      <c r="Y942" s="1"/>
    </row>
    <row r="943">
      <c r="A943" s="17"/>
      <c r="B943" s="23"/>
      <c r="C943" s="1"/>
      <c r="D943" s="1"/>
      <c r="E943" s="1"/>
      <c r="F943" s="1"/>
      <c r="G943" s="1"/>
      <c r="H943" s="1"/>
      <c r="I943" s="1"/>
      <c r="J943" s="1"/>
      <c r="K943" s="1"/>
      <c r="L943" s="1"/>
      <c r="M943" s="1"/>
      <c r="N943" s="1"/>
      <c r="O943" s="1"/>
      <c r="P943" s="1"/>
      <c r="Q943" s="1"/>
      <c r="R943" s="1"/>
      <c r="S943" s="1"/>
      <c r="T943" s="1"/>
      <c r="U943" s="1"/>
      <c r="V943" s="1"/>
      <c r="W943" s="1"/>
      <c r="X943" s="1"/>
      <c r="Y943" s="1"/>
    </row>
    <row r="944">
      <c r="A944" s="17"/>
      <c r="B944" s="23"/>
      <c r="C944" s="1"/>
      <c r="D944" s="1"/>
      <c r="E944" s="1"/>
      <c r="F944" s="1"/>
      <c r="G944" s="1"/>
      <c r="H944" s="1"/>
      <c r="I944" s="1"/>
      <c r="J944" s="1"/>
      <c r="K944" s="1"/>
      <c r="L944" s="1"/>
      <c r="M944" s="1"/>
      <c r="N944" s="1"/>
      <c r="O944" s="1"/>
      <c r="P944" s="1"/>
      <c r="Q944" s="1"/>
      <c r="R944" s="1"/>
      <c r="S944" s="1"/>
      <c r="T944" s="1"/>
      <c r="U944" s="1"/>
      <c r="V944" s="1"/>
      <c r="W944" s="1"/>
      <c r="X944" s="1"/>
      <c r="Y944" s="1"/>
    </row>
    <row r="945">
      <c r="A945" s="17"/>
      <c r="B945" s="23"/>
      <c r="C945" s="1"/>
      <c r="D945" s="1"/>
      <c r="E945" s="1"/>
      <c r="F945" s="1"/>
      <c r="G945" s="1"/>
      <c r="H945" s="1"/>
      <c r="I945" s="1"/>
      <c r="J945" s="1"/>
      <c r="K945" s="1"/>
      <c r="L945" s="1"/>
      <c r="M945" s="1"/>
      <c r="N945" s="1"/>
      <c r="O945" s="1"/>
      <c r="P945" s="1"/>
      <c r="Q945" s="1"/>
      <c r="R945" s="1"/>
      <c r="S945" s="1"/>
      <c r="T945" s="1"/>
      <c r="U945" s="1"/>
      <c r="V945" s="1"/>
      <c r="W945" s="1"/>
      <c r="X945" s="1"/>
      <c r="Y945" s="1"/>
    </row>
    <row r="946">
      <c r="A946" s="17"/>
      <c r="B946" s="23"/>
      <c r="C946" s="1"/>
      <c r="D946" s="1"/>
      <c r="E946" s="1"/>
      <c r="F946" s="1"/>
      <c r="G946" s="1"/>
      <c r="H946" s="1"/>
      <c r="I946" s="1"/>
      <c r="J946" s="1"/>
      <c r="K946" s="1"/>
      <c r="L946" s="1"/>
      <c r="M946" s="1"/>
      <c r="N946" s="1"/>
      <c r="O946" s="1"/>
      <c r="P946" s="1"/>
      <c r="Q946" s="1"/>
      <c r="R946" s="1"/>
      <c r="S946" s="1"/>
      <c r="T946" s="1"/>
      <c r="U946" s="1"/>
      <c r="V946" s="1"/>
      <c r="W946" s="1"/>
      <c r="X946" s="1"/>
      <c r="Y946" s="1"/>
    </row>
    <row r="947">
      <c r="A947" s="17"/>
      <c r="B947" s="23"/>
      <c r="C947" s="1"/>
      <c r="D947" s="1"/>
      <c r="E947" s="1"/>
      <c r="F947" s="1"/>
      <c r="G947" s="1"/>
      <c r="H947" s="1"/>
      <c r="I947" s="1"/>
      <c r="J947" s="1"/>
      <c r="K947" s="1"/>
      <c r="L947" s="1"/>
      <c r="M947" s="1"/>
      <c r="N947" s="1"/>
      <c r="O947" s="1"/>
      <c r="P947" s="1"/>
      <c r="Q947" s="1"/>
      <c r="R947" s="1"/>
      <c r="S947" s="1"/>
      <c r="T947" s="1"/>
      <c r="U947" s="1"/>
      <c r="V947" s="1"/>
      <c r="W947" s="1"/>
      <c r="X947" s="1"/>
      <c r="Y947" s="1"/>
    </row>
    <row r="948">
      <c r="A948" s="17"/>
      <c r="B948" s="23"/>
      <c r="C948" s="1"/>
      <c r="D948" s="1"/>
      <c r="E948" s="1"/>
      <c r="F948" s="1"/>
      <c r="G948" s="1"/>
      <c r="H948" s="1"/>
      <c r="I948" s="1"/>
      <c r="J948" s="1"/>
      <c r="K948" s="1"/>
      <c r="L948" s="1"/>
      <c r="M948" s="1"/>
      <c r="N948" s="1"/>
      <c r="O948" s="1"/>
      <c r="P948" s="1"/>
      <c r="Q948" s="1"/>
      <c r="R948" s="1"/>
      <c r="S948" s="1"/>
      <c r="T948" s="1"/>
      <c r="U948" s="1"/>
      <c r="V948" s="1"/>
      <c r="W948" s="1"/>
      <c r="X948" s="1"/>
      <c r="Y948" s="1"/>
    </row>
    <row r="949">
      <c r="A949" s="17"/>
      <c r="B949" s="23"/>
      <c r="C949" s="1"/>
      <c r="D949" s="1"/>
      <c r="E949" s="1"/>
      <c r="F949" s="1"/>
      <c r="G949" s="1"/>
      <c r="H949" s="1"/>
      <c r="I949" s="1"/>
      <c r="J949" s="1"/>
      <c r="K949" s="1"/>
      <c r="L949" s="1"/>
      <c r="M949" s="1"/>
      <c r="N949" s="1"/>
      <c r="O949" s="1"/>
      <c r="P949" s="1"/>
      <c r="Q949" s="1"/>
      <c r="R949" s="1"/>
      <c r="S949" s="1"/>
      <c r="T949" s="1"/>
      <c r="U949" s="1"/>
      <c r="V949" s="1"/>
      <c r="W949" s="1"/>
      <c r="X949" s="1"/>
      <c r="Y949" s="1"/>
    </row>
    <row r="950">
      <c r="A950" s="17"/>
      <c r="B950" s="23"/>
      <c r="C950" s="1"/>
      <c r="D950" s="1"/>
      <c r="E950" s="1"/>
      <c r="F950" s="1"/>
      <c r="G950" s="1"/>
      <c r="H950" s="1"/>
      <c r="I950" s="1"/>
      <c r="J950" s="1"/>
      <c r="K950" s="1"/>
      <c r="L950" s="1"/>
      <c r="M950" s="1"/>
      <c r="N950" s="1"/>
      <c r="O950" s="1"/>
      <c r="P950" s="1"/>
      <c r="Q950" s="1"/>
      <c r="R950" s="1"/>
      <c r="S950" s="1"/>
      <c r="T950" s="1"/>
      <c r="U950" s="1"/>
      <c r="V950" s="1"/>
      <c r="W950" s="1"/>
      <c r="X950" s="1"/>
      <c r="Y950" s="1"/>
    </row>
    <row r="951">
      <c r="A951" s="17"/>
      <c r="B951" s="23"/>
      <c r="C951" s="1"/>
      <c r="D951" s="1"/>
      <c r="E951" s="1"/>
      <c r="F951" s="1"/>
      <c r="G951" s="1"/>
      <c r="H951" s="1"/>
      <c r="I951" s="1"/>
      <c r="J951" s="1"/>
      <c r="K951" s="1"/>
      <c r="L951" s="1"/>
      <c r="M951" s="1"/>
      <c r="N951" s="1"/>
      <c r="O951" s="1"/>
      <c r="P951" s="1"/>
      <c r="Q951" s="1"/>
      <c r="R951" s="1"/>
      <c r="S951" s="1"/>
      <c r="T951" s="1"/>
      <c r="U951" s="1"/>
      <c r="V951" s="1"/>
      <c r="W951" s="1"/>
      <c r="X951" s="1"/>
      <c r="Y951" s="1"/>
    </row>
    <row r="952">
      <c r="A952" s="17"/>
      <c r="B952" s="23"/>
      <c r="C952" s="1"/>
      <c r="D952" s="1"/>
      <c r="E952" s="1"/>
      <c r="F952" s="1"/>
      <c r="G952" s="1"/>
      <c r="H952" s="1"/>
      <c r="I952" s="1"/>
      <c r="J952" s="1"/>
      <c r="K952" s="1"/>
      <c r="L952" s="1"/>
      <c r="M952" s="1"/>
      <c r="N952" s="1"/>
      <c r="O952" s="1"/>
      <c r="P952" s="1"/>
      <c r="Q952" s="1"/>
      <c r="R952" s="1"/>
      <c r="S952" s="1"/>
      <c r="T952" s="1"/>
      <c r="U952" s="1"/>
      <c r="V952" s="1"/>
      <c r="W952" s="1"/>
      <c r="X952" s="1"/>
      <c r="Y952" s="1"/>
    </row>
    <row r="953">
      <c r="A953" s="17"/>
      <c r="B953" s="23"/>
      <c r="C953" s="1"/>
      <c r="D953" s="1"/>
      <c r="E953" s="1"/>
      <c r="F953" s="1"/>
      <c r="G953" s="1"/>
      <c r="H953" s="1"/>
      <c r="I953" s="1"/>
      <c r="J953" s="1"/>
      <c r="K953" s="1"/>
      <c r="L953" s="1"/>
      <c r="M953" s="1"/>
      <c r="N953" s="1"/>
      <c r="O953" s="1"/>
      <c r="P953" s="1"/>
      <c r="Q953" s="1"/>
      <c r="R953" s="1"/>
      <c r="S953" s="1"/>
      <c r="T953" s="1"/>
      <c r="U953" s="1"/>
      <c r="V953" s="1"/>
      <c r="W953" s="1"/>
      <c r="X953" s="1"/>
      <c r="Y953" s="1"/>
    </row>
    <row r="954">
      <c r="A954" s="17"/>
      <c r="B954" s="23"/>
      <c r="C954" s="1"/>
      <c r="D954" s="1"/>
      <c r="E954" s="1"/>
      <c r="F954" s="1"/>
      <c r="G954" s="1"/>
      <c r="H954" s="1"/>
      <c r="I954" s="1"/>
      <c r="J954" s="1"/>
      <c r="K954" s="1"/>
      <c r="L954" s="1"/>
      <c r="M954" s="1"/>
      <c r="N954" s="1"/>
      <c r="O954" s="1"/>
      <c r="P954" s="1"/>
      <c r="Q954" s="1"/>
      <c r="R954" s="1"/>
      <c r="S954" s="1"/>
      <c r="T954" s="1"/>
      <c r="U954" s="1"/>
      <c r="V954" s="1"/>
      <c r="W954" s="1"/>
      <c r="X954" s="1"/>
      <c r="Y954" s="1"/>
    </row>
    <row r="955">
      <c r="A955" s="17"/>
      <c r="B955" s="23"/>
      <c r="C955" s="1"/>
      <c r="D955" s="1"/>
      <c r="E955" s="1"/>
      <c r="F955" s="1"/>
      <c r="G955" s="1"/>
      <c r="H955" s="1"/>
      <c r="I955" s="1"/>
      <c r="J955" s="1"/>
      <c r="K955" s="1"/>
      <c r="L955" s="1"/>
      <c r="M955" s="1"/>
      <c r="N955" s="1"/>
      <c r="O955" s="1"/>
      <c r="P955" s="1"/>
      <c r="Q955" s="1"/>
      <c r="R955" s="1"/>
      <c r="S955" s="1"/>
      <c r="T955" s="1"/>
      <c r="U955" s="1"/>
      <c r="V955" s="1"/>
      <c r="W955" s="1"/>
      <c r="X955" s="1"/>
      <c r="Y955" s="1"/>
    </row>
    <row r="956">
      <c r="A956" s="17"/>
      <c r="B956" s="23"/>
      <c r="C956" s="1"/>
      <c r="D956" s="1"/>
      <c r="E956" s="1"/>
      <c r="F956" s="1"/>
      <c r="G956" s="1"/>
      <c r="H956" s="1"/>
      <c r="I956" s="1"/>
      <c r="J956" s="1"/>
      <c r="K956" s="1"/>
      <c r="L956" s="1"/>
      <c r="M956" s="1"/>
      <c r="N956" s="1"/>
      <c r="O956" s="1"/>
      <c r="P956" s="1"/>
      <c r="Q956" s="1"/>
      <c r="R956" s="1"/>
      <c r="S956" s="1"/>
      <c r="T956" s="1"/>
      <c r="U956" s="1"/>
      <c r="V956" s="1"/>
      <c r="W956" s="1"/>
      <c r="X956" s="1"/>
      <c r="Y956" s="1"/>
    </row>
    <row r="957">
      <c r="A957" s="17"/>
      <c r="B957" s="23"/>
      <c r="C957" s="1"/>
      <c r="D957" s="1"/>
      <c r="E957" s="1"/>
      <c r="F957" s="1"/>
      <c r="G957" s="1"/>
      <c r="H957" s="1"/>
      <c r="I957" s="1"/>
      <c r="J957" s="1"/>
      <c r="K957" s="1"/>
      <c r="L957" s="1"/>
      <c r="M957" s="1"/>
      <c r="N957" s="1"/>
      <c r="O957" s="1"/>
      <c r="P957" s="1"/>
      <c r="Q957" s="1"/>
      <c r="R957" s="1"/>
      <c r="S957" s="1"/>
      <c r="T957" s="1"/>
      <c r="U957" s="1"/>
      <c r="V957" s="1"/>
      <c r="W957" s="1"/>
      <c r="X957" s="1"/>
      <c r="Y957" s="1"/>
    </row>
    <row r="958">
      <c r="A958" s="17"/>
      <c r="B958" s="23"/>
      <c r="C958" s="1"/>
      <c r="D958" s="1"/>
      <c r="E958" s="1"/>
      <c r="F958" s="1"/>
      <c r="G958" s="1"/>
      <c r="H958" s="1"/>
      <c r="I958" s="1"/>
      <c r="J958" s="1"/>
      <c r="K958" s="1"/>
      <c r="L958" s="1"/>
      <c r="M958" s="1"/>
      <c r="N958" s="1"/>
      <c r="O958" s="1"/>
      <c r="P958" s="1"/>
      <c r="Q958" s="1"/>
      <c r="R958" s="1"/>
      <c r="S958" s="1"/>
      <c r="T958" s="1"/>
      <c r="U958" s="1"/>
      <c r="V958" s="1"/>
      <c r="W958" s="1"/>
      <c r="X958" s="1"/>
      <c r="Y958" s="1"/>
    </row>
    <row r="959">
      <c r="A959" s="17"/>
      <c r="B959" s="23"/>
      <c r="C959" s="1"/>
      <c r="D959" s="1"/>
      <c r="E959" s="1"/>
      <c r="F959" s="1"/>
      <c r="G959" s="1"/>
      <c r="H959" s="1"/>
      <c r="I959" s="1"/>
      <c r="J959" s="1"/>
      <c r="K959" s="1"/>
      <c r="L959" s="1"/>
      <c r="M959" s="1"/>
      <c r="N959" s="1"/>
      <c r="O959" s="1"/>
      <c r="P959" s="1"/>
      <c r="Q959" s="1"/>
      <c r="R959" s="1"/>
      <c r="S959" s="1"/>
      <c r="T959" s="1"/>
      <c r="U959" s="1"/>
      <c r="V959" s="1"/>
      <c r="W959" s="1"/>
      <c r="X959" s="1"/>
      <c r="Y959" s="1"/>
    </row>
    <row r="960">
      <c r="A960" s="17"/>
      <c r="B960" s="23"/>
      <c r="C960" s="1"/>
      <c r="D960" s="1"/>
      <c r="E960" s="1"/>
      <c r="F960" s="1"/>
      <c r="G960" s="1"/>
      <c r="H960" s="1"/>
      <c r="I960" s="1"/>
      <c r="J960" s="1"/>
      <c r="K960" s="1"/>
      <c r="L960" s="1"/>
      <c r="M960" s="1"/>
      <c r="N960" s="1"/>
      <c r="O960" s="1"/>
      <c r="P960" s="1"/>
      <c r="Q960" s="1"/>
      <c r="R960" s="1"/>
      <c r="S960" s="1"/>
      <c r="T960" s="1"/>
      <c r="U960" s="1"/>
      <c r="V960" s="1"/>
      <c r="W960" s="1"/>
      <c r="X960" s="1"/>
      <c r="Y960" s="1"/>
    </row>
    <row r="961">
      <c r="A961" s="17"/>
      <c r="B961" s="23"/>
      <c r="C961" s="1"/>
      <c r="D961" s="1"/>
      <c r="E961" s="1"/>
      <c r="F961" s="1"/>
      <c r="G961" s="1"/>
      <c r="H961" s="1"/>
      <c r="I961" s="1"/>
      <c r="J961" s="1"/>
      <c r="K961" s="1"/>
      <c r="L961" s="1"/>
      <c r="M961" s="1"/>
      <c r="N961" s="1"/>
      <c r="O961" s="1"/>
      <c r="P961" s="1"/>
      <c r="Q961" s="1"/>
      <c r="R961" s="1"/>
      <c r="S961" s="1"/>
      <c r="T961" s="1"/>
      <c r="U961" s="1"/>
      <c r="V961" s="1"/>
      <c r="W961" s="1"/>
      <c r="X961" s="1"/>
      <c r="Y961" s="1"/>
    </row>
    <row r="962">
      <c r="A962" s="17"/>
      <c r="B962" s="23"/>
      <c r="C962" s="1"/>
      <c r="D962" s="1"/>
      <c r="E962" s="1"/>
      <c r="F962" s="1"/>
      <c r="G962" s="1"/>
      <c r="H962" s="1"/>
      <c r="I962" s="1"/>
      <c r="J962" s="1"/>
      <c r="K962" s="1"/>
      <c r="L962" s="1"/>
      <c r="M962" s="1"/>
      <c r="N962" s="1"/>
      <c r="O962" s="1"/>
      <c r="P962" s="1"/>
      <c r="Q962" s="1"/>
      <c r="R962" s="1"/>
      <c r="S962" s="1"/>
      <c r="T962" s="1"/>
      <c r="U962" s="1"/>
      <c r="V962" s="1"/>
      <c r="W962" s="1"/>
      <c r="X962" s="1"/>
      <c r="Y962" s="1"/>
    </row>
    <row r="963">
      <c r="A963" s="17"/>
      <c r="B963" s="23"/>
      <c r="C963" s="1"/>
      <c r="D963" s="1"/>
      <c r="E963" s="1"/>
      <c r="F963" s="1"/>
      <c r="G963" s="1"/>
      <c r="H963" s="1"/>
      <c r="I963" s="1"/>
      <c r="J963" s="1"/>
      <c r="K963" s="1"/>
      <c r="L963" s="1"/>
      <c r="M963" s="1"/>
      <c r="N963" s="1"/>
      <c r="O963" s="1"/>
      <c r="P963" s="1"/>
      <c r="Q963" s="1"/>
      <c r="R963" s="1"/>
      <c r="S963" s="1"/>
      <c r="T963" s="1"/>
      <c r="U963" s="1"/>
      <c r="V963" s="1"/>
      <c r="W963" s="1"/>
      <c r="X963" s="1"/>
      <c r="Y963" s="1"/>
    </row>
    <row r="964">
      <c r="A964" s="17"/>
      <c r="B964" s="23"/>
      <c r="C964" s="1"/>
      <c r="D964" s="1"/>
      <c r="E964" s="1"/>
      <c r="F964" s="1"/>
      <c r="G964" s="1"/>
      <c r="H964" s="1"/>
      <c r="I964" s="1"/>
      <c r="J964" s="1"/>
      <c r="K964" s="1"/>
      <c r="L964" s="1"/>
      <c r="M964" s="1"/>
      <c r="N964" s="1"/>
      <c r="O964" s="1"/>
      <c r="P964" s="1"/>
      <c r="Q964" s="1"/>
      <c r="R964" s="1"/>
      <c r="S964" s="1"/>
      <c r="T964" s="1"/>
      <c r="U964" s="1"/>
      <c r="V964" s="1"/>
      <c r="W964" s="1"/>
      <c r="X964" s="1"/>
      <c r="Y964" s="1"/>
    </row>
    <row r="965">
      <c r="A965" s="17"/>
      <c r="B965" s="23"/>
      <c r="C965" s="1"/>
      <c r="D965" s="1"/>
      <c r="E965" s="1"/>
      <c r="F965" s="1"/>
      <c r="G965" s="1"/>
      <c r="H965" s="1"/>
      <c r="I965" s="1"/>
      <c r="J965" s="1"/>
      <c r="K965" s="1"/>
      <c r="L965" s="1"/>
      <c r="M965" s="1"/>
      <c r="N965" s="1"/>
      <c r="O965" s="1"/>
      <c r="P965" s="1"/>
      <c r="Q965" s="1"/>
      <c r="R965" s="1"/>
      <c r="S965" s="1"/>
      <c r="T965" s="1"/>
      <c r="U965" s="1"/>
      <c r="V965" s="1"/>
      <c r="W965" s="1"/>
      <c r="X965" s="1"/>
      <c r="Y965" s="1"/>
    </row>
    <row r="966">
      <c r="A966" s="17"/>
      <c r="B966" s="23"/>
      <c r="C966" s="1"/>
      <c r="D966" s="1"/>
      <c r="E966" s="1"/>
      <c r="F966" s="1"/>
      <c r="G966" s="1"/>
      <c r="H966" s="1"/>
      <c r="I966" s="1"/>
      <c r="J966" s="1"/>
      <c r="K966" s="1"/>
      <c r="L966" s="1"/>
      <c r="M966" s="1"/>
      <c r="N966" s="1"/>
      <c r="O966" s="1"/>
      <c r="P966" s="1"/>
      <c r="Q966" s="1"/>
      <c r="R966" s="1"/>
      <c r="S966" s="1"/>
      <c r="T966" s="1"/>
      <c r="U966" s="1"/>
      <c r="V966" s="1"/>
      <c r="W966" s="1"/>
      <c r="X966" s="1"/>
      <c r="Y966" s="1"/>
    </row>
    <row r="967">
      <c r="A967" s="17"/>
      <c r="B967" s="23"/>
      <c r="C967" s="1"/>
      <c r="D967" s="1"/>
      <c r="E967" s="1"/>
      <c r="F967" s="1"/>
      <c r="G967" s="1"/>
      <c r="H967" s="1"/>
      <c r="I967" s="1"/>
      <c r="J967" s="1"/>
      <c r="K967" s="1"/>
      <c r="L967" s="1"/>
      <c r="M967" s="1"/>
      <c r="N967" s="1"/>
      <c r="O967" s="1"/>
      <c r="P967" s="1"/>
      <c r="Q967" s="1"/>
      <c r="R967" s="1"/>
      <c r="S967" s="1"/>
      <c r="T967" s="1"/>
      <c r="U967" s="1"/>
      <c r="V967" s="1"/>
      <c r="W967" s="1"/>
      <c r="X967" s="1"/>
      <c r="Y967" s="1"/>
    </row>
    <row r="968">
      <c r="A968" s="17"/>
      <c r="B968" s="23"/>
      <c r="C968" s="1"/>
      <c r="D968" s="1"/>
      <c r="E968" s="1"/>
      <c r="F968" s="1"/>
      <c r="G968" s="1"/>
      <c r="H968" s="1"/>
      <c r="I968" s="1"/>
      <c r="J968" s="1"/>
      <c r="K968" s="1"/>
      <c r="L968" s="1"/>
      <c r="M968" s="1"/>
      <c r="N968" s="1"/>
      <c r="O968" s="1"/>
      <c r="P968" s="1"/>
      <c r="Q968" s="1"/>
      <c r="R968" s="1"/>
      <c r="S968" s="1"/>
      <c r="T968" s="1"/>
      <c r="U968" s="1"/>
      <c r="V968" s="1"/>
      <c r="W968" s="1"/>
      <c r="X968" s="1"/>
      <c r="Y968" s="1"/>
    </row>
    <row r="969">
      <c r="A969" s="17"/>
      <c r="B969" s="23"/>
      <c r="C969" s="1"/>
      <c r="D969" s="1"/>
      <c r="E969" s="1"/>
      <c r="F969" s="1"/>
      <c r="G969" s="1"/>
      <c r="H969" s="1"/>
      <c r="I969" s="1"/>
      <c r="J969" s="1"/>
      <c r="K969" s="1"/>
      <c r="L969" s="1"/>
      <c r="M969" s="1"/>
      <c r="N969" s="1"/>
      <c r="O969" s="1"/>
      <c r="P969" s="1"/>
      <c r="Q969" s="1"/>
      <c r="R969" s="1"/>
      <c r="S969" s="1"/>
      <c r="T969" s="1"/>
      <c r="U969" s="1"/>
      <c r="V969" s="1"/>
      <c r="W969" s="1"/>
      <c r="X969" s="1"/>
      <c r="Y969" s="1"/>
    </row>
    <row r="970">
      <c r="A970" s="17"/>
      <c r="B970" s="23"/>
      <c r="C970" s="1"/>
      <c r="D970" s="1"/>
      <c r="E970" s="1"/>
      <c r="F970" s="1"/>
      <c r="G970" s="1"/>
      <c r="H970" s="1"/>
      <c r="I970" s="1"/>
      <c r="J970" s="1"/>
      <c r="K970" s="1"/>
      <c r="L970" s="1"/>
      <c r="M970" s="1"/>
      <c r="N970" s="1"/>
      <c r="O970" s="1"/>
      <c r="P970" s="1"/>
      <c r="Q970" s="1"/>
      <c r="R970" s="1"/>
      <c r="S970" s="1"/>
      <c r="T970" s="1"/>
      <c r="U970" s="1"/>
      <c r="V970" s="1"/>
      <c r="W970" s="1"/>
      <c r="X970" s="1"/>
      <c r="Y970" s="1"/>
    </row>
    <row r="971">
      <c r="A971" s="17"/>
      <c r="B971" s="23"/>
      <c r="C971" s="1"/>
      <c r="D971" s="1"/>
      <c r="E971" s="1"/>
      <c r="F971" s="1"/>
      <c r="G971" s="1"/>
      <c r="H971" s="1"/>
      <c r="I971" s="1"/>
      <c r="J971" s="1"/>
      <c r="K971" s="1"/>
      <c r="L971" s="1"/>
      <c r="M971" s="1"/>
      <c r="N971" s="1"/>
      <c r="O971" s="1"/>
      <c r="P971" s="1"/>
      <c r="Q971" s="1"/>
      <c r="R971" s="1"/>
      <c r="S971" s="1"/>
      <c r="T971" s="1"/>
      <c r="U971" s="1"/>
      <c r="V971" s="1"/>
      <c r="W971" s="1"/>
      <c r="X971" s="1"/>
      <c r="Y971" s="1"/>
    </row>
    <row r="972">
      <c r="A972" s="17"/>
      <c r="B972" s="23"/>
      <c r="C972" s="1"/>
      <c r="D972" s="1"/>
      <c r="E972" s="1"/>
      <c r="F972" s="1"/>
      <c r="G972" s="1"/>
      <c r="H972" s="1"/>
      <c r="I972" s="1"/>
      <c r="J972" s="1"/>
      <c r="K972" s="1"/>
      <c r="L972" s="1"/>
      <c r="M972" s="1"/>
      <c r="N972" s="1"/>
      <c r="O972" s="1"/>
      <c r="P972" s="1"/>
      <c r="Q972" s="1"/>
      <c r="R972" s="1"/>
      <c r="S972" s="1"/>
      <c r="T972" s="1"/>
      <c r="U972" s="1"/>
      <c r="V972" s="1"/>
      <c r="W972" s="1"/>
      <c r="X972" s="1"/>
      <c r="Y972" s="1"/>
    </row>
    <row r="973">
      <c r="A973" s="17"/>
      <c r="B973" s="23"/>
      <c r="C973" s="1"/>
      <c r="D973" s="1"/>
      <c r="E973" s="1"/>
      <c r="F973" s="1"/>
      <c r="G973" s="1"/>
      <c r="H973" s="1"/>
      <c r="I973" s="1"/>
      <c r="J973" s="1"/>
      <c r="K973" s="1"/>
      <c r="L973" s="1"/>
      <c r="M973" s="1"/>
      <c r="N973" s="1"/>
      <c r="O973" s="1"/>
      <c r="P973" s="1"/>
      <c r="Q973" s="1"/>
      <c r="R973" s="1"/>
      <c r="S973" s="1"/>
      <c r="T973" s="1"/>
      <c r="U973" s="1"/>
      <c r="V973" s="1"/>
      <c r="W973" s="1"/>
      <c r="X973" s="1"/>
      <c r="Y973" s="1"/>
    </row>
    <row r="974">
      <c r="A974" s="17"/>
      <c r="B974" s="23"/>
      <c r="C974" s="1"/>
      <c r="D974" s="1"/>
      <c r="E974" s="1"/>
      <c r="F974" s="1"/>
      <c r="G974" s="1"/>
      <c r="H974" s="1"/>
      <c r="I974" s="1"/>
      <c r="J974" s="1"/>
      <c r="K974" s="1"/>
      <c r="L974" s="1"/>
      <c r="M974" s="1"/>
      <c r="N974" s="1"/>
      <c r="O974" s="1"/>
      <c r="P974" s="1"/>
      <c r="Q974" s="1"/>
      <c r="R974" s="1"/>
      <c r="S974" s="1"/>
      <c r="T974" s="1"/>
      <c r="U974" s="1"/>
      <c r="V974" s="1"/>
      <c r="W974" s="1"/>
      <c r="X974" s="1"/>
      <c r="Y974" s="1"/>
    </row>
    <row r="975">
      <c r="A975" s="17"/>
      <c r="B975" s="23"/>
      <c r="C975" s="1"/>
      <c r="D975" s="1"/>
      <c r="E975" s="1"/>
      <c r="F975" s="1"/>
      <c r="G975" s="1"/>
      <c r="H975" s="1"/>
      <c r="I975" s="1"/>
      <c r="J975" s="1"/>
      <c r="K975" s="1"/>
      <c r="L975" s="1"/>
      <c r="M975" s="1"/>
      <c r="N975" s="1"/>
      <c r="O975" s="1"/>
      <c r="P975" s="1"/>
      <c r="Q975" s="1"/>
      <c r="R975" s="1"/>
      <c r="S975" s="1"/>
      <c r="T975" s="1"/>
      <c r="U975" s="1"/>
      <c r="V975" s="1"/>
      <c r="W975" s="1"/>
      <c r="X975" s="1"/>
      <c r="Y975" s="1"/>
    </row>
    <row r="976">
      <c r="A976" s="17"/>
      <c r="B976" s="23"/>
      <c r="C976" s="1"/>
      <c r="D976" s="1"/>
      <c r="E976" s="1"/>
      <c r="F976" s="1"/>
      <c r="G976" s="1"/>
      <c r="H976" s="1"/>
      <c r="I976" s="1"/>
      <c r="J976" s="1"/>
      <c r="K976" s="1"/>
      <c r="L976" s="1"/>
      <c r="M976" s="1"/>
      <c r="N976" s="1"/>
      <c r="O976" s="1"/>
      <c r="P976" s="1"/>
      <c r="Q976" s="1"/>
      <c r="R976" s="1"/>
      <c r="S976" s="1"/>
      <c r="T976" s="1"/>
      <c r="U976" s="1"/>
      <c r="V976" s="1"/>
      <c r="W976" s="1"/>
      <c r="X976" s="1"/>
      <c r="Y976" s="1"/>
    </row>
    <row r="977">
      <c r="A977" s="17"/>
      <c r="B977" s="23"/>
      <c r="C977" s="1"/>
      <c r="D977" s="1"/>
      <c r="E977" s="1"/>
      <c r="F977" s="1"/>
      <c r="G977" s="1"/>
      <c r="H977" s="1"/>
      <c r="I977" s="1"/>
      <c r="J977" s="1"/>
      <c r="K977" s="1"/>
      <c r="L977" s="1"/>
      <c r="M977" s="1"/>
      <c r="N977" s="1"/>
      <c r="O977" s="1"/>
      <c r="P977" s="1"/>
      <c r="Q977" s="1"/>
      <c r="R977" s="1"/>
      <c r="S977" s="1"/>
      <c r="T977" s="1"/>
      <c r="U977" s="1"/>
      <c r="V977" s="1"/>
      <c r="W977" s="1"/>
      <c r="X977" s="1"/>
      <c r="Y977" s="1"/>
    </row>
    <row r="978">
      <c r="A978" s="17"/>
      <c r="B978" s="23"/>
      <c r="C978" s="1"/>
      <c r="D978" s="1"/>
      <c r="E978" s="1"/>
      <c r="F978" s="1"/>
      <c r="G978" s="1"/>
      <c r="H978" s="1"/>
      <c r="I978" s="1"/>
      <c r="J978" s="1"/>
      <c r="K978" s="1"/>
      <c r="L978" s="1"/>
      <c r="M978" s="1"/>
      <c r="N978" s="1"/>
      <c r="O978" s="1"/>
      <c r="P978" s="1"/>
      <c r="Q978" s="1"/>
      <c r="R978" s="1"/>
      <c r="S978" s="1"/>
      <c r="T978" s="1"/>
      <c r="U978" s="1"/>
      <c r="V978" s="1"/>
      <c r="W978" s="1"/>
      <c r="X978" s="1"/>
      <c r="Y978" s="1"/>
    </row>
    <row r="979">
      <c r="A979" s="17"/>
      <c r="B979" s="23"/>
      <c r="C979" s="1"/>
      <c r="D979" s="1"/>
      <c r="E979" s="1"/>
      <c r="F979" s="1"/>
      <c r="G979" s="1"/>
      <c r="H979" s="1"/>
      <c r="I979" s="1"/>
      <c r="J979" s="1"/>
      <c r="K979" s="1"/>
      <c r="L979" s="1"/>
      <c r="M979" s="1"/>
      <c r="N979" s="1"/>
      <c r="O979" s="1"/>
      <c r="P979" s="1"/>
      <c r="Q979" s="1"/>
      <c r="R979" s="1"/>
      <c r="S979" s="1"/>
      <c r="T979" s="1"/>
      <c r="U979" s="1"/>
      <c r="V979" s="1"/>
      <c r="W979" s="1"/>
      <c r="X979" s="1"/>
      <c r="Y979" s="1"/>
    </row>
    <row r="980">
      <c r="A980" s="17"/>
      <c r="B980" s="23"/>
      <c r="C980" s="1"/>
      <c r="D980" s="1"/>
      <c r="E980" s="1"/>
      <c r="F980" s="1"/>
      <c r="G980" s="1"/>
      <c r="H980" s="1"/>
      <c r="I980" s="1"/>
      <c r="J980" s="1"/>
      <c r="K980" s="1"/>
      <c r="L980" s="1"/>
      <c r="M980" s="1"/>
      <c r="N980" s="1"/>
      <c r="O980" s="1"/>
      <c r="P980" s="1"/>
      <c r="Q980" s="1"/>
      <c r="R980" s="1"/>
      <c r="S980" s="1"/>
      <c r="T980" s="1"/>
      <c r="U980" s="1"/>
      <c r="V980" s="1"/>
      <c r="W980" s="1"/>
      <c r="X980" s="1"/>
      <c r="Y980" s="1"/>
    </row>
    <row r="981">
      <c r="A981" s="17"/>
      <c r="B981" s="23"/>
      <c r="C981" s="1"/>
      <c r="D981" s="1"/>
      <c r="E981" s="1"/>
      <c r="F981" s="1"/>
      <c r="G981" s="1"/>
      <c r="H981" s="1"/>
      <c r="I981" s="1"/>
      <c r="J981" s="1"/>
      <c r="K981" s="1"/>
      <c r="L981" s="1"/>
      <c r="M981" s="1"/>
      <c r="N981" s="1"/>
      <c r="O981" s="1"/>
      <c r="P981" s="1"/>
      <c r="Q981" s="1"/>
      <c r="R981" s="1"/>
      <c r="S981" s="1"/>
      <c r="T981" s="1"/>
      <c r="U981" s="1"/>
      <c r="V981" s="1"/>
      <c r="W981" s="1"/>
      <c r="X981" s="1"/>
      <c r="Y981" s="1"/>
    </row>
    <row r="982">
      <c r="A982" s="17"/>
      <c r="B982" s="23"/>
      <c r="C982" s="1"/>
      <c r="D982" s="1"/>
      <c r="E982" s="1"/>
      <c r="F982" s="1"/>
      <c r="G982" s="1"/>
      <c r="H982" s="1"/>
      <c r="I982" s="1"/>
      <c r="J982" s="1"/>
      <c r="K982" s="1"/>
      <c r="L982" s="1"/>
      <c r="M982" s="1"/>
      <c r="N982" s="1"/>
      <c r="O982" s="1"/>
      <c r="P982" s="1"/>
      <c r="Q982" s="1"/>
      <c r="R982" s="1"/>
      <c r="S982" s="1"/>
      <c r="T982" s="1"/>
      <c r="U982" s="1"/>
      <c r="V982" s="1"/>
      <c r="W982" s="1"/>
      <c r="X982" s="1"/>
      <c r="Y982" s="1"/>
    </row>
    <row r="983">
      <c r="A983" s="17"/>
      <c r="B983" s="23"/>
      <c r="C983" s="1"/>
      <c r="D983" s="1"/>
      <c r="E983" s="1"/>
      <c r="F983" s="1"/>
      <c r="G983" s="1"/>
      <c r="H983" s="1"/>
      <c r="I983" s="1"/>
      <c r="J983" s="1"/>
      <c r="K983" s="1"/>
      <c r="L983" s="1"/>
      <c r="M983" s="1"/>
      <c r="N983" s="1"/>
      <c r="O983" s="1"/>
      <c r="P983" s="1"/>
      <c r="Q983" s="1"/>
      <c r="R983" s="1"/>
      <c r="S983" s="1"/>
      <c r="T983" s="1"/>
      <c r="U983" s="1"/>
      <c r="V983" s="1"/>
      <c r="W983" s="1"/>
      <c r="X983" s="1"/>
      <c r="Y983" s="1"/>
    </row>
    <row r="984">
      <c r="A984" s="17"/>
      <c r="B984" s="23"/>
      <c r="C984" s="1"/>
      <c r="D984" s="1"/>
      <c r="E984" s="1"/>
      <c r="F984" s="1"/>
      <c r="G984" s="1"/>
      <c r="H984" s="1"/>
      <c r="I984" s="1"/>
      <c r="J984" s="1"/>
      <c r="K984" s="1"/>
      <c r="L984" s="1"/>
      <c r="M984" s="1"/>
      <c r="N984" s="1"/>
      <c r="O984" s="1"/>
      <c r="P984" s="1"/>
      <c r="Q984" s="1"/>
      <c r="R984" s="1"/>
      <c r="S984" s="1"/>
      <c r="T984" s="1"/>
      <c r="U984" s="1"/>
      <c r="V984" s="1"/>
      <c r="W984" s="1"/>
      <c r="X984" s="1"/>
      <c r="Y984" s="1"/>
    </row>
    <row r="985">
      <c r="A985" s="17"/>
      <c r="B985" s="23"/>
      <c r="C985" s="1"/>
      <c r="D985" s="1"/>
      <c r="E985" s="1"/>
      <c r="F985" s="1"/>
      <c r="G985" s="1"/>
      <c r="H985" s="1"/>
      <c r="I985" s="1"/>
      <c r="J985" s="1"/>
      <c r="K985" s="1"/>
      <c r="L985" s="1"/>
      <c r="M985" s="1"/>
      <c r="N985" s="1"/>
      <c r="O985" s="1"/>
      <c r="P985" s="1"/>
      <c r="Q985" s="1"/>
      <c r="R985" s="1"/>
      <c r="S985" s="1"/>
      <c r="T985" s="1"/>
      <c r="U985" s="1"/>
      <c r="V985" s="1"/>
      <c r="W985" s="1"/>
      <c r="X985" s="1"/>
      <c r="Y985" s="1"/>
    </row>
    <row r="986">
      <c r="A986" s="17"/>
      <c r="B986" s="23"/>
      <c r="C986" s="1"/>
      <c r="D986" s="1"/>
      <c r="E986" s="1"/>
      <c r="F986" s="1"/>
      <c r="G986" s="1"/>
      <c r="H986" s="1"/>
      <c r="I986" s="1"/>
      <c r="J986" s="1"/>
      <c r="K986" s="1"/>
      <c r="L986" s="1"/>
      <c r="M986" s="1"/>
      <c r="N986" s="1"/>
      <c r="O986" s="1"/>
      <c r="P986" s="1"/>
      <c r="Q986" s="1"/>
      <c r="R986" s="1"/>
      <c r="S986" s="1"/>
      <c r="T986" s="1"/>
      <c r="U986" s="1"/>
      <c r="V986" s="1"/>
      <c r="W986" s="1"/>
      <c r="X986" s="1"/>
      <c r="Y986" s="1"/>
    </row>
    <row r="987">
      <c r="A987" s="17"/>
      <c r="B987" s="23"/>
      <c r="C987" s="1"/>
      <c r="D987" s="1"/>
      <c r="E987" s="1"/>
      <c r="F987" s="1"/>
      <c r="G987" s="1"/>
      <c r="H987" s="1"/>
      <c r="I987" s="1"/>
      <c r="J987" s="1"/>
      <c r="K987" s="1"/>
      <c r="L987" s="1"/>
      <c r="M987" s="1"/>
      <c r="N987" s="1"/>
      <c r="O987" s="1"/>
      <c r="P987" s="1"/>
      <c r="Q987" s="1"/>
      <c r="R987" s="1"/>
      <c r="S987" s="1"/>
      <c r="T987" s="1"/>
      <c r="U987" s="1"/>
      <c r="V987" s="1"/>
      <c r="W987" s="1"/>
      <c r="X987" s="1"/>
      <c r="Y987" s="1"/>
    </row>
    <row r="988">
      <c r="A988" s="17"/>
      <c r="B988" s="23"/>
      <c r="C988" s="1"/>
      <c r="D988" s="1"/>
      <c r="E988" s="1"/>
      <c r="F988" s="1"/>
      <c r="G988" s="1"/>
      <c r="H988" s="1"/>
      <c r="I988" s="1"/>
      <c r="J988" s="1"/>
      <c r="K988" s="1"/>
      <c r="L988" s="1"/>
      <c r="M988" s="1"/>
      <c r="N988" s="1"/>
      <c r="O988" s="1"/>
      <c r="P988" s="1"/>
      <c r="Q988" s="1"/>
      <c r="R988" s="1"/>
      <c r="S988" s="1"/>
      <c r="T988" s="1"/>
      <c r="U988" s="1"/>
      <c r="V988" s="1"/>
      <c r="W988" s="1"/>
      <c r="X988" s="1"/>
      <c r="Y988" s="1"/>
    </row>
    <row r="989">
      <c r="A989" s="17"/>
      <c r="B989" s="23"/>
      <c r="C989" s="1"/>
      <c r="D989" s="1"/>
      <c r="E989" s="1"/>
      <c r="F989" s="1"/>
      <c r="G989" s="1"/>
      <c r="H989" s="1"/>
      <c r="I989" s="1"/>
      <c r="J989" s="1"/>
      <c r="K989" s="1"/>
      <c r="L989" s="1"/>
      <c r="M989" s="1"/>
      <c r="N989" s="1"/>
      <c r="O989" s="1"/>
      <c r="P989" s="1"/>
      <c r="Q989" s="1"/>
      <c r="R989" s="1"/>
      <c r="S989" s="1"/>
      <c r="T989" s="1"/>
      <c r="U989" s="1"/>
      <c r="V989" s="1"/>
      <c r="W989" s="1"/>
      <c r="X989" s="1"/>
      <c r="Y989" s="1"/>
    </row>
    <row r="990">
      <c r="A990" s="17"/>
      <c r="B990" s="23"/>
      <c r="C990" s="1"/>
      <c r="D990" s="1"/>
      <c r="E990" s="1"/>
      <c r="F990" s="1"/>
      <c r="G990" s="1"/>
      <c r="H990" s="1"/>
      <c r="I990" s="1"/>
      <c r="J990" s="1"/>
      <c r="K990" s="1"/>
      <c r="L990" s="1"/>
      <c r="M990" s="1"/>
      <c r="N990" s="1"/>
      <c r="O990" s="1"/>
      <c r="P990" s="1"/>
      <c r="Q990" s="1"/>
      <c r="R990" s="1"/>
      <c r="S990" s="1"/>
      <c r="T990" s="1"/>
      <c r="U990" s="1"/>
      <c r="V990" s="1"/>
      <c r="W990" s="1"/>
      <c r="X990" s="1"/>
      <c r="Y990" s="1"/>
    </row>
    <row r="991">
      <c r="A991" s="17"/>
      <c r="B991" s="23"/>
      <c r="C991" s="1"/>
      <c r="D991" s="1"/>
      <c r="E991" s="1"/>
      <c r="F991" s="1"/>
      <c r="G991" s="1"/>
      <c r="H991" s="1"/>
      <c r="I991" s="1"/>
      <c r="J991" s="1"/>
      <c r="K991" s="1"/>
      <c r="L991" s="1"/>
      <c r="M991" s="1"/>
      <c r="N991" s="1"/>
      <c r="O991" s="1"/>
      <c r="P991" s="1"/>
      <c r="Q991" s="1"/>
      <c r="R991" s="1"/>
      <c r="S991" s="1"/>
      <c r="T991" s="1"/>
      <c r="U991" s="1"/>
      <c r="V991" s="1"/>
      <c r="W991" s="1"/>
      <c r="X991" s="1"/>
      <c r="Y991" s="1"/>
    </row>
    <row r="992">
      <c r="A992" s="17"/>
      <c r="B992" s="23"/>
      <c r="C992" s="1"/>
      <c r="D992" s="1"/>
      <c r="E992" s="1"/>
      <c r="F992" s="1"/>
      <c r="G992" s="1"/>
      <c r="H992" s="1"/>
      <c r="I992" s="1"/>
      <c r="J992" s="1"/>
      <c r="K992" s="1"/>
      <c r="L992" s="1"/>
      <c r="M992" s="1"/>
      <c r="N992" s="1"/>
      <c r="O992" s="1"/>
      <c r="P992" s="1"/>
      <c r="Q992" s="1"/>
      <c r="R992" s="1"/>
      <c r="S992" s="1"/>
      <c r="T992" s="1"/>
      <c r="U992" s="1"/>
      <c r="V992" s="1"/>
      <c r="W992" s="1"/>
      <c r="X992" s="1"/>
      <c r="Y992" s="1"/>
    </row>
    <row r="993">
      <c r="A993" s="17"/>
      <c r="B993" s="23"/>
      <c r="C993" s="1"/>
      <c r="D993" s="1"/>
      <c r="E993" s="1"/>
      <c r="F993" s="1"/>
      <c r="G993" s="1"/>
      <c r="H993" s="1"/>
      <c r="I993" s="1"/>
      <c r="J993" s="1"/>
      <c r="K993" s="1"/>
      <c r="L993" s="1"/>
      <c r="M993" s="1"/>
      <c r="N993" s="1"/>
      <c r="O993" s="1"/>
      <c r="P993" s="1"/>
      <c r="Q993" s="1"/>
      <c r="R993" s="1"/>
      <c r="S993" s="1"/>
      <c r="T993" s="1"/>
      <c r="U993" s="1"/>
      <c r="V993" s="1"/>
      <c r="W993" s="1"/>
      <c r="X993" s="1"/>
      <c r="Y993" s="1"/>
    </row>
    <row r="994">
      <c r="A994" s="17"/>
      <c r="B994" s="23"/>
      <c r="C994" s="1"/>
      <c r="D994" s="1"/>
      <c r="E994" s="1"/>
      <c r="F994" s="1"/>
      <c r="G994" s="1"/>
      <c r="H994" s="1"/>
      <c r="I994" s="1"/>
      <c r="J994" s="1"/>
      <c r="K994" s="1"/>
      <c r="L994" s="1"/>
      <c r="M994" s="1"/>
      <c r="N994" s="1"/>
      <c r="O994" s="1"/>
      <c r="P994" s="1"/>
      <c r="Q994" s="1"/>
      <c r="R994" s="1"/>
      <c r="S994" s="1"/>
      <c r="T994" s="1"/>
      <c r="U994" s="1"/>
      <c r="V994" s="1"/>
      <c r="W994" s="1"/>
      <c r="X994" s="1"/>
      <c r="Y994" s="1"/>
    </row>
    <row r="995">
      <c r="A995" s="17"/>
      <c r="B995" s="23"/>
      <c r="C995" s="1"/>
      <c r="D995" s="1"/>
      <c r="E995" s="1"/>
      <c r="F995" s="1"/>
      <c r="G995" s="1"/>
      <c r="H995" s="1"/>
      <c r="I995" s="1"/>
      <c r="J995" s="1"/>
      <c r="K995" s="1"/>
      <c r="L995" s="1"/>
      <c r="M995" s="1"/>
      <c r="N995" s="1"/>
      <c r="O995" s="1"/>
      <c r="P995" s="1"/>
      <c r="Q995" s="1"/>
      <c r="R995" s="1"/>
      <c r="S995" s="1"/>
      <c r="T995" s="1"/>
      <c r="U995" s="1"/>
      <c r="V995" s="1"/>
      <c r="W995" s="1"/>
      <c r="X995" s="1"/>
      <c r="Y995" s="1"/>
    </row>
    <row r="996">
      <c r="A996" s="17"/>
      <c r="B996" s="23"/>
      <c r="C996" s="1"/>
      <c r="D996" s="1"/>
      <c r="E996" s="1"/>
      <c r="F996" s="1"/>
      <c r="G996" s="1"/>
      <c r="H996" s="1"/>
      <c r="I996" s="1"/>
      <c r="J996" s="1"/>
      <c r="K996" s="1"/>
      <c r="L996" s="1"/>
      <c r="M996" s="1"/>
      <c r="N996" s="1"/>
      <c r="O996" s="1"/>
      <c r="P996" s="1"/>
      <c r="Q996" s="1"/>
      <c r="R996" s="1"/>
      <c r="S996" s="1"/>
      <c r="T996" s="1"/>
      <c r="U996" s="1"/>
      <c r="V996" s="1"/>
      <c r="W996" s="1"/>
      <c r="X996" s="1"/>
      <c r="Y996" s="1"/>
    </row>
    <row r="997">
      <c r="A997" s="17"/>
      <c r="B997" s="23"/>
      <c r="C997" s="1"/>
      <c r="D997" s="1"/>
      <c r="E997" s="1"/>
      <c r="F997" s="1"/>
      <c r="G997" s="1"/>
      <c r="H997" s="1"/>
      <c r="I997" s="1"/>
      <c r="J997" s="1"/>
      <c r="K997" s="1"/>
      <c r="L997" s="1"/>
      <c r="M997" s="1"/>
      <c r="N997" s="1"/>
      <c r="O997" s="1"/>
      <c r="P997" s="1"/>
      <c r="Q997" s="1"/>
      <c r="R997" s="1"/>
      <c r="S997" s="1"/>
      <c r="T997" s="1"/>
      <c r="U997" s="1"/>
      <c r="V997" s="1"/>
      <c r="W997" s="1"/>
      <c r="X997" s="1"/>
      <c r="Y997" s="1"/>
    </row>
    <row r="998">
      <c r="A998" s="17"/>
      <c r="B998" s="23"/>
      <c r="C998" s="1"/>
      <c r="D998" s="1"/>
      <c r="E998" s="1"/>
      <c r="F998" s="1"/>
      <c r="G998" s="1"/>
      <c r="H998" s="1"/>
      <c r="I998" s="1"/>
      <c r="J998" s="1"/>
      <c r="K998" s="1"/>
      <c r="L998" s="1"/>
      <c r="M998" s="1"/>
      <c r="N998" s="1"/>
      <c r="O998" s="1"/>
      <c r="P998" s="1"/>
      <c r="Q998" s="1"/>
      <c r="R998" s="1"/>
      <c r="S998" s="1"/>
      <c r="T998" s="1"/>
      <c r="U998" s="1"/>
      <c r="V998" s="1"/>
      <c r="W998" s="1"/>
      <c r="X998" s="1"/>
      <c r="Y998" s="1"/>
    </row>
    <row r="999">
      <c r="A999" s="17"/>
      <c r="B999" s="23"/>
      <c r="C999" s="1"/>
      <c r="D999" s="1"/>
      <c r="E999" s="1"/>
      <c r="F999" s="1"/>
      <c r="G999" s="1"/>
      <c r="H999" s="1"/>
      <c r="I999" s="1"/>
      <c r="J999" s="1"/>
      <c r="K999" s="1"/>
      <c r="L999" s="1"/>
      <c r="M999" s="1"/>
      <c r="N999" s="1"/>
      <c r="O999" s="1"/>
      <c r="P999" s="1"/>
      <c r="Q999" s="1"/>
      <c r="R999" s="1"/>
      <c r="S999" s="1"/>
      <c r="T999" s="1"/>
      <c r="U999" s="1"/>
      <c r="V999" s="1"/>
      <c r="W999" s="1"/>
      <c r="X999" s="1"/>
      <c r="Y999" s="1"/>
    </row>
    <row r="1000">
      <c r="A1000" s="17"/>
      <c r="B1000" s="23"/>
      <c r="C1000" s="1"/>
      <c r="D1000" s="1"/>
      <c r="E1000" s="1"/>
      <c r="F1000" s="1"/>
      <c r="G1000" s="1"/>
      <c r="H1000" s="1"/>
      <c r="I1000" s="1"/>
      <c r="J1000" s="1"/>
      <c r="K1000" s="1"/>
      <c r="L1000" s="1"/>
      <c r="M1000" s="1"/>
      <c r="N1000" s="1"/>
      <c r="O1000" s="1"/>
      <c r="P1000" s="1"/>
      <c r="Q1000" s="1"/>
      <c r="R1000" s="1"/>
      <c r="S1000" s="1"/>
      <c r="T1000" s="1"/>
      <c r="U1000" s="1"/>
      <c r="V1000" s="1"/>
      <c r="W1000" s="1"/>
      <c r="X1000" s="1"/>
      <c r="Y1000" s="1"/>
    </row>
    <row r="1001">
      <c r="A1001" s="17"/>
      <c r="B1001" s="23"/>
      <c r="C1001" s="1"/>
      <c r="D1001" s="1"/>
      <c r="E1001" s="1"/>
      <c r="F1001" s="1"/>
      <c r="G1001" s="1"/>
      <c r="H1001" s="1"/>
      <c r="I1001" s="1"/>
      <c r="J1001" s="1"/>
      <c r="K1001" s="1"/>
      <c r="L1001" s="1"/>
      <c r="M1001" s="1"/>
      <c r="N1001" s="1"/>
      <c r="O1001" s="1"/>
      <c r="P1001" s="1"/>
      <c r="Q1001" s="1"/>
      <c r="R1001" s="1"/>
      <c r="S1001" s="1"/>
      <c r="T1001" s="1"/>
      <c r="U1001" s="1"/>
      <c r="V1001" s="1"/>
      <c r="W1001" s="1"/>
      <c r="X1001" s="1"/>
      <c r="Y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5.25"/>
    <col customWidth="1" min="3" max="3" width="45.13"/>
    <col customWidth="1" min="4" max="4" width="39.0"/>
    <col customWidth="1" min="5" max="5" width="19.0"/>
    <col hidden="1" min="7" max="8" width="12.63"/>
  </cols>
  <sheetData>
    <row r="1" ht="29.25" customHeight="1">
      <c r="A1" s="24">
        <v>1.0</v>
      </c>
      <c r="B1" s="24" t="s">
        <v>27</v>
      </c>
      <c r="C1" s="24" t="s">
        <v>28</v>
      </c>
      <c r="D1" s="24" t="s">
        <v>29</v>
      </c>
      <c r="E1" s="24" t="s">
        <v>30</v>
      </c>
      <c r="F1" s="24" t="s">
        <v>31</v>
      </c>
      <c r="G1" s="25">
        <v>1.0</v>
      </c>
      <c r="H1" s="26"/>
      <c r="I1" s="27"/>
      <c r="J1" s="27"/>
      <c r="K1" s="27"/>
      <c r="L1" s="27"/>
      <c r="M1" s="27"/>
      <c r="N1" s="27"/>
      <c r="O1" s="27"/>
      <c r="P1" s="27"/>
      <c r="Q1" s="27"/>
      <c r="R1" s="27"/>
      <c r="S1" s="27"/>
      <c r="T1" s="27"/>
      <c r="U1" s="27"/>
      <c r="V1" s="27"/>
    </row>
    <row r="2" ht="54.75" customHeight="1">
      <c r="A2" s="28">
        <v>1.0</v>
      </c>
      <c r="B2" s="28">
        <v>1.0</v>
      </c>
      <c r="C2" s="29" t="s">
        <v>32</v>
      </c>
      <c r="D2" s="30" t="s">
        <v>33</v>
      </c>
      <c r="E2" s="28" t="s">
        <v>34</v>
      </c>
      <c r="F2" s="31"/>
      <c r="G2" s="32"/>
      <c r="H2" s="33"/>
      <c r="I2" s="34"/>
      <c r="J2" s="34"/>
      <c r="K2" s="34"/>
      <c r="L2" s="34"/>
      <c r="M2" s="34"/>
      <c r="N2" s="34"/>
      <c r="O2" s="34"/>
      <c r="P2" s="34"/>
      <c r="Q2" s="34"/>
      <c r="R2" s="34"/>
      <c r="S2" s="34"/>
      <c r="T2" s="34"/>
      <c r="U2" s="34"/>
      <c r="V2" s="34"/>
    </row>
    <row r="3">
      <c r="A3" s="28">
        <v>1.0</v>
      </c>
      <c r="B3" s="28">
        <v>2.0</v>
      </c>
      <c r="C3" s="35"/>
      <c r="D3" s="36" t="s">
        <v>35</v>
      </c>
      <c r="E3" s="28" t="s">
        <v>36</v>
      </c>
      <c r="F3" s="31"/>
      <c r="G3" s="32"/>
      <c r="H3" s="33"/>
      <c r="I3" s="34"/>
      <c r="J3" s="34"/>
      <c r="K3" s="34"/>
      <c r="L3" s="34"/>
      <c r="M3" s="34"/>
      <c r="N3" s="34"/>
      <c r="O3" s="34"/>
      <c r="P3" s="34"/>
      <c r="Q3" s="34"/>
      <c r="R3" s="34"/>
      <c r="S3" s="34"/>
      <c r="T3" s="34"/>
      <c r="U3" s="34"/>
      <c r="V3" s="34"/>
    </row>
    <row r="4">
      <c r="A4" s="28">
        <v>1.0</v>
      </c>
      <c r="B4" s="28">
        <v>3.0</v>
      </c>
      <c r="C4" s="35"/>
      <c r="D4" s="30" t="s">
        <v>37</v>
      </c>
      <c r="E4" s="28" t="s">
        <v>38</v>
      </c>
      <c r="F4" s="31"/>
      <c r="G4" s="32"/>
      <c r="H4" s="33"/>
      <c r="I4" s="34"/>
      <c r="J4" s="34"/>
      <c r="K4" s="34"/>
      <c r="L4" s="34"/>
      <c r="M4" s="34"/>
      <c r="N4" s="34"/>
      <c r="O4" s="34"/>
      <c r="P4" s="34"/>
      <c r="Q4" s="34"/>
      <c r="R4" s="34"/>
      <c r="S4" s="34"/>
      <c r="T4" s="34"/>
      <c r="U4" s="34"/>
      <c r="V4" s="34"/>
    </row>
    <row r="5">
      <c r="A5" s="28">
        <v>1.0</v>
      </c>
      <c r="B5" s="28">
        <v>4.0</v>
      </c>
      <c r="C5" s="35"/>
      <c r="D5" s="36" t="s">
        <v>39</v>
      </c>
      <c r="E5" s="28" t="s">
        <v>40</v>
      </c>
      <c r="F5" s="31"/>
      <c r="G5" s="32"/>
      <c r="H5" s="33"/>
      <c r="I5" s="34"/>
      <c r="J5" s="34"/>
      <c r="K5" s="34"/>
      <c r="L5" s="34"/>
      <c r="M5" s="34"/>
      <c r="N5" s="34"/>
      <c r="O5" s="34"/>
      <c r="P5" s="34"/>
      <c r="Q5" s="34"/>
      <c r="R5" s="34"/>
      <c r="S5" s="34"/>
      <c r="T5" s="34"/>
      <c r="U5" s="34"/>
      <c r="V5" s="34"/>
    </row>
    <row r="6">
      <c r="A6" s="28">
        <v>1.0</v>
      </c>
      <c r="B6" s="28">
        <v>5.0</v>
      </c>
      <c r="C6" s="35"/>
      <c r="D6" s="30" t="s">
        <v>41</v>
      </c>
      <c r="E6" s="28" t="s">
        <v>42</v>
      </c>
      <c r="F6" s="31"/>
      <c r="G6" s="32"/>
      <c r="H6" s="33"/>
      <c r="I6" s="34"/>
      <c r="J6" s="34"/>
      <c r="K6" s="34"/>
      <c r="L6" s="34"/>
      <c r="M6" s="34"/>
      <c r="N6" s="34"/>
      <c r="O6" s="34"/>
      <c r="P6" s="34"/>
      <c r="Q6" s="34"/>
      <c r="R6" s="34"/>
      <c r="S6" s="34"/>
      <c r="T6" s="34"/>
      <c r="U6" s="34"/>
      <c r="V6" s="34"/>
    </row>
    <row r="7">
      <c r="A7" s="28">
        <v>2.0</v>
      </c>
      <c r="B7" s="37">
        <v>1.0</v>
      </c>
      <c r="C7" s="29" t="s">
        <v>43</v>
      </c>
      <c r="D7" s="28" t="s">
        <v>44</v>
      </c>
      <c r="E7" s="37" t="s">
        <v>45</v>
      </c>
      <c r="F7" s="28"/>
      <c r="G7" s="32">
        <f t="array" ref="G7:G735">IF(E7:E735="", "", COUNTIFS(E$7:E735, E$7:E735, ROW(E$7:E735), "&lt;="&amp;ROW(E$7:E735)))</f>
        <v>1</v>
      </c>
      <c r="H7" s="33">
        <f t="array" ref="H7:H735">IF(G7:G735=1, COUNTIFS(G$7:G735, 1, ROW(G$7:G735), "&lt;="&amp;ROW(G$7:G735)), "")</f>
        <v>1</v>
      </c>
      <c r="I7" s="34"/>
      <c r="J7" s="34"/>
      <c r="K7" s="34"/>
      <c r="L7" s="34"/>
      <c r="M7" s="34"/>
      <c r="N7" s="34"/>
      <c r="O7" s="34"/>
      <c r="P7" s="34"/>
      <c r="Q7" s="34"/>
      <c r="R7" s="34"/>
      <c r="S7" s="34"/>
      <c r="T7" s="34"/>
      <c r="U7" s="34"/>
      <c r="V7" s="34"/>
    </row>
    <row r="8">
      <c r="A8" s="37">
        <v>2.0</v>
      </c>
      <c r="B8" s="37">
        <v>2.0</v>
      </c>
      <c r="C8" s="31"/>
      <c r="D8" s="38" t="s">
        <v>46</v>
      </c>
      <c r="E8" s="37" t="s">
        <v>47</v>
      </c>
      <c r="F8" s="31"/>
      <c r="G8" s="34">
        <v>1.0</v>
      </c>
      <c r="H8" s="34">
        <v>2.0</v>
      </c>
      <c r="I8" s="34"/>
      <c r="J8" s="34"/>
      <c r="K8" s="34"/>
      <c r="L8" s="34"/>
      <c r="M8" s="34"/>
      <c r="N8" s="34"/>
      <c r="O8" s="34"/>
      <c r="P8" s="34"/>
      <c r="Q8" s="34"/>
      <c r="R8" s="34"/>
      <c r="S8" s="34"/>
      <c r="T8" s="34"/>
      <c r="U8" s="34"/>
      <c r="V8" s="34"/>
    </row>
    <row r="9">
      <c r="A9" s="37">
        <v>3.0</v>
      </c>
      <c r="B9" s="37">
        <v>1.0</v>
      </c>
      <c r="C9" s="38" t="s">
        <v>48</v>
      </c>
      <c r="D9" s="39" t="s">
        <v>49</v>
      </c>
      <c r="E9" s="28" t="s">
        <v>50</v>
      </c>
      <c r="F9" s="31"/>
      <c r="G9" s="34">
        <v>1.0</v>
      </c>
      <c r="H9" s="34">
        <v>3.0</v>
      </c>
      <c r="I9" s="34"/>
      <c r="J9" s="34"/>
      <c r="K9" s="34"/>
      <c r="L9" s="34"/>
      <c r="M9" s="34"/>
      <c r="N9" s="34"/>
      <c r="O9" s="34"/>
      <c r="P9" s="34"/>
      <c r="Q9" s="34"/>
      <c r="R9" s="34"/>
      <c r="S9" s="34"/>
      <c r="T9" s="34"/>
      <c r="U9" s="34"/>
      <c r="V9" s="34"/>
    </row>
    <row r="10">
      <c r="A10" s="37">
        <v>4.0</v>
      </c>
      <c r="B10" s="37">
        <v>1.0</v>
      </c>
      <c r="C10" s="28" t="s">
        <v>51</v>
      </c>
      <c r="D10" s="28" t="s">
        <v>52</v>
      </c>
      <c r="E10" s="28" t="s">
        <v>53</v>
      </c>
      <c r="F10" s="28"/>
      <c r="G10" s="34">
        <v>1.0</v>
      </c>
      <c r="H10" s="34">
        <v>4.0</v>
      </c>
      <c r="I10" s="34"/>
      <c r="J10" s="34"/>
      <c r="K10" s="34"/>
      <c r="L10" s="34"/>
      <c r="M10" s="34"/>
      <c r="N10" s="34"/>
      <c r="O10" s="34"/>
      <c r="P10" s="34"/>
      <c r="Q10" s="34"/>
      <c r="R10" s="34"/>
      <c r="S10" s="34"/>
      <c r="T10" s="34"/>
      <c r="U10" s="34"/>
      <c r="V10" s="34"/>
    </row>
    <row r="11">
      <c r="A11" s="37">
        <v>5.0</v>
      </c>
      <c r="B11" s="37">
        <v>1.0</v>
      </c>
      <c r="C11" s="28" t="s">
        <v>54</v>
      </c>
      <c r="D11" s="28" t="s">
        <v>55</v>
      </c>
      <c r="E11" s="28" t="s">
        <v>53</v>
      </c>
      <c r="F11" s="37"/>
      <c r="G11" s="34">
        <v>2.0</v>
      </c>
      <c r="H11" s="34" t="s">
        <v>56</v>
      </c>
      <c r="I11" s="34"/>
      <c r="J11" s="34"/>
      <c r="K11" s="34"/>
      <c r="L11" s="34"/>
      <c r="M11" s="34"/>
      <c r="N11" s="34"/>
      <c r="O11" s="34"/>
      <c r="P11" s="34"/>
      <c r="Q11" s="34"/>
      <c r="R11" s="34"/>
      <c r="S11" s="34"/>
      <c r="T11" s="34"/>
      <c r="U11" s="34"/>
      <c r="V11" s="34"/>
    </row>
    <row r="12">
      <c r="A12" s="37">
        <v>6.0</v>
      </c>
      <c r="B12" s="28">
        <v>1.0</v>
      </c>
      <c r="C12" s="28" t="s">
        <v>57</v>
      </c>
      <c r="D12" s="28" t="s">
        <v>58</v>
      </c>
      <c r="E12" s="28" t="s">
        <v>59</v>
      </c>
      <c r="F12" s="31"/>
      <c r="G12" s="34">
        <v>1.0</v>
      </c>
      <c r="H12" s="34">
        <v>5.0</v>
      </c>
      <c r="I12" s="34"/>
      <c r="J12" s="34"/>
      <c r="K12" s="34"/>
      <c r="L12" s="34"/>
      <c r="M12" s="34"/>
      <c r="N12" s="34"/>
      <c r="O12" s="34"/>
      <c r="P12" s="34"/>
      <c r="Q12" s="34"/>
      <c r="R12" s="34"/>
      <c r="S12" s="34"/>
      <c r="T12" s="34"/>
      <c r="U12" s="34"/>
      <c r="V12" s="34"/>
    </row>
    <row r="13">
      <c r="A13" s="37">
        <v>7.0</v>
      </c>
      <c r="B13" s="37">
        <v>1.0</v>
      </c>
      <c r="C13" s="28" t="s">
        <v>60</v>
      </c>
      <c r="D13" s="28" t="s">
        <v>61</v>
      </c>
      <c r="E13" s="37" t="s">
        <v>59</v>
      </c>
      <c r="F13" s="31"/>
      <c r="G13" s="34">
        <v>2.0</v>
      </c>
      <c r="H13" s="34" t="s">
        <v>56</v>
      </c>
      <c r="I13" s="34"/>
      <c r="J13" s="34"/>
      <c r="K13" s="34"/>
      <c r="L13" s="34"/>
      <c r="M13" s="34"/>
      <c r="N13" s="34"/>
      <c r="O13" s="34"/>
      <c r="P13" s="34"/>
      <c r="Q13" s="34"/>
      <c r="R13" s="34"/>
      <c r="S13" s="34"/>
      <c r="T13" s="34"/>
      <c r="U13" s="34"/>
      <c r="V13" s="34"/>
    </row>
    <row r="14">
      <c r="A14" s="37">
        <v>7.0</v>
      </c>
      <c r="B14" s="37">
        <v>2.0</v>
      </c>
      <c r="C14" s="31"/>
      <c r="D14" s="37" t="s">
        <v>62</v>
      </c>
      <c r="E14" s="28" t="s">
        <v>63</v>
      </c>
      <c r="F14" s="37"/>
      <c r="G14" s="34">
        <v>1.0</v>
      </c>
      <c r="H14" s="34">
        <v>6.0</v>
      </c>
      <c r="I14" s="34"/>
      <c r="J14" s="34"/>
      <c r="K14" s="34"/>
      <c r="L14" s="34"/>
      <c r="M14" s="34"/>
      <c r="N14" s="34"/>
      <c r="O14" s="34"/>
      <c r="P14" s="34"/>
      <c r="Q14" s="34"/>
      <c r="R14" s="34"/>
      <c r="S14" s="34"/>
      <c r="T14" s="34"/>
      <c r="U14" s="34"/>
      <c r="V14" s="34"/>
    </row>
    <row r="15">
      <c r="A15" s="37">
        <v>7.0</v>
      </c>
      <c r="B15" s="37">
        <v>3.0</v>
      </c>
      <c r="C15" s="31"/>
      <c r="D15" s="28" t="s">
        <v>64</v>
      </c>
      <c r="E15" s="28" t="s">
        <v>65</v>
      </c>
      <c r="F15" s="31"/>
      <c r="G15" s="34">
        <v>1.0</v>
      </c>
      <c r="H15" s="34">
        <v>7.0</v>
      </c>
      <c r="I15" s="34"/>
      <c r="J15" s="34"/>
      <c r="K15" s="34"/>
      <c r="L15" s="34"/>
      <c r="M15" s="34"/>
      <c r="N15" s="34"/>
      <c r="O15" s="34"/>
      <c r="P15" s="34"/>
      <c r="Q15" s="34"/>
      <c r="R15" s="34"/>
      <c r="S15" s="34"/>
      <c r="T15" s="34"/>
      <c r="U15" s="34"/>
      <c r="V15" s="34"/>
    </row>
    <row r="16">
      <c r="A16" s="37">
        <v>8.0</v>
      </c>
      <c r="B16" s="37">
        <v>1.0</v>
      </c>
      <c r="C16" s="28" t="s">
        <v>66</v>
      </c>
      <c r="D16" s="37" t="s">
        <v>67</v>
      </c>
      <c r="E16" s="37" t="s">
        <v>59</v>
      </c>
      <c r="F16" s="31"/>
      <c r="G16" s="34">
        <v>3.0</v>
      </c>
      <c r="H16" s="34" t="s">
        <v>56</v>
      </c>
      <c r="I16" s="34"/>
      <c r="J16" s="34"/>
      <c r="K16" s="34"/>
      <c r="L16" s="34"/>
      <c r="M16" s="34"/>
      <c r="N16" s="34"/>
      <c r="O16" s="34"/>
      <c r="P16" s="34"/>
      <c r="Q16" s="34"/>
      <c r="R16" s="34"/>
      <c r="S16" s="34"/>
      <c r="T16" s="34"/>
      <c r="U16" s="34"/>
      <c r="V16" s="34"/>
    </row>
    <row r="17">
      <c r="A17" s="37">
        <v>8.0</v>
      </c>
      <c r="B17" s="37">
        <v>2.0</v>
      </c>
      <c r="C17" s="31"/>
      <c r="D17" s="37" t="s">
        <v>68</v>
      </c>
      <c r="E17" s="37" t="s">
        <v>69</v>
      </c>
      <c r="F17" s="31"/>
      <c r="G17" s="34">
        <v>1.0</v>
      </c>
      <c r="H17" s="34">
        <v>8.0</v>
      </c>
      <c r="I17" s="34"/>
      <c r="J17" s="34"/>
      <c r="K17" s="34"/>
      <c r="L17" s="34"/>
      <c r="M17" s="34"/>
      <c r="N17" s="34"/>
      <c r="O17" s="34"/>
      <c r="P17" s="34"/>
      <c r="Q17" s="34"/>
      <c r="R17" s="34"/>
      <c r="S17" s="34"/>
      <c r="T17" s="34"/>
      <c r="U17" s="34"/>
      <c r="V17" s="34"/>
    </row>
    <row r="18">
      <c r="A18" s="37">
        <v>9.0</v>
      </c>
      <c r="B18" s="37">
        <v>1.0</v>
      </c>
      <c r="C18" s="28" t="s">
        <v>70</v>
      </c>
      <c r="D18" s="37" t="s">
        <v>71</v>
      </c>
      <c r="E18" s="37" t="s">
        <v>69</v>
      </c>
      <c r="F18" s="31"/>
      <c r="G18" s="34">
        <v>2.0</v>
      </c>
      <c r="H18" s="34" t="s">
        <v>56</v>
      </c>
      <c r="I18" s="34"/>
      <c r="J18" s="34"/>
      <c r="K18" s="34"/>
      <c r="L18" s="34"/>
      <c r="M18" s="34"/>
      <c r="N18" s="34"/>
      <c r="O18" s="34"/>
      <c r="P18" s="34"/>
      <c r="Q18" s="34"/>
      <c r="R18" s="34"/>
      <c r="S18" s="34"/>
      <c r="T18" s="34"/>
      <c r="U18" s="34"/>
      <c r="V18" s="34"/>
    </row>
    <row r="19">
      <c r="A19" s="37">
        <v>9.0</v>
      </c>
      <c r="B19" s="37">
        <v>2.0</v>
      </c>
      <c r="C19" s="31"/>
      <c r="D19" s="37" t="s">
        <v>72</v>
      </c>
      <c r="E19" s="37" t="s">
        <v>73</v>
      </c>
      <c r="F19" s="40"/>
      <c r="G19" s="34">
        <v>1.0</v>
      </c>
      <c r="H19" s="34">
        <v>9.0</v>
      </c>
      <c r="I19" s="34"/>
      <c r="J19" s="34"/>
      <c r="K19" s="34"/>
      <c r="L19" s="34"/>
      <c r="M19" s="34"/>
      <c r="N19" s="34"/>
      <c r="O19" s="34"/>
      <c r="P19" s="34"/>
      <c r="Q19" s="34"/>
      <c r="R19" s="34"/>
      <c r="S19" s="34"/>
      <c r="T19" s="34"/>
      <c r="U19" s="34"/>
      <c r="V19" s="34"/>
    </row>
    <row r="20">
      <c r="A20" s="37">
        <v>9.0</v>
      </c>
      <c r="B20" s="37">
        <v>3.0</v>
      </c>
      <c r="C20" s="31"/>
      <c r="D20" s="37" t="s">
        <v>74</v>
      </c>
      <c r="E20" s="37" t="s">
        <v>75</v>
      </c>
      <c r="F20" s="31"/>
      <c r="G20" s="34">
        <v>1.0</v>
      </c>
      <c r="H20" s="34">
        <v>10.0</v>
      </c>
      <c r="I20" s="34"/>
      <c r="J20" s="34"/>
      <c r="K20" s="34"/>
      <c r="L20" s="34"/>
      <c r="M20" s="34"/>
      <c r="N20" s="34"/>
      <c r="O20" s="34"/>
      <c r="P20" s="34"/>
      <c r="Q20" s="34"/>
      <c r="R20" s="34"/>
      <c r="S20" s="34"/>
      <c r="T20" s="34"/>
      <c r="U20" s="34"/>
      <c r="V20" s="34"/>
    </row>
    <row r="21">
      <c r="A21" s="37">
        <v>10.0</v>
      </c>
      <c r="B21" s="37">
        <v>1.0</v>
      </c>
      <c r="C21" s="37" t="s">
        <v>76</v>
      </c>
      <c r="D21" s="37" t="s">
        <v>77</v>
      </c>
      <c r="E21" s="28" t="s">
        <v>78</v>
      </c>
      <c r="F21" s="31"/>
      <c r="G21" s="34">
        <v>1.0</v>
      </c>
      <c r="H21" s="33">
        <v>11.0</v>
      </c>
      <c r="I21" s="34"/>
      <c r="J21" s="34"/>
      <c r="K21" s="34"/>
      <c r="L21" s="34"/>
      <c r="M21" s="34"/>
      <c r="N21" s="34"/>
      <c r="O21" s="34"/>
      <c r="P21" s="34"/>
      <c r="Q21" s="34"/>
      <c r="R21" s="34"/>
      <c r="S21" s="34"/>
      <c r="T21" s="34"/>
      <c r="U21" s="34"/>
      <c r="V21" s="34"/>
    </row>
    <row r="22">
      <c r="A22" s="37">
        <v>10.0</v>
      </c>
      <c r="B22" s="37">
        <v>2.0</v>
      </c>
      <c r="C22" s="31"/>
      <c r="D22" s="37" t="s">
        <v>79</v>
      </c>
      <c r="E22" s="28" t="s">
        <v>80</v>
      </c>
      <c r="F22" s="31"/>
      <c r="G22" s="34">
        <v>1.0</v>
      </c>
      <c r="H22" s="34">
        <v>12.0</v>
      </c>
      <c r="I22" s="34"/>
      <c r="J22" s="34"/>
      <c r="K22" s="34"/>
      <c r="L22" s="34"/>
      <c r="M22" s="34"/>
      <c r="N22" s="34"/>
      <c r="O22" s="34"/>
      <c r="P22" s="34"/>
      <c r="Q22" s="34"/>
      <c r="R22" s="34"/>
      <c r="S22" s="34"/>
      <c r="T22" s="34"/>
      <c r="U22" s="34"/>
      <c r="V22" s="34"/>
    </row>
    <row r="23">
      <c r="A23" s="37">
        <v>10.0</v>
      </c>
      <c r="B23" s="37">
        <v>3.0</v>
      </c>
      <c r="C23" s="31"/>
      <c r="D23" s="37" t="s">
        <v>81</v>
      </c>
      <c r="E23" s="37" t="s">
        <v>82</v>
      </c>
      <c r="F23" s="31"/>
      <c r="G23" s="34">
        <v>1.0</v>
      </c>
      <c r="H23" s="34">
        <v>13.0</v>
      </c>
      <c r="I23" s="34"/>
      <c r="J23" s="34"/>
      <c r="K23" s="34"/>
      <c r="L23" s="34"/>
      <c r="M23" s="34"/>
      <c r="N23" s="34"/>
      <c r="O23" s="34"/>
      <c r="P23" s="34"/>
      <c r="Q23" s="34"/>
      <c r="R23" s="34"/>
      <c r="S23" s="34"/>
      <c r="T23" s="34"/>
      <c r="U23" s="34"/>
      <c r="V23" s="34"/>
    </row>
    <row r="24">
      <c r="A24" s="37">
        <v>11.0</v>
      </c>
      <c r="B24" s="37">
        <v>1.0</v>
      </c>
      <c r="C24" s="28" t="s">
        <v>83</v>
      </c>
      <c r="D24" s="41" t="s">
        <v>84</v>
      </c>
      <c r="E24" s="41" t="s">
        <v>85</v>
      </c>
      <c r="F24" s="31"/>
      <c r="G24" s="34">
        <v>1.0</v>
      </c>
      <c r="H24" s="34">
        <v>14.0</v>
      </c>
      <c r="I24" s="34"/>
      <c r="J24" s="34"/>
      <c r="K24" s="34"/>
      <c r="L24" s="34"/>
      <c r="M24" s="34"/>
      <c r="N24" s="34"/>
      <c r="O24" s="34"/>
      <c r="P24" s="34"/>
      <c r="Q24" s="34"/>
      <c r="R24" s="34"/>
      <c r="S24" s="34"/>
      <c r="T24" s="34"/>
      <c r="U24" s="34"/>
      <c r="V24" s="34"/>
    </row>
    <row r="25">
      <c r="A25" s="37">
        <v>1.0</v>
      </c>
      <c r="B25" s="37"/>
      <c r="C25" s="37"/>
      <c r="D25" s="37" t="s">
        <v>86</v>
      </c>
      <c r="E25" s="28" t="s">
        <v>87</v>
      </c>
      <c r="F25" s="31"/>
      <c r="G25" s="34">
        <v>1.0</v>
      </c>
      <c r="H25" s="34">
        <v>15.0</v>
      </c>
      <c r="I25" s="34"/>
      <c r="J25" s="34"/>
      <c r="K25" s="34"/>
      <c r="L25" s="34"/>
      <c r="M25" s="34"/>
      <c r="N25" s="34"/>
      <c r="O25" s="34"/>
      <c r="P25" s="34"/>
      <c r="Q25" s="34"/>
      <c r="R25" s="34"/>
      <c r="S25" s="34"/>
      <c r="T25" s="34"/>
      <c r="U25" s="34"/>
      <c r="V25" s="34"/>
    </row>
    <row r="26">
      <c r="A26" s="37">
        <v>11.0</v>
      </c>
      <c r="B26" s="37">
        <v>2.0</v>
      </c>
      <c r="C26" s="31"/>
      <c r="D26" s="37" t="s">
        <v>88</v>
      </c>
      <c r="E26" s="37" t="s">
        <v>89</v>
      </c>
      <c r="F26" s="31"/>
      <c r="G26" s="34">
        <v>1.0</v>
      </c>
      <c r="H26" s="34">
        <v>16.0</v>
      </c>
      <c r="I26" s="34"/>
      <c r="J26" s="34"/>
      <c r="K26" s="34"/>
      <c r="L26" s="34"/>
      <c r="M26" s="34"/>
      <c r="N26" s="34"/>
      <c r="O26" s="34"/>
      <c r="P26" s="34"/>
      <c r="Q26" s="34"/>
      <c r="R26" s="34"/>
      <c r="S26" s="34"/>
      <c r="T26" s="34"/>
      <c r="U26" s="34"/>
      <c r="V26" s="34"/>
    </row>
    <row r="27">
      <c r="A27" s="37">
        <v>11.0</v>
      </c>
      <c r="B27" s="37">
        <v>3.0</v>
      </c>
      <c r="C27" s="31"/>
      <c r="D27" s="28" t="s">
        <v>90</v>
      </c>
      <c r="E27" s="37" t="s">
        <v>91</v>
      </c>
      <c r="F27" s="31"/>
      <c r="G27" s="34">
        <v>1.0</v>
      </c>
      <c r="H27" s="34">
        <v>17.0</v>
      </c>
      <c r="I27" s="34"/>
      <c r="J27" s="34"/>
      <c r="K27" s="34"/>
      <c r="L27" s="34"/>
      <c r="M27" s="34"/>
      <c r="N27" s="34"/>
      <c r="O27" s="34"/>
      <c r="P27" s="34"/>
      <c r="Q27" s="34"/>
      <c r="R27" s="34"/>
      <c r="S27" s="34"/>
      <c r="T27" s="34"/>
      <c r="U27" s="34"/>
      <c r="V27" s="34"/>
    </row>
    <row r="28">
      <c r="A28" s="37">
        <v>11.0</v>
      </c>
      <c r="B28" s="37">
        <v>4.0</v>
      </c>
      <c r="C28" s="31"/>
      <c r="D28" s="28" t="s">
        <v>92</v>
      </c>
      <c r="E28" s="37" t="s">
        <v>93</v>
      </c>
      <c r="F28" s="31"/>
      <c r="G28" s="34">
        <v>1.0</v>
      </c>
      <c r="H28" s="34">
        <v>18.0</v>
      </c>
      <c r="I28" s="34"/>
      <c r="J28" s="34"/>
      <c r="K28" s="34"/>
      <c r="L28" s="34"/>
      <c r="M28" s="34"/>
      <c r="N28" s="34"/>
      <c r="O28" s="34"/>
      <c r="P28" s="34"/>
      <c r="Q28" s="34"/>
      <c r="R28" s="34"/>
      <c r="S28" s="34"/>
      <c r="T28" s="34"/>
      <c r="U28" s="34"/>
      <c r="V28" s="34"/>
    </row>
    <row r="29">
      <c r="A29" s="37">
        <v>12.0</v>
      </c>
      <c r="B29" s="37">
        <v>1.0</v>
      </c>
      <c r="C29" s="37" t="s">
        <v>94</v>
      </c>
      <c r="D29" s="37" t="s">
        <v>95</v>
      </c>
      <c r="E29" s="28" t="s">
        <v>96</v>
      </c>
      <c r="F29" s="31"/>
      <c r="G29" s="34">
        <v>1.0</v>
      </c>
      <c r="H29" s="34">
        <v>19.0</v>
      </c>
      <c r="I29" s="34"/>
      <c r="J29" s="34"/>
      <c r="K29" s="34"/>
      <c r="L29" s="34"/>
      <c r="M29" s="34"/>
      <c r="N29" s="34"/>
      <c r="O29" s="34"/>
      <c r="P29" s="34"/>
      <c r="Q29" s="34"/>
      <c r="R29" s="34"/>
      <c r="S29" s="34"/>
      <c r="T29" s="34"/>
      <c r="U29" s="34"/>
      <c r="V29" s="34"/>
    </row>
    <row r="30">
      <c r="A30" s="37">
        <v>12.0</v>
      </c>
      <c r="B30" s="37">
        <v>2.0</v>
      </c>
      <c r="C30" s="31"/>
      <c r="D30" s="37" t="s">
        <v>97</v>
      </c>
      <c r="E30" s="37" t="s">
        <v>98</v>
      </c>
      <c r="F30" s="31"/>
      <c r="G30" s="34">
        <v>1.0</v>
      </c>
      <c r="H30" s="34">
        <v>20.0</v>
      </c>
      <c r="I30" s="34"/>
      <c r="J30" s="34"/>
      <c r="K30" s="34"/>
      <c r="L30" s="34"/>
      <c r="M30" s="34"/>
      <c r="N30" s="34"/>
      <c r="O30" s="34"/>
      <c r="P30" s="34"/>
      <c r="Q30" s="34"/>
      <c r="R30" s="34"/>
      <c r="S30" s="34"/>
      <c r="T30" s="34"/>
      <c r="U30" s="34"/>
      <c r="V30" s="34"/>
    </row>
    <row r="31">
      <c r="A31" s="37">
        <v>13.0</v>
      </c>
      <c r="B31" s="37">
        <v>1.0</v>
      </c>
      <c r="C31" s="28" t="s">
        <v>99</v>
      </c>
      <c r="D31" s="37" t="s">
        <v>100</v>
      </c>
      <c r="E31" s="37" t="s">
        <v>101</v>
      </c>
      <c r="F31" s="31"/>
      <c r="G31" s="34">
        <v>1.0</v>
      </c>
      <c r="H31" s="34">
        <v>21.0</v>
      </c>
      <c r="I31" s="34"/>
      <c r="J31" s="34"/>
      <c r="K31" s="34"/>
      <c r="L31" s="34"/>
      <c r="M31" s="34"/>
      <c r="N31" s="34"/>
      <c r="O31" s="34"/>
      <c r="P31" s="34"/>
      <c r="Q31" s="34"/>
      <c r="R31" s="34"/>
      <c r="S31" s="34"/>
      <c r="T31" s="34"/>
      <c r="U31" s="34"/>
      <c r="V31" s="34"/>
    </row>
    <row r="32">
      <c r="A32" s="37">
        <v>13.0</v>
      </c>
      <c r="B32" s="37">
        <v>2.0</v>
      </c>
      <c r="C32" s="31"/>
      <c r="D32" s="37" t="s">
        <v>102</v>
      </c>
      <c r="E32" s="37" t="s">
        <v>103</v>
      </c>
      <c r="F32" s="31"/>
      <c r="G32" s="34">
        <v>1.0</v>
      </c>
      <c r="H32" s="34">
        <v>22.0</v>
      </c>
      <c r="I32" s="34"/>
      <c r="J32" s="34"/>
      <c r="K32" s="34"/>
      <c r="L32" s="34"/>
      <c r="M32" s="34"/>
      <c r="N32" s="34"/>
      <c r="O32" s="34"/>
      <c r="P32" s="34"/>
      <c r="Q32" s="34"/>
      <c r="R32" s="34"/>
      <c r="S32" s="34"/>
      <c r="T32" s="34"/>
      <c r="U32" s="34"/>
      <c r="V32" s="34"/>
    </row>
    <row r="33">
      <c r="A33" s="37">
        <v>13.0</v>
      </c>
      <c r="B33" s="37">
        <v>3.0</v>
      </c>
      <c r="C33" s="31"/>
      <c r="D33" s="37" t="s">
        <v>104</v>
      </c>
      <c r="E33" s="37" t="s">
        <v>105</v>
      </c>
      <c r="F33" s="31"/>
      <c r="G33" s="34">
        <v>1.0</v>
      </c>
      <c r="H33" s="34">
        <v>23.0</v>
      </c>
      <c r="I33" s="34"/>
      <c r="J33" s="34"/>
      <c r="K33" s="34"/>
      <c r="L33" s="34"/>
      <c r="M33" s="34"/>
      <c r="N33" s="34"/>
      <c r="O33" s="34"/>
      <c r="P33" s="34"/>
      <c r="Q33" s="34"/>
      <c r="R33" s="34"/>
      <c r="S33" s="34"/>
      <c r="T33" s="34"/>
      <c r="U33" s="34"/>
      <c r="V33" s="34"/>
    </row>
    <row r="34">
      <c r="A34" s="37">
        <v>13.0</v>
      </c>
      <c r="B34" s="37">
        <v>4.0</v>
      </c>
      <c r="C34" s="31"/>
      <c r="D34" s="37" t="s">
        <v>106</v>
      </c>
      <c r="E34" s="37" t="s">
        <v>107</v>
      </c>
      <c r="F34" s="31"/>
      <c r="G34" s="34">
        <v>1.0</v>
      </c>
      <c r="H34" s="34">
        <v>24.0</v>
      </c>
      <c r="I34" s="34"/>
      <c r="J34" s="34"/>
      <c r="K34" s="34"/>
      <c r="L34" s="34"/>
      <c r="M34" s="34"/>
      <c r="N34" s="34"/>
      <c r="O34" s="34"/>
      <c r="P34" s="34"/>
      <c r="Q34" s="34"/>
      <c r="R34" s="34"/>
      <c r="S34" s="34"/>
      <c r="T34" s="34"/>
      <c r="U34" s="34"/>
      <c r="V34" s="34"/>
    </row>
    <row r="35">
      <c r="A35" s="37">
        <v>13.0</v>
      </c>
      <c r="B35" s="37">
        <v>5.0</v>
      </c>
      <c r="C35" s="31"/>
      <c r="D35" s="37" t="s">
        <v>108</v>
      </c>
      <c r="E35" s="37" t="s">
        <v>109</v>
      </c>
      <c r="F35" s="31"/>
      <c r="G35" s="34">
        <v>1.0</v>
      </c>
      <c r="H35" s="34">
        <v>25.0</v>
      </c>
      <c r="I35" s="34"/>
      <c r="J35" s="34"/>
      <c r="K35" s="34"/>
      <c r="L35" s="34"/>
      <c r="M35" s="34"/>
      <c r="N35" s="34"/>
      <c r="O35" s="34"/>
      <c r="P35" s="34"/>
      <c r="Q35" s="34"/>
      <c r="R35" s="34"/>
      <c r="S35" s="34"/>
      <c r="T35" s="34"/>
      <c r="U35" s="34"/>
      <c r="V35" s="34"/>
    </row>
    <row r="36">
      <c r="A36" s="37">
        <v>13.0</v>
      </c>
      <c r="B36" s="37">
        <v>6.0</v>
      </c>
      <c r="C36" s="31"/>
      <c r="D36" s="28" t="s">
        <v>110</v>
      </c>
      <c r="E36" s="28" t="s">
        <v>111</v>
      </c>
      <c r="F36" s="31"/>
      <c r="G36" s="34">
        <v>1.0</v>
      </c>
      <c r="H36" s="34">
        <v>26.0</v>
      </c>
      <c r="I36" s="34"/>
      <c r="J36" s="34"/>
      <c r="K36" s="34"/>
      <c r="L36" s="34"/>
      <c r="M36" s="34"/>
      <c r="N36" s="34"/>
      <c r="O36" s="34"/>
      <c r="P36" s="34"/>
      <c r="Q36" s="34"/>
      <c r="R36" s="34"/>
      <c r="S36" s="34"/>
      <c r="T36" s="34"/>
      <c r="U36" s="34"/>
      <c r="V36" s="34"/>
    </row>
    <row r="37">
      <c r="A37" s="37">
        <v>13.0</v>
      </c>
      <c r="B37" s="37">
        <v>7.0</v>
      </c>
      <c r="C37" s="31"/>
      <c r="D37" s="37" t="s">
        <v>112</v>
      </c>
      <c r="E37" s="37" t="s">
        <v>113</v>
      </c>
      <c r="F37" s="31"/>
      <c r="G37" s="34">
        <v>1.0</v>
      </c>
      <c r="H37" s="34">
        <v>27.0</v>
      </c>
      <c r="I37" s="34"/>
      <c r="J37" s="34"/>
      <c r="K37" s="34"/>
      <c r="L37" s="34"/>
      <c r="M37" s="34"/>
      <c r="N37" s="34"/>
      <c r="O37" s="34"/>
      <c r="P37" s="34"/>
      <c r="Q37" s="34"/>
      <c r="R37" s="34"/>
      <c r="S37" s="34"/>
      <c r="T37" s="34"/>
      <c r="U37" s="34"/>
      <c r="V37" s="34"/>
    </row>
    <row r="38">
      <c r="A38" s="37">
        <v>13.0</v>
      </c>
      <c r="B38" s="37">
        <v>8.0</v>
      </c>
      <c r="C38" s="31"/>
      <c r="D38" s="37" t="s">
        <v>114</v>
      </c>
      <c r="E38" s="37" t="s">
        <v>115</v>
      </c>
      <c r="F38" s="31"/>
      <c r="G38" s="34">
        <v>1.0</v>
      </c>
      <c r="H38" s="34">
        <v>28.0</v>
      </c>
      <c r="I38" s="34"/>
      <c r="J38" s="34"/>
      <c r="K38" s="34"/>
      <c r="L38" s="34"/>
      <c r="M38" s="34"/>
      <c r="N38" s="34"/>
      <c r="O38" s="34"/>
      <c r="P38" s="34"/>
      <c r="Q38" s="34"/>
      <c r="R38" s="34"/>
      <c r="S38" s="34"/>
      <c r="T38" s="34"/>
      <c r="U38" s="34"/>
      <c r="V38" s="34"/>
    </row>
    <row r="39">
      <c r="A39" s="37">
        <v>13.0</v>
      </c>
      <c r="B39" s="37">
        <v>9.0</v>
      </c>
      <c r="C39" s="31"/>
      <c r="D39" s="37" t="s">
        <v>116</v>
      </c>
      <c r="E39" s="37" t="s">
        <v>117</v>
      </c>
      <c r="F39" s="31"/>
      <c r="G39" s="34">
        <v>1.0</v>
      </c>
      <c r="H39" s="34">
        <v>29.0</v>
      </c>
      <c r="I39" s="34"/>
      <c r="J39" s="34"/>
      <c r="K39" s="34"/>
      <c r="L39" s="34"/>
      <c r="M39" s="34"/>
      <c r="N39" s="34"/>
      <c r="O39" s="34"/>
      <c r="P39" s="34"/>
      <c r="Q39" s="34"/>
      <c r="R39" s="34"/>
      <c r="S39" s="34"/>
      <c r="T39" s="34"/>
      <c r="U39" s="34"/>
      <c r="V39" s="34"/>
    </row>
    <row r="40">
      <c r="A40" s="37">
        <v>14.0</v>
      </c>
      <c r="B40" s="37">
        <v>1.0</v>
      </c>
      <c r="C40" s="37" t="s">
        <v>118</v>
      </c>
      <c r="D40" s="37" t="s">
        <v>119</v>
      </c>
      <c r="E40" s="37" t="s">
        <v>120</v>
      </c>
      <c r="F40" s="31"/>
      <c r="G40" s="34">
        <v>1.0</v>
      </c>
      <c r="H40" s="34">
        <v>30.0</v>
      </c>
      <c r="I40" s="34"/>
      <c r="J40" s="34"/>
      <c r="K40" s="34"/>
      <c r="L40" s="34"/>
      <c r="M40" s="34"/>
      <c r="N40" s="34"/>
      <c r="O40" s="34"/>
      <c r="P40" s="34"/>
      <c r="Q40" s="34"/>
      <c r="R40" s="34"/>
      <c r="S40" s="34"/>
      <c r="T40" s="34"/>
      <c r="U40" s="34"/>
      <c r="V40" s="34"/>
    </row>
    <row r="41">
      <c r="A41" s="37">
        <v>15.0</v>
      </c>
      <c r="B41" s="37">
        <v>1.0</v>
      </c>
      <c r="C41" s="37" t="s">
        <v>121</v>
      </c>
      <c r="D41" s="28" t="s">
        <v>122</v>
      </c>
      <c r="E41" s="37" t="s">
        <v>123</v>
      </c>
      <c r="F41" s="31"/>
      <c r="G41" s="34">
        <v>1.0</v>
      </c>
      <c r="H41" s="34">
        <v>31.0</v>
      </c>
      <c r="I41" s="34"/>
      <c r="J41" s="34"/>
      <c r="K41" s="34"/>
      <c r="L41" s="34"/>
      <c r="M41" s="34"/>
      <c r="N41" s="34"/>
      <c r="O41" s="34"/>
      <c r="P41" s="34"/>
      <c r="Q41" s="34"/>
      <c r="R41" s="34"/>
      <c r="S41" s="34"/>
      <c r="T41" s="34"/>
      <c r="U41" s="34"/>
      <c r="V41" s="34"/>
    </row>
    <row r="42">
      <c r="A42" s="37">
        <v>16.0</v>
      </c>
      <c r="B42" s="37">
        <v>1.0</v>
      </c>
      <c r="C42" s="28" t="s">
        <v>124</v>
      </c>
      <c r="D42" s="28" t="s">
        <v>125</v>
      </c>
      <c r="E42" s="37" t="s">
        <v>126</v>
      </c>
      <c r="F42" s="31"/>
      <c r="G42" s="34">
        <v>1.0</v>
      </c>
      <c r="H42" s="34">
        <v>32.0</v>
      </c>
      <c r="I42" s="34"/>
      <c r="J42" s="34"/>
      <c r="K42" s="34"/>
      <c r="L42" s="34"/>
      <c r="M42" s="34"/>
      <c r="N42" s="34"/>
      <c r="O42" s="34"/>
      <c r="P42" s="34"/>
      <c r="Q42" s="34"/>
      <c r="R42" s="34"/>
      <c r="S42" s="34"/>
      <c r="T42" s="34"/>
      <c r="U42" s="34"/>
      <c r="V42" s="34"/>
    </row>
    <row r="43">
      <c r="A43" s="37">
        <v>17.0</v>
      </c>
      <c r="B43" s="37">
        <v>1.0</v>
      </c>
      <c r="C43" s="37" t="s">
        <v>127</v>
      </c>
      <c r="D43" s="37" t="s">
        <v>128</v>
      </c>
      <c r="E43" s="37" t="s">
        <v>129</v>
      </c>
      <c r="F43" s="31"/>
      <c r="G43" s="34">
        <v>1.0</v>
      </c>
      <c r="H43" s="34">
        <v>33.0</v>
      </c>
      <c r="I43" s="34"/>
      <c r="J43" s="34"/>
      <c r="K43" s="34"/>
      <c r="L43" s="34"/>
      <c r="M43" s="34"/>
      <c r="N43" s="34"/>
      <c r="O43" s="34"/>
      <c r="P43" s="34"/>
      <c r="Q43" s="34"/>
      <c r="R43" s="34"/>
      <c r="S43" s="34"/>
      <c r="T43" s="34"/>
      <c r="U43" s="34"/>
      <c r="V43" s="34"/>
    </row>
    <row r="44">
      <c r="A44" s="37">
        <v>17.0</v>
      </c>
      <c r="B44" s="37">
        <v>2.0</v>
      </c>
      <c r="C44" s="31"/>
      <c r="D44" s="37" t="s">
        <v>130</v>
      </c>
      <c r="E44" s="28" t="s">
        <v>131</v>
      </c>
      <c r="F44" s="31"/>
      <c r="G44" s="34">
        <v>1.0</v>
      </c>
      <c r="H44" s="34">
        <v>34.0</v>
      </c>
      <c r="I44" s="34"/>
      <c r="J44" s="34"/>
      <c r="K44" s="34"/>
      <c r="L44" s="34"/>
      <c r="M44" s="34"/>
      <c r="N44" s="34"/>
      <c r="O44" s="34"/>
      <c r="P44" s="34"/>
      <c r="Q44" s="34"/>
      <c r="R44" s="34"/>
      <c r="S44" s="34"/>
      <c r="T44" s="34"/>
      <c r="U44" s="34"/>
      <c r="V44" s="34"/>
    </row>
    <row r="45">
      <c r="A45" s="37">
        <v>18.0</v>
      </c>
      <c r="B45" s="37">
        <v>1.0</v>
      </c>
      <c r="C45" s="37" t="s">
        <v>132</v>
      </c>
      <c r="D45" s="37" t="s">
        <v>133</v>
      </c>
      <c r="E45" s="28" t="s">
        <v>134</v>
      </c>
      <c r="F45" s="31"/>
      <c r="G45" s="34">
        <v>1.0</v>
      </c>
      <c r="H45" s="34">
        <v>35.0</v>
      </c>
      <c r="I45" s="34"/>
      <c r="J45" s="34"/>
      <c r="K45" s="34"/>
      <c r="L45" s="34"/>
      <c r="M45" s="34"/>
      <c r="N45" s="34"/>
      <c r="O45" s="34"/>
      <c r="P45" s="34"/>
      <c r="Q45" s="34"/>
      <c r="R45" s="34"/>
      <c r="S45" s="34"/>
      <c r="T45" s="34"/>
      <c r="U45" s="34"/>
      <c r="V45" s="34"/>
    </row>
    <row r="46">
      <c r="A46" s="37">
        <v>19.0</v>
      </c>
      <c r="B46" s="37">
        <v>1.0</v>
      </c>
      <c r="C46" s="37" t="s">
        <v>135</v>
      </c>
      <c r="D46" s="37" t="s">
        <v>136</v>
      </c>
      <c r="E46" s="28" t="s">
        <v>137</v>
      </c>
      <c r="F46" s="28"/>
      <c r="G46" s="34">
        <v>1.0</v>
      </c>
      <c r="H46" s="34">
        <v>36.0</v>
      </c>
      <c r="I46" s="34"/>
      <c r="J46" s="34"/>
      <c r="K46" s="34"/>
      <c r="L46" s="34"/>
      <c r="M46" s="34"/>
      <c r="N46" s="34"/>
      <c r="O46" s="34"/>
      <c r="P46" s="34"/>
      <c r="Q46" s="34"/>
      <c r="R46" s="34"/>
      <c r="S46" s="34"/>
      <c r="T46" s="34"/>
      <c r="U46" s="34"/>
      <c r="V46" s="34"/>
    </row>
    <row r="47">
      <c r="A47" s="37">
        <v>20.0</v>
      </c>
      <c r="B47" s="37">
        <v>1.0</v>
      </c>
      <c r="C47" s="37" t="s">
        <v>138</v>
      </c>
      <c r="D47" s="28" t="s">
        <v>139</v>
      </c>
      <c r="E47" s="37" t="s">
        <v>140</v>
      </c>
      <c r="F47" s="40"/>
      <c r="G47" s="34">
        <v>1.0</v>
      </c>
      <c r="H47" s="34">
        <v>37.0</v>
      </c>
      <c r="I47" s="34"/>
      <c r="J47" s="34"/>
      <c r="K47" s="34"/>
      <c r="L47" s="34"/>
      <c r="M47" s="34"/>
      <c r="N47" s="34"/>
      <c r="O47" s="34"/>
      <c r="P47" s="34"/>
      <c r="Q47" s="34"/>
      <c r="R47" s="34"/>
      <c r="S47" s="34"/>
      <c r="T47" s="34"/>
      <c r="U47" s="34"/>
      <c r="V47" s="34"/>
    </row>
    <row r="48">
      <c r="A48" s="37">
        <v>21.0</v>
      </c>
      <c r="B48" s="37">
        <v>1.0</v>
      </c>
      <c r="C48" s="37" t="s">
        <v>141</v>
      </c>
      <c r="D48" s="28" t="s">
        <v>142</v>
      </c>
      <c r="E48" s="28" t="s">
        <v>143</v>
      </c>
      <c r="F48" s="31"/>
      <c r="G48" s="34">
        <v>1.0</v>
      </c>
      <c r="H48" s="34">
        <v>38.0</v>
      </c>
      <c r="I48" s="34"/>
      <c r="J48" s="34"/>
      <c r="K48" s="34"/>
      <c r="L48" s="34"/>
      <c r="M48" s="34"/>
      <c r="N48" s="34"/>
      <c r="O48" s="34"/>
      <c r="P48" s="34"/>
      <c r="Q48" s="34"/>
      <c r="R48" s="34"/>
      <c r="S48" s="34"/>
      <c r="T48" s="34"/>
      <c r="U48" s="34"/>
      <c r="V48" s="34"/>
    </row>
    <row r="49">
      <c r="A49" s="37">
        <v>21.0</v>
      </c>
      <c r="B49" s="37">
        <v>2.0</v>
      </c>
      <c r="C49" s="31"/>
      <c r="D49" s="37" t="s">
        <v>144</v>
      </c>
      <c r="E49" s="28" t="s">
        <v>145</v>
      </c>
      <c r="F49" s="31"/>
      <c r="G49" s="34">
        <v>1.0</v>
      </c>
      <c r="H49" s="34">
        <v>39.0</v>
      </c>
      <c r="I49" s="34"/>
      <c r="J49" s="34"/>
      <c r="K49" s="34"/>
      <c r="L49" s="34"/>
      <c r="M49" s="34"/>
      <c r="N49" s="34"/>
      <c r="O49" s="34"/>
      <c r="P49" s="34"/>
      <c r="Q49" s="34"/>
      <c r="R49" s="34"/>
      <c r="S49" s="34"/>
      <c r="T49" s="34"/>
      <c r="U49" s="34"/>
      <c r="V49" s="34"/>
    </row>
    <row r="50">
      <c r="A50" s="37">
        <v>21.0</v>
      </c>
      <c r="B50" s="37">
        <v>3.0</v>
      </c>
      <c r="C50" s="31"/>
      <c r="D50" s="37" t="s">
        <v>146</v>
      </c>
      <c r="E50" s="28" t="s">
        <v>147</v>
      </c>
      <c r="F50" s="31"/>
      <c r="G50" s="34">
        <v>1.0</v>
      </c>
      <c r="H50" s="34">
        <v>40.0</v>
      </c>
      <c r="I50" s="34"/>
      <c r="J50" s="34"/>
      <c r="K50" s="34"/>
      <c r="L50" s="34"/>
      <c r="M50" s="34"/>
      <c r="N50" s="34"/>
      <c r="O50" s="34"/>
      <c r="P50" s="34"/>
      <c r="Q50" s="34"/>
      <c r="R50" s="34"/>
      <c r="S50" s="34"/>
      <c r="T50" s="34"/>
      <c r="U50" s="34"/>
      <c r="V50" s="34"/>
    </row>
    <row r="51">
      <c r="A51" s="37">
        <v>21.0</v>
      </c>
      <c r="B51" s="37">
        <v>4.0</v>
      </c>
      <c r="C51" s="31"/>
      <c r="D51" s="37" t="s">
        <v>148</v>
      </c>
      <c r="E51" s="37" t="s">
        <v>149</v>
      </c>
      <c r="F51" s="31"/>
      <c r="G51" s="34">
        <v>1.0</v>
      </c>
      <c r="H51" s="34">
        <v>41.0</v>
      </c>
      <c r="I51" s="34"/>
      <c r="J51" s="34"/>
      <c r="K51" s="34"/>
      <c r="L51" s="34"/>
      <c r="M51" s="34"/>
      <c r="N51" s="34"/>
      <c r="O51" s="34"/>
      <c r="P51" s="34"/>
      <c r="Q51" s="34"/>
      <c r="R51" s="34"/>
      <c r="S51" s="34"/>
      <c r="T51" s="34"/>
      <c r="U51" s="34"/>
      <c r="V51" s="34"/>
    </row>
    <row r="52">
      <c r="A52" s="37">
        <v>21.0</v>
      </c>
      <c r="B52" s="37">
        <v>5.0</v>
      </c>
      <c r="C52" s="31"/>
      <c r="D52" s="37" t="s">
        <v>150</v>
      </c>
      <c r="E52" s="28" t="s">
        <v>151</v>
      </c>
      <c r="F52" s="31"/>
      <c r="G52" s="34">
        <v>1.0</v>
      </c>
      <c r="H52" s="34">
        <v>42.0</v>
      </c>
      <c r="I52" s="34"/>
      <c r="J52" s="34"/>
      <c r="K52" s="34"/>
      <c r="L52" s="34"/>
      <c r="M52" s="34"/>
      <c r="N52" s="34"/>
      <c r="O52" s="34"/>
      <c r="P52" s="34"/>
      <c r="Q52" s="34"/>
      <c r="R52" s="34"/>
      <c r="S52" s="34"/>
      <c r="T52" s="34"/>
      <c r="U52" s="34"/>
      <c r="V52" s="34"/>
    </row>
    <row r="53">
      <c r="A53" s="37">
        <v>22.0</v>
      </c>
      <c r="B53" s="37">
        <v>1.0</v>
      </c>
      <c r="C53" s="28" t="s">
        <v>152</v>
      </c>
      <c r="D53" s="37" t="s">
        <v>153</v>
      </c>
      <c r="E53" s="28" t="s">
        <v>154</v>
      </c>
      <c r="F53" s="31"/>
      <c r="G53" s="34">
        <v>1.0</v>
      </c>
      <c r="H53" s="34">
        <v>43.0</v>
      </c>
      <c r="I53" s="34"/>
      <c r="J53" s="34"/>
      <c r="K53" s="34"/>
      <c r="L53" s="34"/>
      <c r="M53" s="34"/>
      <c r="N53" s="34"/>
      <c r="O53" s="34"/>
      <c r="P53" s="34"/>
      <c r="Q53" s="34"/>
      <c r="R53" s="34"/>
      <c r="S53" s="34"/>
      <c r="T53" s="34"/>
      <c r="U53" s="34"/>
      <c r="V53" s="34"/>
    </row>
    <row r="54">
      <c r="A54" s="37">
        <v>23.0</v>
      </c>
      <c r="B54" s="37">
        <v>1.0</v>
      </c>
      <c r="C54" s="37" t="s">
        <v>155</v>
      </c>
      <c r="D54" s="37" t="s">
        <v>156</v>
      </c>
      <c r="E54" s="37" t="s">
        <v>157</v>
      </c>
      <c r="F54" s="31"/>
      <c r="G54" s="34">
        <v>1.0</v>
      </c>
      <c r="H54" s="34">
        <v>44.0</v>
      </c>
      <c r="I54" s="34"/>
      <c r="J54" s="34"/>
      <c r="K54" s="34"/>
      <c r="L54" s="34"/>
      <c r="M54" s="34"/>
      <c r="N54" s="34"/>
      <c r="O54" s="34"/>
      <c r="P54" s="34"/>
      <c r="Q54" s="34"/>
      <c r="R54" s="34"/>
      <c r="S54" s="34"/>
      <c r="T54" s="34"/>
      <c r="U54" s="34"/>
      <c r="V54" s="34"/>
    </row>
    <row r="55">
      <c r="A55" s="37">
        <v>24.0</v>
      </c>
      <c r="B55" s="37">
        <v>1.0</v>
      </c>
      <c r="C55" s="37" t="s">
        <v>158</v>
      </c>
      <c r="D55" s="37" t="s">
        <v>159</v>
      </c>
      <c r="E55" s="28">
        <v>1291.0</v>
      </c>
      <c r="F55" s="37"/>
      <c r="G55" s="34">
        <v>1.0</v>
      </c>
      <c r="H55" s="34">
        <v>45.0</v>
      </c>
      <c r="I55" s="34"/>
      <c r="J55" s="34"/>
      <c r="K55" s="34"/>
      <c r="L55" s="34"/>
      <c r="M55" s="34"/>
      <c r="N55" s="34"/>
      <c r="O55" s="34"/>
      <c r="P55" s="34"/>
      <c r="Q55" s="34"/>
      <c r="R55" s="34"/>
      <c r="S55" s="34"/>
      <c r="T55" s="34"/>
      <c r="U55" s="34"/>
      <c r="V55" s="34"/>
    </row>
    <row r="56">
      <c r="A56" s="37">
        <v>25.0</v>
      </c>
      <c r="B56" s="37">
        <v>1.0</v>
      </c>
      <c r="C56" s="37" t="s">
        <v>160</v>
      </c>
      <c r="D56" s="28" t="s">
        <v>161</v>
      </c>
      <c r="E56" s="28">
        <v>1292.0</v>
      </c>
      <c r="F56" s="37"/>
      <c r="G56" s="34">
        <v>1.0</v>
      </c>
      <c r="H56" s="34">
        <v>46.0</v>
      </c>
      <c r="I56" s="34"/>
      <c r="J56" s="34"/>
      <c r="K56" s="34"/>
      <c r="L56" s="34"/>
      <c r="M56" s="34"/>
      <c r="N56" s="34"/>
      <c r="O56" s="34"/>
      <c r="P56" s="34"/>
      <c r="Q56" s="34"/>
      <c r="R56" s="34"/>
      <c r="S56" s="34"/>
      <c r="T56" s="34"/>
      <c r="U56" s="34"/>
      <c r="V56" s="34"/>
    </row>
    <row r="57">
      <c r="A57" s="37">
        <v>26.0</v>
      </c>
      <c r="B57" s="37">
        <v>1.0</v>
      </c>
      <c r="C57" s="37" t="s">
        <v>162</v>
      </c>
      <c r="D57" s="37" t="s">
        <v>163</v>
      </c>
      <c r="E57" s="37" t="s">
        <v>164</v>
      </c>
      <c r="F57" s="31"/>
      <c r="G57" s="34">
        <v>1.0</v>
      </c>
      <c r="H57" s="34">
        <v>47.0</v>
      </c>
      <c r="I57" s="34"/>
      <c r="J57" s="34"/>
      <c r="K57" s="34"/>
      <c r="L57" s="34"/>
      <c r="M57" s="34"/>
      <c r="N57" s="34"/>
      <c r="O57" s="34"/>
      <c r="P57" s="34"/>
      <c r="Q57" s="34"/>
      <c r="R57" s="34"/>
      <c r="S57" s="34"/>
      <c r="T57" s="34"/>
      <c r="U57" s="34"/>
      <c r="V57" s="34"/>
    </row>
    <row r="58">
      <c r="A58" s="37">
        <v>26.0</v>
      </c>
      <c r="B58" s="37">
        <v>2.0</v>
      </c>
      <c r="C58" s="31"/>
      <c r="D58" s="37" t="s">
        <v>165</v>
      </c>
      <c r="E58" s="28">
        <v>1292.0</v>
      </c>
      <c r="F58" s="37"/>
      <c r="G58" s="34">
        <v>2.0</v>
      </c>
      <c r="H58" s="34" t="s">
        <v>56</v>
      </c>
      <c r="I58" s="34"/>
      <c r="J58" s="34"/>
      <c r="K58" s="34"/>
      <c r="L58" s="34"/>
      <c r="M58" s="34"/>
      <c r="N58" s="34"/>
      <c r="O58" s="34"/>
      <c r="P58" s="34"/>
      <c r="Q58" s="34"/>
      <c r="R58" s="34"/>
      <c r="S58" s="34"/>
      <c r="T58" s="34"/>
      <c r="U58" s="34"/>
      <c r="V58" s="34"/>
    </row>
    <row r="59">
      <c r="A59" s="37">
        <v>26.0</v>
      </c>
      <c r="B59" s="37">
        <v>3.0</v>
      </c>
      <c r="C59" s="31"/>
      <c r="D59" s="37" t="s">
        <v>166</v>
      </c>
      <c r="E59" s="37" t="s">
        <v>167</v>
      </c>
      <c r="F59" s="31"/>
      <c r="G59" s="34">
        <v>1.0</v>
      </c>
      <c r="H59" s="34">
        <v>48.0</v>
      </c>
      <c r="I59" s="34"/>
      <c r="J59" s="34"/>
      <c r="K59" s="34"/>
      <c r="L59" s="34"/>
      <c r="M59" s="34"/>
      <c r="N59" s="34"/>
      <c r="O59" s="34"/>
      <c r="P59" s="34"/>
      <c r="Q59" s="34"/>
      <c r="R59" s="34"/>
      <c r="S59" s="34"/>
      <c r="T59" s="34"/>
      <c r="U59" s="34"/>
      <c r="V59" s="34"/>
    </row>
    <row r="60">
      <c r="A60" s="37">
        <v>27.0</v>
      </c>
      <c r="B60" s="37">
        <v>1.0</v>
      </c>
      <c r="C60" s="37" t="s">
        <v>168</v>
      </c>
      <c r="D60" s="37" t="s">
        <v>169</v>
      </c>
      <c r="E60" s="37" t="s">
        <v>170</v>
      </c>
      <c r="F60" s="31"/>
      <c r="G60" s="34">
        <v>1.0</v>
      </c>
      <c r="H60" s="34">
        <v>49.0</v>
      </c>
      <c r="I60" s="34"/>
      <c r="J60" s="34"/>
      <c r="K60" s="34"/>
      <c r="L60" s="34"/>
      <c r="M60" s="34"/>
      <c r="N60" s="34"/>
      <c r="O60" s="34"/>
      <c r="P60" s="34"/>
      <c r="Q60" s="34"/>
      <c r="R60" s="34"/>
      <c r="S60" s="34"/>
      <c r="T60" s="34"/>
      <c r="U60" s="34"/>
      <c r="V60" s="34"/>
    </row>
    <row r="61">
      <c r="A61" s="37">
        <v>27.0</v>
      </c>
      <c r="B61" s="37">
        <v>2.0</v>
      </c>
      <c r="C61" s="31"/>
      <c r="D61" s="37" t="s">
        <v>171</v>
      </c>
      <c r="E61" s="37" t="s">
        <v>172</v>
      </c>
      <c r="F61" s="31"/>
      <c r="G61" s="34">
        <v>1.0</v>
      </c>
      <c r="H61" s="34">
        <v>50.0</v>
      </c>
      <c r="I61" s="34"/>
      <c r="J61" s="34"/>
      <c r="K61" s="34"/>
      <c r="L61" s="34"/>
      <c r="M61" s="34"/>
      <c r="N61" s="34"/>
      <c r="O61" s="34"/>
      <c r="P61" s="34"/>
      <c r="Q61" s="34"/>
      <c r="R61" s="34"/>
      <c r="S61" s="34"/>
      <c r="T61" s="34"/>
      <c r="U61" s="34"/>
      <c r="V61" s="34"/>
    </row>
    <row r="62">
      <c r="A62" s="37">
        <v>28.0</v>
      </c>
      <c r="B62" s="37">
        <v>1.0</v>
      </c>
      <c r="C62" s="37" t="s">
        <v>173</v>
      </c>
      <c r="D62" s="37" t="s">
        <v>174</v>
      </c>
      <c r="E62" s="37" t="s">
        <v>69</v>
      </c>
      <c r="F62" s="31"/>
      <c r="G62" s="34">
        <v>3.0</v>
      </c>
      <c r="H62" s="34" t="s">
        <v>56</v>
      </c>
      <c r="I62" s="34"/>
      <c r="J62" s="34"/>
      <c r="K62" s="34"/>
      <c r="L62" s="34"/>
      <c r="M62" s="34"/>
      <c r="N62" s="34"/>
      <c r="O62" s="34"/>
      <c r="P62" s="34"/>
      <c r="Q62" s="34"/>
      <c r="R62" s="34"/>
      <c r="S62" s="34"/>
      <c r="T62" s="34"/>
      <c r="U62" s="34"/>
      <c r="V62" s="34"/>
    </row>
    <row r="63">
      <c r="A63" s="37">
        <v>28.0</v>
      </c>
      <c r="B63" s="37">
        <v>2.0</v>
      </c>
      <c r="C63" s="31"/>
      <c r="D63" s="37" t="s">
        <v>175</v>
      </c>
      <c r="E63" s="37" t="s">
        <v>176</v>
      </c>
      <c r="F63" s="31"/>
      <c r="G63" s="34">
        <v>1.0</v>
      </c>
      <c r="H63" s="34">
        <v>51.0</v>
      </c>
      <c r="I63" s="34"/>
      <c r="J63" s="34"/>
      <c r="K63" s="34"/>
      <c r="L63" s="34"/>
      <c r="M63" s="34"/>
      <c r="N63" s="34"/>
      <c r="O63" s="34"/>
      <c r="P63" s="34"/>
      <c r="Q63" s="34"/>
      <c r="R63" s="34"/>
      <c r="S63" s="34"/>
      <c r="T63" s="34"/>
      <c r="U63" s="34"/>
      <c r="V63" s="34"/>
    </row>
    <row r="64">
      <c r="A64" s="37">
        <v>28.0</v>
      </c>
      <c r="B64" s="37">
        <v>3.0</v>
      </c>
      <c r="C64" s="31"/>
      <c r="D64" s="37" t="s">
        <v>177</v>
      </c>
      <c r="E64" s="37" t="s">
        <v>111</v>
      </c>
      <c r="F64" s="37"/>
      <c r="G64" s="34">
        <v>2.0</v>
      </c>
      <c r="H64" s="34" t="s">
        <v>56</v>
      </c>
      <c r="I64" s="34"/>
      <c r="J64" s="34"/>
      <c r="K64" s="34"/>
      <c r="L64" s="34"/>
      <c r="M64" s="34"/>
      <c r="N64" s="34"/>
      <c r="O64" s="34"/>
      <c r="P64" s="34"/>
      <c r="Q64" s="34"/>
      <c r="R64" s="34"/>
      <c r="S64" s="34"/>
      <c r="T64" s="34"/>
      <c r="U64" s="34"/>
      <c r="V64" s="34"/>
    </row>
    <row r="65">
      <c r="A65" s="37">
        <v>29.0</v>
      </c>
      <c r="B65" s="37">
        <v>1.0</v>
      </c>
      <c r="C65" s="37" t="s">
        <v>178</v>
      </c>
      <c r="D65" s="37" t="s">
        <v>179</v>
      </c>
      <c r="E65" s="28" t="s">
        <v>180</v>
      </c>
      <c r="F65" s="31"/>
      <c r="G65" s="34">
        <v>1.0</v>
      </c>
      <c r="H65" s="34">
        <v>52.0</v>
      </c>
      <c r="I65" s="34"/>
      <c r="J65" s="34"/>
      <c r="K65" s="34"/>
      <c r="L65" s="34"/>
      <c r="M65" s="34"/>
      <c r="N65" s="34"/>
      <c r="O65" s="34"/>
      <c r="P65" s="34"/>
      <c r="Q65" s="34"/>
      <c r="R65" s="34"/>
      <c r="S65" s="34"/>
      <c r="T65" s="34"/>
      <c r="U65" s="34"/>
      <c r="V65" s="34"/>
    </row>
    <row r="66">
      <c r="A66" s="37">
        <v>29.0</v>
      </c>
      <c r="B66" s="37">
        <v>2.0</v>
      </c>
      <c r="C66" s="31"/>
      <c r="D66" s="37" t="s">
        <v>181</v>
      </c>
      <c r="E66" s="37" t="s">
        <v>182</v>
      </c>
      <c r="F66" s="31"/>
      <c r="G66" s="34">
        <v>1.0</v>
      </c>
      <c r="H66" s="34">
        <v>53.0</v>
      </c>
      <c r="I66" s="34"/>
      <c r="J66" s="34"/>
      <c r="K66" s="34"/>
      <c r="L66" s="34"/>
      <c r="M66" s="34"/>
      <c r="N66" s="34"/>
      <c r="O66" s="34"/>
      <c r="P66" s="34"/>
      <c r="Q66" s="34"/>
      <c r="R66" s="34"/>
      <c r="S66" s="34"/>
      <c r="T66" s="34"/>
      <c r="U66" s="34"/>
      <c r="V66" s="34"/>
    </row>
    <row r="67">
      <c r="A67" s="37">
        <v>29.0</v>
      </c>
      <c r="B67" s="37">
        <v>3.0</v>
      </c>
      <c r="C67" s="31"/>
      <c r="D67" s="37" t="s">
        <v>183</v>
      </c>
      <c r="E67" s="28" t="s">
        <v>184</v>
      </c>
      <c r="F67" s="31"/>
      <c r="G67" s="34">
        <v>1.0</v>
      </c>
      <c r="H67" s="34">
        <v>54.0</v>
      </c>
      <c r="I67" s="34"/>
      <c r="J67" s="34"/>
      <c r="K67" s="34"/>
      <c r="L67" s="34"/>
      <c r="M67" s="34"/>
      <c r="N67" s="34"/>
      <c r="O67" s="34"/>
      <c r="P67" s="34"/>
      <c r="Q67" s="34"/>
      <c r="R67" s="34"/>
      <c r="S67" s="34"/>
      <c r="T67" s="34"/>
      <c r="U67" s="34"/>
      <c r="V67" s="34"/>
    </row>
    <row r="68">
      <c r="A68" s="37">
        <v>30.0</v>
      </c>
      <c r="B68" s="37">
        <v>1.0</v>
      </c>
      <c r="C68" s="37" t="s">
        <v>185</v>
      </c>
      <c r="D68" s="37" t="s">
        <v>186</v>
      </c>
      <c r="E68" s="37" t="s">
        <v>187</v>
      </c>
      <c r="F68" s="31"/>
      <c r="G68" s="34">
        <v>1.0</v>
      </c>
      <c r="H68" s="34">
        <v>55.0</v>
      </c>
      <c r="I68" s="34"/>
      <c r="J68" s="34"/>
      <c r="K68" s="34"/>
      <c r="L68" s="34"/>
      <c r="M68" s="34"/>
      <c r="N68" s="34"/>
      <c r="O68" s="34"/>
      <c r="P68" s="34"/>
      <c r="Q68" s="34"/>
      <c r="R68" s="34"/>
      <c r="S68" s="34"/>
      <c r="T68" s="34"/>
      <c r="U68" s="34"/>
      <c r="V68" s="34"/>
    </row>
    <row r="69">
      <c r="A69" s="37">
        <v>30.0</v>
      </c>
      <c r="B69" s="37">
        <v>2.0</v>
      </c>
      <c r="C69" s="31"/>
      <c r="D69" s="37" t="s">
        <v>188</v>
      </c>
      <c r="E69" s="28">
        <v>706.0</v>
      </c>
      <c r="F69" s="31"/>
      <c r="G69" s="34">
        <v>1.0</v>
      </c>
      <c r="H69" s="34">
        <v>56.0</v>
      </c>
      <c r="I69" s="34"/>
      <c r="J69" s="34"/>
      <c r="K69" s="34"/>
      <c r="L69" s="34"/>
      <c r="M69" s="34"/>
      <c r="N69" s="34"/>
      <c r="O69" s="34"/>
      <c r="P69" s="34"/>
      <c r="Q69" s="34"/>
      <c r="R69" s="34"/>
      <c r="S69" s="34"/>
      <c r="T69" s="34"/>
      <c r="U69" s="34"/>
      <c r="V69" s="34"/>
    </row>
    <row r="70">
      <c r="A70" s="37">
        <v>31.0</v>
      </c>
      <c r="B70" s="37">
        <v>1.0</v>
      </c>
      <c r="C70" s="37" t="s">
        <v>189</v>
      </c>
      <c r="D70" s="28" t="s">
        <v>190</v>
      </c>
      <c r="E70" s="28" t="s">
        <v>191</v>
      </c>
      <c r="F70" s="31"/>
      <c r="G70" s="34">
        <v>1.0</v>
      </c>
      <c r="H70" s="34">
        <v>57.0</v>
      </c>
      <c r="I70" s="34"/>
      <c r="J70" s="34"/>
      <c r="K70" s="34"/>
      <c r="L70" s="34"/>
      <c r="M70" s="34"/>
      <c r="N70" s="34"/>
      <c r="O70" s="34"/>
      <c r="P70" s="34"/>
      <c r="Q70" s="34"/>
      <c r="R70" s="34"/>
      <c r="S70" s="34"/>
      <c r="T70" s="34"/>
      <c r="U70" s="34"/>
      <c r="V70" s="34"/>
    </row>
    <row r="71">
      <c r="A71" s="37">
        <v>31.0</v>
      </c>
      <c r="B71" s="37">
        <v>2.0</v>
      </c>
      <c r="C71" s="31"/>
      <c r="D71" s="37" t="s">
        <v>192</v>
      </c>
      <c r="E71" s="28" t="s">
        <v>193</v>
      </c>
      <c r="F71" s="31"/>
      <c r="G71" s="34">
        <v>1.0</v>
      </c>
      <c r="H71" s="34">
        <v>58.0</v>
      </c>
      <c r="I71" s="34"/>
      <c r="J71" s="34"/>
      <c r="K71" s="34"/>
      <c r="L71" s="34"/>
      <c r="M71" s="34"/>
      <c r="N71" s="34"/>
      <c r="O71" s="34"/>
      <c r="P71" s="34"/>
      <c r="Q71" s="34"/>
      <c r="R71" s="34"/>
      <c r="S71" s="34"/>
      <c r="T71" s="34"/>
      <c r="U71" s="34"/>
      <c r="V71" s="34"/>
    </row>
    <row r="72">
      <c r="A72" s="37">
        <v>31.0</v>
      </c>
      <c r="B72" s="37">
        <v>3.0</v>
      </c>
      <c r="C72" s="31"/>
      <c r="D72" s="37" t="s">
        <v>194</v>
      </c>
      <c r="E72" s="37" t="s">
        <v>195</v>
      </c>
      <c r="F72" s="31"/>
      <c r="G72" s="34">
        <v>1.0</v>
      </c>
      <c r="H72" s="34">
        <v>59.0</v>
      </c>
      <c r="I72" s="34"/>
      <c r="J72" s="34"/>
      <c r="K72" s="34"/>
      <c r="L72" s="34"/>
      <c r="M72" s="34"/>
      <c r="N72" s="34"/>
      <c r="O72" s="34"/>
      <c r="P72" s="34"/>
      <c r="Q72" s="34"/>
      <c r="R72" s="34"/>
      <c r="S72" s="34"/>
      <c r="T72" s="34"/>
      <c r="U72" s="34"/>
      <c r="V72" s="34"/>
    </row>
    <row r="73">
      <c r="A73" s="37">
        <v>31.0</v>
      </c>
      <c r="B73" s="37">
        <v>4.0</v>
      </c>
      <c r="C73" s="31"/>
      <c r="D73" s="37" t="s">
        <v>196</v>
      </c>
      <c r="E73" s="37" t="s">
        <v>197</v>
      </c>
      <c r="F73" s="31"/>
      <c r="G73" s="34">
        <v>1.0</v>
      </c>
      <c r="H73" s="34">
        <v>60.0</v>
      </c>
      <c r="I73" s="34"/>
      <c r="J73" s="34"/>
      <c r="K73" s="34"/>
      <c r="L73" s="34"/>
      <c r="M73" s="34"/>
      <c r="N73" s="34"/>
      <c r="O73" s="34"/>
      <c r="P73" s="34"/>
      <c r="Q73" s="34"/>
      <c r="R73" s="34"/>
      <c r="S73" s="34"/>
      <c r="T73" s="34"/>
      <c r="U73" s="34"/>
      <c r="V73" s="34"/>
    </row>
    <row r="74">
      <c r="A74" s="37">
        <v>31.0</v>
      </c>
      <c r="B74" s="37">
        <v>5.0</v>
      </c>
      <c r="C74" s="31"/>
      <c r="D74" s="37" t="s">
        <v>198</v>
      </c>
      <c r="E74" s="37" t="s">
        <v>199</v>
      </c>
      <c r="F74" s="31"/>
      <c r="G74" s="34">
        <v>1.0</v>
      </c>
      <c r="H74" s="34">
        <v>61.0</v>
      </c>
      <c r="I74" s="34"/>
      <c r="J74" s="34"/>
      <c r="K74" s="34"/>
      <c r="L74" s="34"/>
      <c r="M74" s="34"/>
      <c r="N74" s="34"/>
      <c r="O74" s="34"/>
      <c r="P74" s="34"/>
      <c r="Q74" s="34"/>
      <c r="R74" s="34"/>
      <c r="S74" s="34"/>
      <c r="T74" s="34"/>
      <c r="U74" s="34"/>
      <c r="V74" s="34"/>
    </row>
    <row r="75">
      <c r="A75" s="37">
        <v>32.0</v>
      </c>
      <c r="B75" s="37">
        <v>1.0</v>
      </c>
      <c r="C75" s="37" t="s">
        <v>200</v>
      </c>
      <c r="D75" s="37" t="s">
        <v>201</v>
      </c>
      <c r="E75" s="37" t="s">
        <v>202</v>
      </c>
      <c r="F75" s="31"/>
      <c r="G75" s="34">
        <v>1.0</v>
      </c>
      <c r="H75" s="34">
        <v>62.0</v>
      </c>
      <c r="I75" s="34"/>
      <c r="J75" s="34"/>
      <c r="K75" s="34"/>
      <c r="L75" s="34"/>
      <c r="M75" s="34"/>
      <c r="N75" s="34"/>
      <c r="O75" s="34"/>
      <c r="P75" s="34"/>
      <c r="Q75" s="34"/>
      <c r="R75" s="34"/>
      <c r="S75" s="34"/>
      <c r="T75" s="34"/>
      <c r="U75" s="34"/>
      <c r="V75" s="34"/>
    </row>
    <row r="76">
      <c r="A76" s="37">
        <v>33.0</v>
      </c>
      <c r="B76" s="37">
        <v>1.0</v>
      </c>
      <c r="C76" s="37" t="s">
        <v>203</v>
      </c>
      <c r="D76" s="37" t="s">
        <v>204</v>
      </c>
      <c r="E76" s="37" t="s">
        <v>205</v>
      </c>
      <c r="F76" s="31"/>
      <c r="G76" s="34">
        <v>1.0</v>
      </c>
      <c r="H76" s="34">
        <v>63.0</v>
      </c>
      <c r="I76" s="34"/>
      <c r="J76" s="34"/>
      <c r="K76" s="34"/>
      <c r="L76" s="34"/>
      <c r="M76" s="34"/>
      <c r="N76" s="34"/>
      <c r="O76" s="34"/>
      <c r="P76" s="34"/>
      <c r="Q76" s="34"/>
      <c r="R76" s="34"/>
      <c r="S76" s="34"/>
      <c r="T76" s="34"/>
      <c r="U76" s="34"/>
      <c r="V76" s="34"/>
    </row>
    <row r="77">
      <c r="A77" s="37">
        <v>33.0</v>
      </c>
      <c r="B77" s="37">
        <v>2.0</v>
      </c>
      <c r="C77" s="31"/>
      <c r="D77" s="37" t="s">
        <v>206</v>
      </c>
      <c r="E77" s="37" t="s">
        <v>207</v>
      </c>
      <c r="F77" s="31"/>
      <c r="G77" s="34">
        <v>1.0</v>
      </c>
      <c r="H77" s="34">
        <v>64.0</v>
      </c>
      <c r="I77" s="34"/>
      <c r="J77" s="34"/>
      <c r="K77" s="34"/>
      <c r="L77" s="34"/>
      <c r="M77" s="34"/>
      <c r="N77" s="34"/>
      <c r="O77" s="34"/>
      <c r="P77" s="34"/>
      <c r="Q77" s="34"/>
      <c r="R77" s="34"/>
      <c r="S77" s="34"/>
      <c r="T77" s="34"/>
      <c r="U77" s="34"/>
      <c r="V77" s="34"/>
    </row>
    <row r="78">
      <c r="A78" s="37">
        <v>34.0</v>
      </c>
      <c r="B78" s="37">
        <v>1.0</v>
      </c>
      <c r="C78" s="37" t="s">
        <v>208</v>
      </c>
      <c r="D78" s="37" t="s">
        <v>209</v>
      </c>
      <c r="E78" s="28" t="s">
        <v>210</v>
      </c>
      <c r="F78" s="31"/>
      <c r="G78" s="34">
        <v>1.0</v>
      </c>
      <c r="H78" s="34">
        <v>65.0</v>
      </c>
      <c r="I78" s="34"/>
      <c r="J78" s="34"/>
      <c r="K78" s="34"/>
      <c r="L78" s="34"/>
      <c r="M78" s="34"/>
      <c r="N78" s="34"/>
      <c r="O78" s="34"/>
      <c r="P78" s="34"/>
      <c r="Q78" s="34"/>
      <c r="R78" s="34"/>
      <c r="S78" s="34"/>
      <c r="T78" s="34"/>
      <c r="U78" s="34"/>
      <c r="V78" s="34"/>
    </row>
    <row r="79">
      <c r="A79" s="37">
        <v>35.0</v>
      </c>
      <c r="B79" s="37">
        <v>1.0</v>
      </c>
      <c r="C79" s="37" t="s">
        <v>211</v>
      </c>
      <c r="D79" s="37" t="s">
        <v>212</v>
      </c>
      <c r="E79" s="37" t="s">
        <v>213</v>
      </c>
      <c r="F79" s="31"/>
      <c r="G79" s="34">
        <v>1.0</v>
      </c>
      <c r="H79" s="34">
        <v>66.0</v>
      </c>
      <c r="I79" s="34"/>
      <c r="J79" s="34"/>
      <c r="K79" s="34"/>
      <c r="L79" s="34"/>
      <c r="M79" s="34"/>
      <c r="N79" s="34"/>
      <c r="O79" s="34"/>
      <c r="P79" s="34"/>
      <c r="Q79" s="34"/>
      <c r="R79" s="34"/>
      <c r="S79" s="34"/>
      <c r="T79" s="34"/>
      <c r="U79" s="34"/>
      <c r="V79" s="34"/>
    </row>
    <row r="80">
      <c r="A80" s="37">
        <v>35.0</v>
      </c>
      <c r="B80" s="37">
        <v>2.0</v>
      </c>
      <c r="C80" s="31"/>
      <c r="D80" s="37" t="s">
        <v>214</v>
      </c>
      <c r="E80" s="28" t="s">
        <v>109</v>
      </c>
      <c r="F80" s="37"/>
      <c r="G80" s="34">
        <v>2.0</v>
      </c>
      <c r="H80" s="34" t="s">
        <v>56</v>
      </c>
      <c r="I80" s="34"/>
      <c r="J80" s="34"/>
      <c r="K80" s="34"/>
      <c r="L80" s="34"/>
      <c r="M80" s="34"/>
      <c r="N80" s="34"/>
      <c r="O80" s="34"/>
      <c r="P80" s="34"/>
      <c r="Q80" s="34"/>
      <c r="R80" s="34"/>
      <c r="S80" s="34"/>
      <c r="T80" s="34"/>
      <c r="U80" s="34"/>
      <c r="V80" s="34"/>
    </row>
    <row r="81">
      <c r="A81" s="37">
        <v>36.0</v>
      </c>
      <c r="B81" s="37">
        <v>1.0</v>
      </c>
      <c r="C81" s="37" t="s">
        <v>215</v>
      </c>
      <c r="D81" s="37" t="s">
        <v>216</v>
      </c>
      <c r="E81" s="37" t="s">
        <v>217</v>
      </c>
      <c r="F81" s="31"/>
      <c r="G81" s="34">
        <v>1.0</v>
      </c>
      <c r="H81" s="34">
        <v>67.0</v>
      </c>
      <c r="I81" s="34"/>
      <c r="J81" s="34"/>
      <c r="K81" s="34"/>
      <c r="L81" s="34"/>
      <c r="M81" s="34"/>
      <c r="N81" s="34"/>
      <c r="O81" s="34"/>
      <c r="P81" s="34"/>
      <c r="Q81" s="34"/>
      <c r="R81" s="34"/>
      <c r="S81" s="34"/>
      <c r="T81" s="34"/>
      <c r="U81" s="34"/>
      <c r="V81" s="34"/>
    </row>
    <row r="82">
      <c r="A82" s="37">
        <v>37.0</v>
      </c>
      <c r="B82" s="37">
        <v>1.0</v>
      </c>
      <c r="C82" s="37" t="s">
        <v>218</v>
      </c>
      <c r="D82" s="37" t="s">
        <v>219</v>
      </c>
      <c r="E82" s="37" t="s">
        <v>220</v>
      </c>
      <c r="F82" s="31"/>
      <c r="G82" s="34">
        <v>1.0</v>
      </c>
      <c r="H82" s="34">
        <v>68.0</v>
      </c>
      <c r="I82" s="34"/>
      <c r="J82" s="34"/>
      <c r="K82" s="34"/>
      <c r="L82" s="34"/>
      <c r="M82" s="34"/>
      <c r="N82" s="34"/>
      <c r="O82" s="34"/>
      <c r="P82" s="34"/>
      <c r="Q82" s="34"/>
      <c r="R82" s="34"/>
      <c r="S82" s="34"/>
      <c r="T82" s="34"/>
      <c r="U82" s="34"/>
      <c r="V82" s="34"/>
    </row>
    <row r="83">
      <c r="A83" s="37">
        <v>38.0</v>
      </c>
      <c r="B83" s="37">
        <v>1.0</v>
      </c>
      <c r="C83" s="37" t="s">
        <v>221</v>
      </c>
      <c r="D83" s="37" t="s">
        <v>222</v>
      </c>
      <c r="E83" s="28" t="s">
        <v>223</v>
      </c>
      <c r="F83" s="37"/>
      <c r="G83" s="34">
        <v>1.0</v>
      </c>
      <c r="H83" s="34">
        <v>69.0</v>
      </c>
      <c r="I83" s="34"/>
      <c r="J83" s="34"/>
      <c r="K83" s="34"/>
      <c r="L83" s="34"/>
      <c r="M83" s="34"/>
      <c r="N83" s="34"/>
      <c r="O83" s="34"/>
      <c r="P83" s="34"/>
      <c r="Q83" s="34"/>
      <c r="R83" s="34"/>
      <c r="S83" s="34"/>
      <c r="T83" s="34"/>
      <c r="U83" s="34"/>
      <c r="V83" s="34"/>
    </row>
    <row r="84">
      <c r="A84" s="37">
        <v>39.0</v>
      </c>
      <c r="B84" s="37">
        <v>1.0</v>
      </c>
      <c r="C84" s="37" t="s">
        <v>224</v>
      </c>
      <c r="D84" s="37" t="s">
        <v>225</v>
      </c>
      <c r="E84" s="28" t="s">
        <v>226</v>
      </c>
      <c r="F84" s="31"/>
      <c r="G84" s="34">
        <v>1.0</v>
      </c>
      <c r="H84" s="34">
        <v>70.0</v>
      </c>
      <c r="I84" s="34"/>
      <c r="J84" s="34"/>
      <c r="K84" s="34"/>
      <c r="L84" s="34"/>
      <c r="M84" s="34"/>
      <c r="N84" s="34"/>
      <c r="O84" s="34"/>
      <c r="P84" s="34"/>
      <c r="Q84" s="34"/>
      <c r="R84" s="34"/>
      <c r="S84" s="34"/>
      <c r="T84" s="34"/>
      <c r="U84" s="34"/>
      <c r="V84" s="34"/>
    </row>
    <row r="85">
      <c r="A85" s="37">
        <v>40.0</v>
      </c>
      <c r="B85" s="37">
        <v>1.0</v>
      </c>
      <c r="C85" s="37" t="s">
        <v>227</v>
      </c>
      <c r="D85" s="37" t="s">
        <v>228</v>
      </c>
      <c r="E85" s="37" t="s">
        <v>229</v>
      </c>
      <c r="F85" s="31"/>
      <c r="G85" s="34">
        <v>1.0</v>
      </c>
      <c r="H85" s="34">
        <v>71.0</v>
      </c>
      <c r="I85" s="34"/>
      <c r="J85" s="34"/>
      <c r="K85" s="34"/>
      <c r="L85" s="34"/>
      <c r="M85" s="34"/>
      <c r="N85" s="34"/>
      <c r="O85" s="34"/>
      <c r="P85" s="34"/>
      <c r="Q85" s="34"/>
      <c r="R85" s="34"/>
      <c r="S85" s="34"/>
      <c r="T85" s="34"/>
      <c r="U85" s="34"/>
      <c r="V85" s="34"/>
    </row>
    <row r="86">
      <c r="A86" s="37">
        <v>40.0</v>
      </c>
      <c r="B86" s="37">
        <v>2.0</v>
      </c>
      <c r="C86" s="31"/>
      <c r="D86" s="37" t="s">
        <v>230</v>
      </c>
      <c r="E86" s="37" t="s">
        <v>231</v>
      </c>
      <c r="F86" s="31"/>
      <c r="G86" s="34">
        <v>1.0</v>
      </c>
      <c r="H86" s="34">
        <v>72.0</v>
      </c>
      <c r="I86" s="34"/>
      <c r="J86" s="34"/>
      <c r="K86" s="34"/>
      <c r="L86" s="34"/>
      <c r="M86" s="34"/>
      <c r="N86" s="34"/>
      <c r="O86" s="34"/>
      <c r="P86" s="34"/>
      <c r="Q86" s="34"/>
      <c r="R86" s="34"/>
      <c r="S86" s="34"/>
      <c r="T86" s="34"/>
      <c r="U86" s="34"/>
      <c r="V86" s="34"/>
    </row>
    <row r="87">
      <c r="A87" s="37">
        <v>41.0</v>
      </c>
      <c r="B87" s="37">
        <v>1.0</v>
      </c>
      <c r="C87" s="37" t="s">
        <v>232</v>
      </c>
      <c r="D87" s="37" t="s">
        <v>233</v>
      </c>
      <c r="E87" s="37" t="s">
        <v>234</v>
      </c>
      <c r="F87" s="31"/>
      <c r="G87" s="34">
        <v>1.0</v>
      </c>
      <c r="H87" s="34">
        <v>73.0</v>
      </c>
      <c r="I87" s="34"/>
      <c r="J87" s="34"/>
      <c r="K87" s="34"/>
      <c r="L87" s="34"/>
      <c r="M87" s="34"/>
      <c r="N87" s="34"/>
      <c r="O87" s="34"/>
      <c r="P87" s="34"/>
      <c r="Q87" s="34"/>
      <c r="R87" s="34"/>
      <c r="S87" s="34"/>
      <c r="T87" s="34"/>
      <c r="U87" s="34"/>
      <c r="V87" s="34"/>
    </row>
    <row r="88">
      <c r="A88" s="37">
        <v>42.0</v>
      </c>
      <c r="B88" s="37">
        <v>1.0</v>
      </c>
      <c r="C88" s="28" t="s">
        <v>235</v>
      </c>
      <c r="D88" s="28" t="s">
        <v>159</v>
      </c>
      <c r="E88" s="28">
        <v>1291.0</v>
      </c>
      <c r="F88" s="37"/>
      <c r="G88" s="34">
        <v>2.0</v>
      </c>
      <c r="H88" s="34" t="s">
        <v>56</v>
      </c>
      <c r="I88" s="34"/>
      <c r="J88" s="34"/>
      <c r="K88" s="34"/>
      <c r="L88" s="34"/>
      <c r="M88" s="34"/>
      <c r="N88" s="34"/>
      <c r="O88" s="34"/>
      <c r="P88" s="34"/>
      <c r="Q88" s="34"/>
      <c r="R88" s="34"/>
      <c r="S88" s="34"/>
      <c r="T88" s="34"/>
      <c r="U88" s="34"/>
      <c r="V88" s="34"/>
    </row>
    <row r="89">
      <c r="A89" s="37">
        <v>1.0</v>
      </c>
      <c r="B89" s="37"/>
      <c r="C89" s="28"/>
      <c r="D89" s="28" t="s">
        <v>161</v>
      </c>
      <c r="E89" s="28">
        <v>1292.0</v>
      </c>
      <c r="F89" s="37"/>
      <c r="G89" s="34">
        <v>3.0</v>
      </c>
      <c r="H89" s="34" t="s">
        <v>56</v>
      </c>
      <c r="I89" s="34"/>
      <c r="J89" s="34"/>
      <c r="K89" s="34"/>
      <c r="L89" s="34"/>
      <c r="M89" s="34"/>
      <c r="N89" s="34"/>
      <c r="O89" s="34"/>
      <c r="P89" s="34"/>
      <c r="Q89" s="34"/>
      <c r="R89" s="34"/>
      <c r="S89" s="34"/>
      <c r="T89" s="34"/>
      <c r="U89" s="34"/>
      <c r="V89" s="34"/>
    </row>
    <row r="90">
      <c r="A90" s="37">
        <v>42.0</v>
      </c>
      <c r="B90" s="37">
        <v>2.0</v>
      </c>
      <c r="C90" s="31"/>
      <c r="D90" s="28" t="s">
        <v>236</v>
      </c>
      <c r="E90" s="37" t="s">
        <v>237</v>
      </c>
      <c r="F90" s="31"/>
      <c r="G90" s="34">
        <v>1.0</v>
      </c>
      <c r="H90" s="34">
        <v>74.0</v>
      </c>
      <c r="I90" s="34"/>
      <c r="J90" s="34"/>
      <c r="K90" s="34"/>
      <c r="L90" s="34"/>
      <c r="M90" s="34"/>
      <c r="N90" s="34"/>
      <c r="O90" s="34"/>
      <c r="P90" s="34"/>
      <c r="Q90" s="34"/>
      <c r="R90" s="34"/>
      <c r="S90" s="34"/>
      <c r="T90" s="34"/>
      <c r="U90" s="34"/>
      <c r="V90" s="34"/>
    </row>
    <row r="91">
      <c r="A91" s="37">
        <v>43.0</v>
      </c>
      <c r="B91" s="37">
        <v>1.0</v>
      </c>
      <c r="C91" s="37" t="s">
        <v>238</v>
      </c>
      <c r="D91" s="28" t="s">
        <v>239</v>
      </c>
      <c r="E91" s="28" t="s">
        <v>240</v>
      </c>
      <c r="F91" s="31"/>
      <c r="G91" s="34">
        <v>1.0</v>
      </c>
      <c r="H91" s="34">
        <v>75.0</v>
      </c>
      <c r="I91" s="34"/>
      <c r="J91" s="34"/>
      <c r="K91" s="34"/>
      <c r="L91" s="34"/>
      <c r="M91" s="34"/>
      <c r="N91" s="34"/>
      <c r="O91" s="34"/>
      <c r="P91" s="34"/>
      <c r="Q91" s="34"/>
      <c r="R91" s="34"/>
      <c r="S91" s="34"/>
      <c r="T91" s="34"/>
      <c r="U91" s="34"/>
      <c r="V91" s="34"/>
    </row>
    <row r="92">
      <c r="A92" s="37">
        <v>43.0</v>
      </c>
      <c r="B92" s="37">
        <v>2.0</v>
      </c>
      <c r="C92" s="31"/>
      <c r="D92" s="37" t="s">
        <v>241</v>
      </c>
      <c r="E92" s="37" t="s">
        <v>242</v>
      </c>
      <c r="F92" s="31"/>
      <c r="G92" s="34">
        <v>1.0</v>
      </c>
      <c r="H92" s="34">
        <v>76.0</v>
      </c>
      <c r="I92" s="34"/>
      <c r="J92" s="34"/>
      <c r="K92" s="34"/>
      <c r="L92" s="34"/>
      <c r="M92" s="34"/>
      <c r="N92" s="34"/>
      <c r="O92" s="34"/>
      <c r="P92" s="34"/>
      <c r="Q92" s="34"/>
      <c r="R92" s="34"/>
      <c r="S92" s="34"/>
      <c r="T92" s="34"/>
      <c r="U92" s="34"/>
      <c r="V92" s="34"/>
    </row>
    <row r="93">
      <c r="A93" s="37">
        <v>43.0</v>
      </c>
      <c r="B93" s="37">
        <v>3.0</v>
      </c>
      <c r="C93" s="31"/>
      <c r="D93" s="28" t="s">
        <v>243</v>
      </c>
      <c r="E93" s="28">
        <v>1292.0</v>
      </c>
      <c r="F93" s="37"/>
      <c r="G93" s="34">
        <v>4.0</v>
      </c>
      <c r="H93" s="34" t="s">
        <v>56</v>
      </c>
      <c r="I93" s="34"/>
      <c r="J93" s="34"/>
      <c r="K93" s="34"/>
      <c r="L93" s="34"/>
      <c r="M93" s="34"/>
      <c r="N93" s="34"/>
      <c r="O93" s="34"/>
      <c r="P93" s="34"/>
      <c r="Q93" s="34"/>
      <c r="R93" s="34"/>
      <c r="S93" s="34"/>
      <c r="T93" s="34"/>
      <c r="U93" s="34"/>
      <c r="V93" s="34"/>
    </row>
    <row r="94">
      <c r="A94" s="37">
        <v>44.0</v>
      </c>
      <c r="B94" s="37">
        <v>1.0</v>
      </c>
      <c r="C94" s="37" t="s">
        <v>244</v>
      </c>
      <c r="D94" s="37" t="s">
        <v>245</v>
      </c>
      <c r="E94" s="37" t="s">
        <v>240</v>
      </c>
      <c r="F94" s="31"/>
      <c r="G94" s="34">
        <v>2.0</v>
      </c>
      <c r="H94" s="34" t="s">
        <v>56</v>
      </c>
      <c r="I94" s="34"/>
      <c r="J94" s="34"/>
      <c r="K94" s="34"/>
      <c r="L94" s="34"/>
      <c r="M94" s="34"/>
      <c r="N94" s="34"/>
      <c r="O94" s="34"/>
      <c r="P94" s="34"/>
      <c r="Q94" s="34"/>
      <c r="R94" s="34"/>
      <c r="S94" s="34"/>
      <c r="T94" s="34"/>
      <c r="U94" s="34"/>
      <c r="V94" s="34"/>
    </row>
    <row r="95">
      <c r="A95" s="37">
        <v>45.0</v>
      </c>
      <c r="B95" s="37">
        <v>1.0</v>
      </c>
      <c r="C95" s="37" t="s">
        <v>246</v>
      </c>
      <c r="D95" s="28" t="s">
        <v>159</v>
      </c>
      <c r="E95" s="28">
        <v>1291.0</v>
      </c>
      <c r="F95" s="37"/>
      <c r="G95" s="34">
        <v>3.0</v>
      </c>
      <c r="H95" s="34" t="s">
        <v>56</v>
      </c>
      <c r="I95" s="34"/>
      <c r="J95" s="34"/>
      <c r="K95" s="34"/>
      <c r="L95" s="34"/>
      <c r="M95" s="34"/>
      <c r="N95" s="34"/>
      <c r="O95" s="34"/>
      <c r="P95" s="34"/>
      <c r="Q95" s="34"/>
      <c r="R95" s="34"/>
      <c r="S95" s="34"/>
      <c r="T95" s="34"/>
      <c r="U95" s="34"/>
      <c r="V95" s="34"/>
    </row>
    <row r="96">
      <c r="A96" s="37">
        <v>1.0</v>
      </c>
      <c r="B96" s="37"/>
      <c r="C96" s="37"/>
      <c r="D96" s="28" t="s">
        <v>161</v>
      </c>
      <c r="E96" s="28">
        <v>1292.0</v>
      </c>
      <c r="F96" s="37"/>
      <c r="G96" s="34">
        <v>5.0</v>
      </c>
      <c r="H96" s="34" t="s">
        <v>56</v>
      </c>
      <c r="I96" s="34"/>
      <c r="J96" s="34"/>
      <c r="K96" s="34"/>
      <c r="L96" s="34"/>
      <c r="M96" s="34"/>
      <c r="N96" s="34"/>
      <c r="O96" s="34"/>
      <c r="P96" s="34"/>
      <c r="Q96" s="34"/>
      <c r="R96" s="34"/>
      <c r="S96" s="34"/>
      <c r="T96" s="34"/>
      <c r="U96" s="34"/>
      <c r="V96" s="34"/>
    </row>
    <row r="97">
      <c r="A97" s="37">
        <v>45.0</v>
      </c>
      <c r="B97" s="37">
        <v>2.0</v>
      </c>
      <c r="C97" s="31"/>
      <c r="D97" s="37" t="s">
        <v>247</v>
      </c>
      <c r="E97" s="28" t="s">
        <v>248</v>
      </c>
      <c r="F97" s="31"/>
      <c r="G97" s="34">
        <v>1.0</v>
      </c>
      <c r="H97" s="34">
        <v>77.0</v>
      </c>
      <c r="I97" s="34"/>
      <c r="J97" s="34"/>
      <c r="K97" s="34"/>
      <c r="L97" s="34"/>
      <c r="M97" s="34"/>
      <c r="N97" s="34"/>
      <c r="O97" s="34"/>
      <c r="P97" s="34"/>
      <c r="Q97" s="34"/>
      <c r="R97" s="34"/>
      <c r="S97" s="34"/>
      <c r="T97" s="34"/>
      <c r="U97" s="34"/>
      <c r="V97" s="34"/>
    </row>
    <row r="98">
      <c r="A98" s="37">
        <v>46.0</v>
      </c>
      <c r="B98" s="37">
        <v>1.0</v>
      </c>
      <c r="C98" s="37" t="s">
        <v>249</v>
      </c>
      <c r="D98" s="28" t="s">
        <v>250</v>
      </c>
      <c r="E98" s="41" t="s">
        <v>251</v>
      </c>
      <c r="F98" s="31"/>
      <c r="G98" s="34">
        <v>1.0</v>
      </c>
      <c r="H98" s="34">
        <v>78.0</v>
      </c>
      <c r="I98" s="34"/>
      <c r="J98" s="34"/>
      <c r="K98" s="34"/>
      <c r="L98" s="34"/>
      <c r="M98" s="34"/>
      <c r="N98" s="34"/>
      <c r="O98" s="34"/>
      <c r="P98" s="34"/>
      <c r="Q98" s="34"/>
      <c r="R98" s="34"/>
      <c r="S98" s="34"/>
      <c r="T98" s="34"/>
      <c r="U98" s="34"/>
      <c r="V98" s="34"/>
    </row>
    <row r="99">
      <c r="A99" s="37">
        <v>46.0</v>
      </c>
      <c r="B99" s="37">
        <v>2.0</v>
      </c>
      <c r="C99" s="31"/>
      <c r="D99" s="37" t="s">
        <v>252</v>
      </c>
      <c r="E99" s="37" t="s">
        <v>253</v>
      </c>
      <c r="F99" s="37"/>
      <c r="G99" s="34">
        <v>1.0</v>
      </c>
      <c r="H99" s="34">
        <v>79.0</v>
      </c>
      <c r="I99" s="34"/>
      <c r="J99" s="34"/>
      <c r="K99" s="34"/>
      <c r="L99" s="34"/>
      <c r="M99" s="34"/>
      <c r="N99" s="34"/>
      <c r="O99" s="34"/>
      <c r="P99" s="34"/>
      <c r="Q99" s="34"/>
      <c r="R99" s="34"/>
      <c r="S99" s="34"/>
      <c r="T99" s="34"/>
      <c r="U99" s="34"/>
      <c r="V99" s="34"/>
    </row>
    <row r="100">
      <c r="A100" s="37">
        <v>47.0</v>
      </c>
      <c r="B100" s="37">
        <v>1.0</v>
      </c>
      <c r="C100" s="37" t="s">
        <v>254</v>
      </c>
      <c r="D100" s="37" t="s">
        <v>255</v>
      </c>
      <c r="E100" s="28" t="s">
        <v>256</v>
      </c>
      <c r="F100" s="31"/>
      <c r="G100" s="34">
        <v>1.0</v>
      </c>
      <c r="H100" s="34">
        <v>80.0</v>
      </c>
      <c r="I100" s="34"/>
      <c r="J100" s="34"/>
      <c r="K100" s="34"/>
      <c r="L100" s="34"/>
      <c r="M100" s="34"/>
      <c r="N100" s="34"/>
      <c r="O100" s="34"/>
      <c r="P100" s="34"/>
      <c r="Q100" s="34"/>
      <c r="R100" s="34"/>
      <c r="S100" s="34"/>
      <c r="T100" s="34"/>
      <c r="U100" s="34"/>
      <c r="V100" s="34"/>
    </row>
    <row r="101">
      <c r="A101" s="37">
        <v>47.0</v>
      </c>
      <c r="B101" s="37">
        <v>2.0</v>
      </c>
      <c r="C101" s="31"/>
      <c r="D101" s="37" t="s">
        <v>257</v>
      </c>
      <c r="E101" s="37" t="s">
        <v>258</v>
      </c>
      <c r="F101" s="31"/>
      <c r="G101" s="34">
        <v>1.0</v>
      </c>
      <c r="H101" s="34">
        <v>81.0</v>
      </c>
      <c r="I101" s="34"/>
      <c r="J101" s="34"/>
      <c r="K101" s="34"/>
      <c r="L101" s="34"/>
      <c r="M101" s="34"/>
      <c r="N101" s="34"/>
      <c r="O101" s="34"/>
      <c r="P101" s="34"/>
      <c r="Q101" s="34"/>
      <c r="R101" s="34"/>
      <c r="S101" s="34"/>
      <c r="T101" s="34"/>
      <c r="U101" s="34"/>
      <c r="V101" s="34"/>
    </row>
    <row r="102">
      <c r="A102" s="37">
        <v>47.0</v>
      </c>
      <c r="B102" s="37">
        <v>3.0</v>
      </c>
      <c r="C102" s="31"/>
      <c r="D102" s="37" t="s">
        <v>259</v>
      </c>
      <c r="E102" s="37" t="s">
        <v>260</v>
      </c>
      <c r="F102" s="31"/>
      <c r="G102" s="34">
        <v>1.0</v>
      </c>
      <c r="H102" s="34">
        <v>82.0</v>
      </c>
      <c r="I102" s="34"/>
      <c r="J102" s="34"/>
      <c r="K102" s="34"/>
      <c r="L102" s="34"/>
      <c r="M102" s="34"/>
      <c r="N102" s="34"/>
      <c r="O102" s="34"/>
      <c r="P102" s="34"/>
      <c r="Q102" s="34"/>
      <c r="R102" s="34"/>
      <c r="S102" s="34"/>
      <c r="T102" s="34"/>
      <c r="U102" s="34"/>
      <c r="V102" s="34"/>
    </row>
    <row r="103">
      <c r="A103" s="37">
        <v>47.0</v>
      </c>
      <c r="B103" s="37">
        <v>4.0</v>
      </c>
      <c r="C103" s="31"/>
      <c r="D103" s="37" t="s">
        <v>261</v>
      </c>
      <c r="E103" s="28" t="s">
        <v>184</v>
      </c>
      <c r="F103" s="37"/>
      <c r="G103" s="34">
        <v>2.0</v>
      </c>
      <c r="H103" s="34" t="s">
        <v>56</v>
      </c>
      <c r="I103" s="34"/>
      <c r="J103" s="34"/>
      <c r="K103" s="34"/>
      <c r="L103" s="34"/>
      <c r="M103" s="34"/>
      <c r="N103" s="34"/>
      <c r="O103" s="34"/>
      <c r="P103" s="34"/>
      <c r="Q103" s="34"/>
      <c r="R103" s="34"/>
      <c r="S103" s="34"/>
      <c r="T103" s="34"/>
      <c r="U103" s="34"/>
      <c r="V103" s="34"/>
    </row>
    <row r="104">
      <c r="A104" s="37">
        <v>47.0</v>
      </c>
      <c r="B104" s="37">
        <v>5.0</v>
      </c>
      <c r="C104" s="31"/>
      <c r="D104" s="37" t="s">
        <v>262</v>
      </c>
      <c r="E104" s="37" t="s">
        <v>263</v>
      </c>
      <c r="F104" s="31"/>
      <c r="G104" s="34">
        <v>1.0</v>
      </c>
      <c r="H104" s="34">
        <v>83.0</v>
      </c>
      <c r="I104" s="34"/>
      <c r="J104" s="34"/>
      <c r="K104" s="34"/>
      <c r="L104" s="34"/>
      <c r="M104" s="34"/>
      <c r="N104" s="34"/>
      <c r="O104" s="34"/>
      <c r="P104" s="34"/>
      <c r="Q104" s="34"/>
      <c r="R104" s="34"/>
      <c r="S104" s="34"/>
      <c r="T104" s="34"/>
      <c r="U104" s="34"/>
      <c r="V104" s="34"/>
    </row>
    <row r="105">
      <c r="A105" s="37">
        <v>47.0</v>
      </c>
      <c r="B105" s="37">
        <v>6.0</v>
      </c>
      <c r="C105" s="31"/>
      <c r="D105" s="37" t="s">
        <v>264</v>
      </c>
      <c r="E105" s="28" t="s">
        <v>251</v>
      </c>
      <c r="F105" s="31"/>
      <c r="G105" s="34">
        <v>2.0</v>
      </c>
      <c r="H105" s="34" t="s">
        <v>56</v>
      </c>
      <c r="I105" s="34"/>
      <c r="J105" s="34"/>
      <c r="K105" s="34"/>
      <c r="L105" s="34"/>
      <c r="M105" s="34"/>
      <c r="N105" s="34"/>
      <c r="O105" s="34"/>
      <c r="P105" s="34"/>
      <c r="Q105" s="34"/>
      <c r="R105" s="34"/>
      <c r="S105" s="34"/>
      <c r="T105" s="34"/>
      <c r="U105" s="34"/>
      <c r="V105" s="34"/>
    </row>
    <row r="106">
      <c r="A106" s="37">
        <v>47.0</v>
      </c>
      <c r="B106" s="37">
        <v>7.0</v>
      </c>
      <c r="C106" s="31"/>
      <c r="D106" s="37" t="s">
        <v>265</v>
      </c>
      <c r="E106" s="37" t="s">
        <v>253</v>
      </c>
      <c r="F106" s="31"/>
      <c r="G106" s="34">
        <v>2.0</v>
      </c>
      <c r="H106" s="34" t="s">
        <v>56</v>
      </c>
      <c r="I106" s="34"/>
      <c r="J106" s="34"/>
      <c r="K106" s="34"/>
      <c r="L106" s="34"/>
      <c r="M106" s="34"/>
      <c r="N106" s="34"/>
      <c r="O106" s="34"/>
      <c r="P106" s="34"/>
      <c r="Q106" s="34"/>
      <c r="R106" s="34"/>
      <c r="S106" s="34"/>
      <c r="T106" s="34"/>
      <c r="U106" s="34"/>
      <c r="V106" s="34"/>
    </row>
    <row r="107">
      <c r="A107" s="37">
        <v>47.0</v>
      </c>
      <c r="B107" s="37">
        <v>8.0</v>
      </c>
      <c r="C107" s="31"/>
      <c r="D107" s="37" t="s">
        <v>266</v>
      </c>
      <c r="E107" s="28" t="s">
        <v>267</v>
      </c>
      <c r="F107" s="31"/>
      <c r="G107" s="34">
        <v>1.0</v>
      </c>
      <c r="H107" s="34">
        <v>84.0</v>
      </c>
      <c r="I107" s="34"/>
      <c r="J107" s="34"/>
      <c r="K107" s="34"/>
      <c r="L107" s="34"/>
      <c r="M107" s="34"/>
      <c r="N107" s="34"/>
      <c r="O107" s="34"/>
      <c r="P107" s="34"/>
      <c r="Q107" s="34"/>
      <c r="R107" s="34"/>
      <c r="S107" s="34"/>
      <c r="T107" s="34"/>
      <c r="U107" s="34"/>
      <c r="V107" s="34"/>
    </row>
    <row r="108">
      <c r="A108" s="37">
        <v>47.0</v>
      </c>
      <c r="B108" s="37">
        <v>9.0</v>
      </c>
      <c r="C108" s="31"/>
      <c r="D108" s="37" t="s">
        <v>268</v>
      </c>
      <c r="E108" s="28" t="s">
        <v>269</v>
      </c>
      <c r="F108" s="31"/>
      <c r="G108" s="34">
        <v>1.0</v>
      </c>
      <c r="H108" s="34">
        <v>85.0</v>
      </c>
      <c r="I108" s="34"/>
      <c r="J108" s="34"/>
      <c r="K108" s="34"/>
      <c r="L108" s="34"/>
      <c r="M108" s="34"/>
      <c r="N108" s="34"/>
      <c r="O108" s="34"/>
      <c r="P108" s="34"/>
      <c r="Q108" s="34"/>
      <c r="R108" s="34"/>
      <c r="S108" s="34"/>
      <c r="T108" s="34"/>
      <c r="U108" s="34"/>
      <c r="V108" s="34"/>
    </row>
    <row r="109">
      <c r="A109" s="37">
        <v>47.0</v>
      </c>
      <c r="B109" s="37">
        <v>10.0</v>
      </c>
      <c r="C109" s="31"/>
      <c r="D109" s="37" t="s">
        <v>270</v>
      </c>
      <c r="E109" s="37" t="s">
        <v>271</v>
      </c>
      <c r="F109" s="31"/>
      <c r="G109" s="34">
        <v>1.0</v>
      </c>
      <c r="H109" s="34">
        <v>86.0</v>
      </c>
      <c r="I109" s="34"/>
      <c r="J109" s="34"/>
      <c r="K109" s="34"/>
      <c r="L109" s="34"/>
      <c r="M109" s="34"/>
      <c r="N109" s="34"/>
      <c r="O109" s="34"/>
      <c r="P109" s="34"/>
      <c r="Q109" s="34"/>
      <c r="R109" s="34"/>
      <c r="S109" s="34"/>
      <c r="T109" s="34"/>
      <c r="U109" s="34"/>
      <c r="V109" s="34"/>
    </row>
    <row r="110">
      <c r="A110" s="37">
        <v>48.0</v>
      </c>
      <c r="B110" s="37">
        <v>1.0</v>
      </c>
      <c r="C110" s="37" t="s">
        <v>272</v>
      </c>
      <c r="D110" s="37" t="s">
        <v>273</v>
      </c>
      <c r="E110" s="28" t="s">
        <v>253</v>
      </c>
      <c r="F110" s="31"/>
      <c r="G110" s="34">
        <v>3.0</v>
      </c>
      <c r="H110" s="34" t="s">
        <v>56</v>
      </c>
      <c r="I110" s="34"/>
      <c r="J110" s="34"/>
      <c r="K110" s="34"/>
      <c r="L110" s="34"/>
      <c r="M110" s="34"/>
      <c r="N110" s="34"/>
      <c r="O110" s="34"/>
      <c r="P110" s="34"/>
      <c r="Q110" s="34"/>
      <c r="R110" s="34"/>
      <c r="S110" s="34"/>
      <c r="T110" s="34"/>
      <c r="U110" s="34"/>
      <c r="V110" s="34"/>
    </row>
    <row r="111">
      <c r="A111" s="37">
        <v>49.0</v>
      </c>
      <c r="B111" s="37">
        <v>1.0</v>
      </c>
      <c r="C111" s="37" t="s">
        <v>274</v>
      </c>
      <c r="D111" s="37" t="s">
        <v>275</v>
      </c>
      <c r="E111" s="37" t="s">
        <v>258</v>
      </c>
      <c r="F111" s="31"/>
      <c r="G111" s="34">
        <v>2.0</v>
      </c>
      <c r="H111" s="34" t="s">
        <v>56</v>
      </c>
      <c r="I111" s="34"/>
      <c r="J111" s="34"/>
      <c r="K111" s="34"/>
      <c r="L111" s="34"/>
      <c r="M111" s="34"/>
      <c r="N111" s="34"/>
      <c r="O111" s="34"/>
      <c r="P111" s="34"/>
      <c r="Q111" s="34"/>
      <c r="R111" s="34"/>
      <c r="S111" s="34"/>
      <c r="T111" s="34"/>
      <c r="U111" s="34"/>
      <c r="V111" s="34"/>
    </row>
    <row r="112">
      <c r="A112" s="37">
        <v>49.0</v>
      </c>
      <c r="B112" s="37">
        <v>2.0</v>
      </c>
      <c r="C112" s="31"/>
      <c r="D112" s="37" t="s">
        <v>276</v>
      </c>
      <c r="E112" s="37" t="s">
        <v>277</v>
      </c>
      <c r="F112" s="31"/>
      <c r="G112" s="34">
        <v>1.0</v>
      </c>
      <c r="H112" s="34">
        <v>87.0</v>
      </c>
      <c r="I112" s="34"/>
      <c r="J112" s="34"/>
      <c r="K112" s="34"/>
      <c r="L112" s="34"/>
      <c r="M112" s="34"/>
      <c r="N112" s="34"/>
      <c r="O112" s="34"/>
      <c r="P112" s="34"/>
      <c r="Q112" s="34"/>
      <c r="R112" s="34"/>
      <c r="S112" s="34"/>
      <c r="T112" s="34"/>
      <c r="U112" s="34"/>
      <c r="V112" s="34"/>
    </row>
    <row r="113">
      <c r="A113" s="37">
        <v>49.0</v>
      </c>
      <c r="B113" s="37">
        <v>3.0</v>
      </c>
      <c r="C113" s="31"/>
      <c r="D113" s="37" t="s">
        <v>278</v>
      </c>
      <c r="E113" s="37" t="s">
        <v>279</v>
      </c>
      <c r="F113" s="31"/>
      <c r="G113" s="34">
        <v>1.0</v>
      </c>
      <c r="H113" s="34">
        <v>88.0</v>
      </c>
      <c r="I113" s="34"/>
      <c r="J113" s="34"/>
      <c r="K113" s="34"/>
      <c r="L113" s="34"/>
      <c r="M113" s="34"/>
      <c r="N113" s="34"/>
      <c r="O113" s="34"/>
      <c r="P113" s="34"/>
      <c r="Q113" s="34"/>
      <c r="R113" s="34"/>
      <c r="S113" s="34"/>
      <c r="T113" s="34"/>
      <c r="U113" s="34"/>
      <c r="V113" s="34"/>
    </row>
    <row r="114">
      <c r="A114" s="37">
        <v>50.0</v>
      </c>
      <c r="B114" s="37">
        <v>1.0</v>
      </c>
      <c r="C114" s="37" t="s">
        <v>280</v>
      </c>
      <c r="D114" s="37" t="s">
        <v>281</v>
      </c>
      <c r="E114" s="37" t="s">
        <v>282</v>
      </c>
      <c r="F114" s="31"/>
      <c r="G114" s="34">
        <v>1.0</v>
      </c>
      <c r="H114" s="34">
        <v>89.0</v>
      </c>
      <c r="I114" s="34"/>
      <c r="J114" s="34"/>
      <c r="K114" s="34"/>
      <c r="L114" s="34"/>
      <c r="M114" s="34"/>
      <c r="N114" s="34"/>
      <c r="O114" s="34"/>
      <c r="P114" s="34"/>
      <c r="Q114" s="34"/>
      <c r="R114" s="34"/>
      <c r="S114" s="34"/>
      <c r="T114" s="34"/>
      <c r="U114" s="34"/>
      <c r="V114" s="34"/>
    </row>
    <row r="115">
      <c r="A115" s="37">
        <v>50.0</v>
      </c>
      <c r="B115" s="37">
        <v>2.0</v>
      </c>
      <c r="C115" s="31"/>
      <c r="D115" s="37" t="s">
        <v>283</v>
      </c>
      <c r="E115" s="28" t="s">
        <v>284</v>
      </c>
      <c r="F115" s="31"/>
      <c r="G115" s="34">
        <v>1.0</v>
      </c>
      <c r="H115" s="34">
        <v>90.0</v>
      </c>
      <c r="I115" s="34"/>
      <c r="J115" s="34"/>
      <c r="K115" s="34"/>
      <c r="L115" s="34"/>
      <c r="M115" s="34"/>
      <c r="N115" s="34"/>
      <c r="O115" s="34"/>
      <c r="P115" s="34"/>
      <c r="Q115" s="34"/>
      <c r="R115" s="34"/>
      <c r="S115" s="34"/>
      <c r="T115" s="34"/>
      <c r="U115" s="34"/>
      <c r="V115" s="34"/>
    </row>
    <row r="116">
      <c r="A116" s="37">
        <v>51.0</v>
      </c>
      <c r="B116" s="37">
        <v>1.0</v>
      </c>
      <c r="C116" s="37" t="s">
        <v>285</v>
      </c>
      <c r="D116" s="37" t="s">
        <v>286</v>
      </c>
      <c r="E116" s="37" t="s">
        <v>101</v>
      </c>
      <c r="F116" s="37"/>
      <c r="G116" s="34">
        <v>2.0</v>
      </c>
      <c r="H116" s="34" t="s">
        <v>56</v>
      </c>
      <c r="I116" s="34"/>
      <c r="J116" s="34"/>
      <c r="K116" s="34"/>
      <c r="L116" s="34"/>
      <c r="M116" s="34"/>
      <c r="N116" s="34"/>
      <c r="O116" s="34"/>
      <c r="P116" s="34"/>
      <c r="Q116" s="34"/>
      <c r="R116" s="34"/>
      <c r="S116" s="34"/>
      <c r="T116" s="34"/>
      <c r="U116" s="34"/>
      <c r="V116" s="34"/>
    </row>
    <row r="117">
      <c r="A117" s="37">
        <v>51.0</v>
      </c>
      <c r="B117" s="37">
        <v>2.0</v>
      </c>
      <c r="C117" s="31"/>
      <c r="D117" s="37" t="s">
        <v>287</v>
      </c>
      <c r="E117" s="37" t="s">
        <v>288</v>
      </c>
      <c r="F117" s="31"/>
      <c r="G117" s="34">
        <v>1.0</v>
      </c>
      <c r="H117" s="34">
        <v>91.0</v>
      </c>
      <c r="I117" s="34"/>
      <c r="J117" s="34"/>
      <c r="K117" s="34"/>
      <c r="L117" s="34"/>
      <c r="M117" s="34"/>
      <c r="N117" s="34"/>
      <c r="O117" s="34"/>
      <c r="P117" s="34"/>
      <c r="Q117" s="34"/>
      <c r="R117" s="34"/>
      <c r="S117" s="34"/>
      <c r="T117" s="34"/>
      <c r="U117" s="34"/>
      <c r="V117" s="34"/>
    </row>
    <row r="118">
      <c r="A118" s="37">
        <v>52.0</v>
      </c>
      <c r="B118" s="37">
        <v>1.0</v>
      </c>
      <c r="C118" s="37" t="s">
        <v>289</v>
      </c>
      <c r="D118" s="37" t="s">
        <v>290</v>
      </c>
      <c r="E118" s="37" t="s">
        <v>284</v>
      </c>
      <c r="F118" s="31"/>
      <c r="G118" s="34">
        <v>2.0</v>
      </c>
      <c r="H118" s="34" t="s">
        <v>56</v>
      </c>
      <c r="I118" s="34"/>
      <c r="J118" s="34"/>
      <c r="K118" s="34"/>
      <c r="L118" s="34"/>
      <c r="M118" s="34"/>
      <c r="N118" s="34"/>
      <c r="O118" s="34"/>
      <c r="P118" s="34"/>
      <c r="Q118" s="34"/>
      <c r="R118" s="34"/>
      <c r="S118" s="34"/>
      <c r="T118" s="34"/>
      <c r="U118" s="34"/>
      <c r="V118" s="34"/>
    </row>
    <row r="119">
      <c r="A119" s="37">
        <v>53.0</v>
      </c>
      <c r="B119" s="37">
        <v>1.0</v>
      </c>
      <c r="C119" s="37" t="s">
        <v>291</v>
      </c>
      <c r="D119" s="37" t="s">
        <v>292</v>
      </c>
      <c r="E119" s="37" t="s">
        <v>293</v>
      </c>
      <c r="F119" s="31"/>
      <c r="G119" s="34">
        <v>1.0</v>
      </c>
      <c r="H119" s="34">
        <v>92.0</v>
      </c>
      <c r="I119" s="34"/>
      <c r="J119" s="34"/>
      <c r="K119" s="34"/>
      <c r="L119" s="34"/>
      <c r="M119" s="34"/>
      <c r="N119" s="34"/>
      <c r="O119" s="34"/>
      <c r="P119" s="34"/>
      <c r="Q119" s="34"/>
      <c r="R119" s="34"/>
      <c r="S119" s="34"/>
      <c r="T119" s="34"/>
      <c r="U119" s="34"/>
      <c r="V119" s="34"/>
    </row>
    <row r="120">
      <c r="A120" s="37">
        <v>54.0</v>
      </c>
      <c r="B120" s="37">
        <v>1.0</v>
      </c>
      <c r="C120" s="37" t="s">
        <v>294</v>
      </c>
      <c r="D120" s="37" t="s">
        <v>295</v>
      </c>
      <c r="E120" s="28" t="s">
        <v>251</v>
      </c>
      <c r="F120" s="37"/>
      <c r="G120" s="34">
        <v>3.0</v>
      </c>
      <c r="H120" s="34" t="s">
        <v>56</v>
      </c>
      <c r="I120" s="34"/>
      <c r="J120" s="34"/>
      <c r="K120" s="34"/>
      <c r="L120" s="34"/>
      <c r="M120" s="34"/>
      <c r="N120" s="34"/>
      <c r="O120" s="34"/>
      <c r="P120" s="34"/>
      <c r="Q120" s="34"/>
      <c r="R120" s="34"/>
      <c r="S120" s="34"/>
      <c r="T120" s="34"/>
      <c r="U120" s="34"/>
      <c r="V120" s="34"/>
    </row>
    <row r="121">
      <c r="A121" s="37">
        <v>55.0</v>
      </c>
      <c r="B121" s="37">
        <v>1.0</v>
      </c>
      <c r="C121" s="37" t="s">
        <v>296</v>
      </c>
      <c r="D121" s="37" t="s">
        <v>297</v>
      </c>
      <c r="E121" s="28" t="s">
        <v>251</v>
      </c>
      <c r="F121" s="31"/>
      <c r="G121" s="34">
        <v>4.0</v>
      </c>
      <c r="H121" s="34" t="s">
        <v>56</v>
      </c>
      <c r="I121" s="34"/>
      <c r="J121" s="34"/>
      <c r="K121" s="34"/>
      <c r="L121" s="34"/>
      <c r="M121" s="34"/>
      <c r="N121" s="34"/>
      <c r="O121" s="34"/>
      <c r="P121" s="34"/>
      <c r="Q121" s="34"/>
      <c r="R121" s="34"/>
      <c r="S121" s="34"/>
      <c r="T121" s="34"/>
      <c r="U121" s="34"/>
      <c r="V121" s="34"/>
    </row>
    <row r="122">
      <c r="A122" s="37">
        <v>55.0</v>
      </c>
      <c r="B122" s="37">
        <v>2.0</v>
      </c>
      <c r="C122" s="31"/>
      <c r="D122" s="37" t="s">
        <v>298</v>
      </c>
      <c r="E122" s="28" t="s">
        <v>299</v>
      </c>
      <c r="F122" s="37"/>
      <c r="G122" s="34">
        <v>1.0</v>
      </c>
      <c r="H122" s="34">
        <v>93.0</v>
      </c>
      <c r="I122" s="34"/>
      <c r="J122" s="34"/>
      <c r="K122" s="34"/>
      <c r="L122" s="34"/>
      <c r="M122" s="34"/>
      <c r="N122" s="34"/>
      <c r="O122" s="34"/>
      <c r="P122" s="34"/>
      <c r="Q122" s="34"/>
      <c r="R122" s="34"/>
      <c r="S122" s="34"/>
      <c r="T122" s="34"/>
      <c r="U122" s="34"/>
      <c r="V122" s="34"/>
    </row>
    <row r="123">
      <c r="A123" s="37">
        <v>55.0</v>
      </c>
      <c r="B123" s="37">
        <v>3.0</v>
      </c>
      <c r="C123" s="31"/>
      <c r="D123" s="37" t="s">
        <v>61</v>
      </c>
      <c r="E123" s="28" t="s">
        <v>251</v>
      </c>
      <c r="F123" s="31"/>
      <c r="G123" s="34">
        <v>5.0</v>
      </c>
      <c r="H123" s="34" t="s">
        <v>56</v>
      </c>
      <c r="I123" s="34"/>
      <c r="J123" s="34"/>
      <c r="K123" s="34"/>
      <c r="L123" s="34"/>
      <c r="M123" s="34"/>
      <c r="N123" s="34"/>
      <c r="O123" s="34"/>
      <c r="P123" s="34"/>
      <c r="Q123" s="34"/>
      <c r="R123" s="34"/>
      <c r="S123" s="34"/>
      <c r="T123" s="34"/>
      <c r="U123" s="34"/>
      <c r="V123" s="34"/>
    </row>
    <row r="124">
      <c r="A124" s="37">
        <v>56.0</v>
      </c>
      <c r="B124" s="37">
        <v>1.0</v>
      </c>
      <c r="C124" s="28" t="s">
        <v>300</v>
      </c>
      <c r="D124" s="28" t="s">
        <v>301</v>
      </c>
      <c r="E124" s="28" t="s">
        <v>251</v>
      </c>
      <c r="F124" s="31"/>
      <c r="G124" s="34">
        <v>6.0</v>
      </c>
      <c r="H124" s="34" t="s">
        <v>56</v>
      </c>
      <c r="I124" s="34"/>
      <c r="J124" s="34"/>
      <c r="K124" s="34"/>
      <c r="L124" s="34"/>
      <c r="M124" s="34"/>
      <c r="N124" s="34"/>
      <c r="O124" s="34"/>
      <c r="P124" s="34"/>
      <c r="Q124" s="34"/>
      <c r="R124" s="34"/>
      <c r="S124" s="34"/>
      <c r="T124" s="34"/>
      <c r="U124" s="34"/>
      <c r="V124" s="34"/>
    </row>
    <row r="125">
      <c r="A125" s="37">
        <v>56.0</v>
      </c>
      <c r="B125" s="37">
        <v>2.0</v>
      </c>
      <c r="C125" s="31"/>
      <c r="D125" s="37" t="s">
        <v>302</v>
      </c>
      <c r="E125" s="28" t="s">
        <v>226</v>
      </c>
      <c r="F125" s="37"/>
      <c r="G125" s="34">
        <v>2.0</v>
      </c>
      <c r="H125" s="34" t="s">
        <v>56</v>
      </c>
      <c r="I125" s="34"/>
      <c r="J125" s="34"/>
      <c r="K125" s="34"/>
      <c r="L125" s="34"/>
      <c r="M125" s="34"/>
      <c r="N125" s="34"/>
      <c r="O125" s="34"/>
      <c r="P125" s="34"/>
      <c r="Q125" s="34"/>
      <c r="R125" s="34"/>
      <c r="S125" s="34"/>
      <c r="T125" s="34"/>
      <c r="U125" s="34"/>
      <c r="V125" s="34"/>
    </row>
    <row r="126">
      <c r="A126" s="37">
        <v>56.0</v>
      </c>
      <c r="B126" s="37">
        <v>3.0</v>
      </c>
      <c r="C126" s="31"/>
      <c r="D126" s="37" t="s">
        <v>303</v>
      </c>
      <c r="E126" s="37" t="s">
        <v>263</v>
      </c>
      <c r="F126" s="37"/>
      <c r="G126" s="34">
        <v>2.0</v>
      </c>
      <c r="H126" s="34" t="s">
        <v>56</v>
      </c>
      <c r="I126" s="34"/>
      <c r="J126" s="34"/>
      <c r="K126" s="34"/>
      <c r="L126" s="34"/>
      <c r="M126" s="34"/>
      <c r="N126" s="34"/>
      <c r="O126" s="34"/>
      <c r="P126" s="34"/>
      <c r="Q126" s="34"/>
      <c r="R126" s="34"/>
      <c r="S126" s="34"/>
      <c r="T126" s="34"/>
      <c r="U126" s="34"/>
      <c r="V126" s="34"/>
    </row>
    <row r="127">
      <c r="A127" s="37">
        <v>57.0</v>
      </c>
      <c r="B127" s="37">
        <v>1.0</v>
      </c>
      <c r="C127" s="37" t="s">
        <v>304</v>
      </c>
      <c r="D127" s="37" t="s">
        <v>264</v>
      </c>
      <c r="E127" s="28" t="s">
        <v>251</v>
      </c>
      <c r="F127" s="37"/>
      <c r="G127" s="34">
        <v>7.0</v>
      </c>
      <c r="H127" s="34" t="s">
        <v>56</v>
      </c>
      <c r="I127" s="34"/>
      <c r="J127" s="34"/>
      <c r="K127" s="34"/>
      <c r="L127" s="34"/>
      <c r="M127" s="34"/>
      <c r="N127" s="34"/>
      <c r="O127" s="34"/>
      <c r="P127" s="34"/>
      <c r="Q127" s="34"/>
      <c r="R127" s="34"/>
      <c r="S127" s="34"/>
      <c r="T127" s="34"/>
      <c r="U127" s="34"/>
      <c r="V127" s="34"/>
    </row>
    <row r="128">
      <c r="A128" s="37">
        <v>58.0</v>
      </c>
      <c r="B128" s="37">
        <v>1.0</v>
      </c>
      <c r="C128" s="37" t="s">
        <v>305</v>
      </c>
      <c r="D128" s="28" t="s">
        <v>306</v>
      </c>
      <c r="E128" s="37" t="s">
        <v>234</v>
      </c>
      <c r="F128" s="37"/>
      <c r="G128" s="34">
        <v>2.0</v>
      </c>
      <c r="H128" s="34" t="s">
        <v>56</v>
      </c>
      <c r="I128" s="34"/>
      <c r="J128" s="34"/>
      <c r="K128" s="34"/>
      <c r="L128" s="34"/>
      <c r="M128" s="34"/>
      <c r="N128" s="34"/>
      <c r="O128" s="34"/>
      <c r="P128" s="34"/>
      <c r="Q128" s="34"/>
      <c r="R128" s="34"/>
      <c r="S128" s="34"/>
      <c r="T128" s="34"/>
      <c r="U128" s="34"/>
      <c r="V128" s="34"/>
    </row>
    <row r="129">
      <c r="A129" s="37">
        <v>59.0</v>
      </c>
      <c r="B129" s="37">
        <v>1.0</v>
      </c>
      <c r="C129" s="37" t="s">
        <v>307</v>
      </c>
      <c r="D129" s="37" t="s">
        <v>308</v>
      </c>
      <c r="E129" s="37" t="s">
        <v>234</v>
      </c>
      <c r="F129" s="31"/>
      <c r="G129" s="34">
        <v>3.0</v>
      </c>
      <c r="H129" s="34" t="s">
        <v>56</v>
      </c>
      <c r="I129" s="34"/>
      <c r="J129" s="34"/>
      <c r="K129" s="34"/>
      <c r="L129" s="34"/>
      <c r="M129" s="34"/>
      <c r="N129" s="34"/>
      <c r="O129" s="34"/>
      <c r="P129" s="34"/>
      <c r="Q129" s="34"/>
      <c r="R129" s="34"/>
      <c r="S129" s="34"/>
      <c r="T129" s="34"/>
      <c r="U129" s="34"/>
      <c r="V129" s="34"/>
    </row>
    <row r="130">
      <c r="A130" s="37">
        <v>60.0</v>
      </c>
      <c r="B130" s="37">
        <v>1.0</v>
      </c>
      <c r="C130" s="37" t="s">
        <v>309</v>
      </c>
      <c r="D130" s="37" t="s">
        <v>310</v>
      </c>
      <c r="E130" s="37" t="s">
        <v>234</v>
      </c>
      <c r="F130" s="31"/>
      <c r="G130" s="34">
        <v>4.0</v>
      </c>
      <c r="H130" s="34" t="s">
        <v>56</v>
      </c>
      <c r="I130" s="34"/>
      <c r="J130" s="34"/>
      <c r="K130" s="34"/>
      <c r="L130" s="34"/>
      <c r="M130" s="34"/>
      <c r="N130" s="34"/>
      <c r="O130" s="34"/>
      <c r="P130" s="34"/>
      <c r="Q130" s="34"/>
      <c r="R130" s="34"/>
      <c r="S130" s="34"/>
      <c r="T130" s="34"/>
      <c r="U130" s="34"/>
      <c r="V130" s="34"/>
    </row>
    <row r="131">
      <c r="A131" s="37">
        <v>61.0</v>
      </c>
      <c r="B131" s="37">
        <v>1.0</v>
      </c>
      <c r="C131" s="37" t="s">
        <v>311</v>
      </c>
      <c r="D131" s="37" t="s">
        <v>312</v>
      </c>
      <c r="E131" s="37" t="s">
        <v>234</v>
      </c>
      <c r="F131" s="31"/>
      <c r="G131" s="34">
        <v>5.0</v>
      </c>
      <c r="H131" s="34" t="s">
        <v>56</v>
      </c>
      <c r="I131" s="34"/>
      <c r="J131" s="34"/>
      <c r="K131" s="34"/>
      <c r="L131" s="34"/>
      <c r="M131" s="34"/>
      <c r="N131" s="34"/>
      <c r="O131" s="34"/>
      <c r="P131" s="34"/>
      <c r="Q131" s="34"/>
      <c r="R131" s="34"/>
      <c r="S131" s="34"/>
      <c r="T131" s="34"/>
      <c r="U131" s="34"/>
      <c r="V131" s="34"/>
    </row>
    <row r="132">
      <c r="A132" s="37">
        <v>62.0</v>
      </c>
      <c r="B132" s="37">
        <v>1.0</v>
      </c>
      <c r="C132" s="37" t="s">
        <v>309</v>
      </c>
      <c r="D132" s="37" t="s">
        <v>310</v>
      </c>
      <c r="E132" s="37" t="s">
        <v>234</v>
      </c>
      <c r="F132" s="31"/>
      <c r="G132" s="34">
        <v>6.0</v>
      </c>
      <c r="H132" s="34" t="s">
        <v>56</v>
      </c>
      <c r="I132" s="34"/>
      <c r="J132" s="34"/>
      <c r="K132" s="34"/>
      <c r="L132" s="34"/>
      <c r="M132" s="34"/>
      <c r="N132" s="34"/>
      <c r="O132" s="34"/>
      <c r="P132" s="34"/>
      <c r="Q132" s="34"/>
      <c r="R132" s="34"/>
      <c r="S132" s="34"/>
      <c r="T132" s="34"/>
      <c r="U132" s="34"/>
      <c r="V132" s="34"/>
    </row>
    <row r="133">
      <c r="A133" s="37">
        <v>63.0</v>
      </c>
      <c r="B133" s="37">
        <v>1.0</v>
      </c>
      <c r="C133" s="37" t="s">
        <v>313</v>
      </c>
      <c r="D133" s="37" t="s">
        <v>314</v>
      </c>
      <c r="E133" s="28" t="s">
        <v>315</v>
      </c>
      <c r="F133" s="31"/>
      <c r="G133" s="34">
        <v>1.0</v>
      </c>
      <c r="H133" s="34">
        <v>94.0</v>
      </c>
      <c r="I133" s="34"/>
      <c r="J133" s="34"/>
      <c r="K133" s="34"/>
      <c r="L133" s="34"/>
      <c r="M133" s="34"/>
      <c r="N133" s="34"/>
      <c r="O133" s="34"/>
      <c r="P133" s="34"/>
      <c r="Q133" s="34"/>
      <c r="R133" s="34"/>
      <c r="S133" s="34"/>
      <c r="T133" s="34"/>
      <c r="U133" s="34"/>
      <c r="V133" s="34"/>
    </row>
    <row r="134">
      <c r="A134" s="37">
        <v>64.0</v>
      </c>
      <c r="B134" s="37">
        <v>1.0</v>
      </c>
      <c r="C134" s="37" t="s">
        <v>316</v>
      </c>
      <c r="D134" s="37" t="s">
        <v>317</v>
      </c>
      <c r="E134" s="37" t="s">
        <v>318</v>
      </c>
      <c r="F134" s="31"/>
      <c r="G134" s="34">
        <v>1.0</v>
      </c>
      <c r="H134" s="34">
        <v>95.0</v>
      </c>
      <c r="I134" s="34"/>
      <c r="J134" s="34"/>
      <c r="K134" s="34"/>
      <c r="L134" s="34"/>
      <c r="M134" s="34"/>
      <c r="N134" s="34"/>
      <c r="O134" s="34"/>
      <c r="P134" s="34"/>
      <c r="Q134" s="34"/>
      <c r="R134" s="34"/>
      <c r="S134" s="34"/>
      <c r="T134" s="34"/>
      <c r="U134" s="34"/>
      <c r="V134" s="34"/>
    </row>
    <row r="135">
      <c r="A135" s="37">
        <v>64.0</v>
      </c>
      <c r="B135" s="37">
        <v>2.0</v>
      </c>
      <c r="C135" s="31"/>
      <c r="D135" s="37" t="s">
        <v>319</v>
      </c>
      <c r="E135" s="37" t="s">
        <v>293</v>
      </c>
      <c r="F135" s="37"/>
      <c r="G135" s="34">
        <v>2.0</v>
      </c>
      <c r="H135" s="34" t="s">
        <v>56</v>
      </c>
      <c r="I135" s="34"/>
      <c r="J135" s="34"/>
      <c r="K135" s="34"/>
      <c r="L135" s="34"/>
      <c r="M135" s="34"/>
      <c r="N135" s="34"/>
      <c r="O135" s="34"/>
      <c r="P135" s="34"/>
      <c r="Q135" s="34"/>
      <c r="R135" s="34"/>
      <c r="S135" s="34"/>
      <c r="T135" s="34"/>
      <c r="U135" s="34"/>
      <c r="V135" s="34"/>
    </row>
    <row r="136">
      <c r="A136" s="37">
        <v>65.0</v>
      </c>
      <c r="B136" s="37">
        <v>1.0</v>
      </c>
      <c r="C136" s="37" t="s">
        <v>320</v>
      </c>
      <c r="D136" s="37" t="s">
        <v>321</v>
      </c>
      <c r="E136" s="28" t="s">
        <v>315</v>
      </c>
      <c r="F136" s="37"/>
      <c r="G136" s="34">
        <v>2.0</v>
      </c>
      <c r="H136" s="34" t="s">
        <v>56</v>
      </c>
      <c r="I136" s="34"/>
      <c r="J136" s="34"/>
      <c r="K136" s="34"/>
      <c r="L136" s="34"/>
      <c r="M136" s="34"/>
      <c r="N136" s="34"/>
      <c r="O136" s="34"/>
      <c r="P136" s="34"/>
      <c r="Q136" s="34"/>
      <c r="R136" s="34"/>
      <c r="S136" s="34"/>
      <c r="T136" s="34"/>
      <c r="U136" s="34"/>
      <c r="V136" s="34"/>
    </row>
    <row r="137">
      <c r="A137" s="37">
        <v>66.0</v>
      </c>
      <c r="B137" s="37">
        <v>1.0</v>
      </c>
      <c r="C137" s="37" t="s">
        <v>322</v>
      </c>
      <c r="D137" s="37" t="s">
        <v>323</v>
      </c>
      <c r="E137" s="37" t="s">
        <v>101</v>
      </c>
      <c r="F137" s="37"/>
      <c r="G137" s="34">
        <v>3.0</v>
      </c>
      <c r="H137" s="34" t="s">
        <v>56</v>
      </c>
      <c r="I137" s="34"/>
      <c r="J137" s="34"/>
      <c r="K137" s="34"/>
      <c r="L137" s="34"/>
      <c r="M137" s="34"/>
      <c r="N137" s="34"/>
      <c r="O137" s="34"/>
      <c r="P137" s="34"/>
      <c r="Q137" s="34"/>
      <c r="R137" s="34"/>
      <c r="S137" s="34"/>
      <c r="T137" s="34"/>
      <c r="U137" s="34"/>
      <c r="V137" s="34"/>
    </row>
    <row r="138">
      <c r="A138" s="37">
        <v>67.0</v>
      </c>
      <c r="B138" s="37">
        <v>1.0</v>
      </c>
      <c r="C138" s="28" t="s">
        <v>324</v>
      </c>
      <c r="D138" s="37" t="s">
        <v>325</v>
      </c>
      <c r="E138" s="28" t="s">
        <v>315</v>
      </c>
      <c r="F138" s="37"/>
      <c r="G138" s="34">
        <v>3.0</v>
      </c>
      <c r="H138" s="34" t="s">
        <v>56</v>
      </c>
      <c r="I138" s="34"/>
      <c r="J138" s="34"/>
      <c r="K138" s="34"/>
      <c r="L138" s="34"/>
      <c r="M138" s="34"/>
      <c r="N138" s="34"/>
      <c r="O138" s="34"/>
      <c r="P138" s="34"/>
      <c r="Q138" s="34"/>
      <c r="R138" s="34"/>
      <c r="S138" s="34"/>
      <c r="T138" s="34"/>
      <c r="U138" s="34"/>
      <c r="V138" s="34"/>
    </row>
    <row r="139">
      <c r="A139" s="37">
        <v>67.0</v>
      </c>
      <c r="B139" s="37">
        <v>2.0</v>
      </c>
      <c r="C139" s="31"/>
      <c r="D139" s="37" t="s">
        <v>326</v>
      </c>
      <c r="E139" s="28" t="s">
        <v>315</v>
      </c>
      <c r="F139" s="31"/>
      <c r="G139" s="34">
        <v>4.0</v>
      </c>
      <c r="H139" s="34" t="s">
        <v>56</v>
      </c>
      <c r="I139" s="34"/>
      <c r="J139" s="34"/>
      <c r="K139" s="34"/>
      <c r="L139" s="34"/>
      <c r="M139" s="34"/>
      <c r="N139" s="34"/>
      <c r="O139" s="34"/>
      <c r="P139" s="34"/>
      <c r="Q139" s="34"/>
      <c r="R139" s="34"/>
      <c r="S139" s="34"/>
      <c r="T139" s="34"/>
      <c r="U139" s="34"/>
      <c r="V139" s="34"/>
    </row>
    <row r="140">
      <c r="A140" s="37">
        <v>67.0</v>
      </c>
      <c r="B140" s="28">
        <v>3.0</v>
      </c>
      <c r="C140" s="31"/>
      <c r="D140" s="37" t="s">
        <v>327</v>
      </c>
      <c r="E140" s="37" t="s">
        <v>328</v>
      </c>
      <c r="F140" s="31"/>
      <c r="G140" s="34">
        <v>1.0</v>
      </c>
      <c r="H140" s="34">
        <v>96.0</v>
      </c>
      <c r="I140" s="34"/>
      <c r="J140" s="34"/>
      <c r="K140" s="34"/>
      <c r="L140" s="34"/>
      <c r="M140" s="34"/>
      <c r="N140" s="34"/>
      <c r="O140" s="34"/>
      <c r="P140" s="34"/>
      <c r="Q140" s="34"/>
      <c r="R140" s="34"/>
      <c r="S140" s="34"/>
      <c r="T140" s="34"/>
      <c r="U140" s="34"/>
      <c r="V140" s="34"/>
    </row>
    <row r="141">
      <c r="A141" s="37">
        <v>68.0</v>
      </c>
      <c r="B141" s="37">
        <v>1.0</v>
      </c>
      <c r="C141" s="37" t="s">
        <v>329</v>
      </c>
      <c r="D141" s="37" t="s">
        <v>330</v>
      </c>
      <c r="E141" s="37" t="s">
        <v>331</v>
      </c>
      <c r="F141" s="31"/>
      <c r="G141" s="34">
        <v>1.0</v>
      </c>
      <c r="H141" s="34">
        <v>97.0</v>
      </c>
      <c r="I141" s="34"/>
      <c r="J141" s="34"/>
      <c r="K141" s="34"/>
      <c r="L141" s="34"/>
      <c r="M141" s="34"/>
      <c r="N141" s="34"/>
      <c r="O141" s="34"/>
      <c r="P141" s="34"/>
      <c r="Q141" s="34"/>
      <c r="R141" s="34"/>
      <c r="S141" s="34"/>
      <c r="T141" s="34"/>
      <c r="U141" s="34"/>
      <c r="V141" s="34"/>
    </row>
    <row r="142">
      <c r="A142" s="37">
        <v>68.0</v>
      </c>
      <c r="B142" s="37">
        <v>2.0</v>
      </c>
      <c r="C142" s="31"/>
      <c r="D142" s="37" t="s">
        <v>332</v>
      </c>
      <c r="E142" s="37" t="s">
        <v>258</v>
      </c>
      <c r="F142" s="37"/>
      <c r="G142" s="34">
        <v>3.0</v>
      </c>
      <c r="H142" s="34" t="s">
        <v>56</v>
      </c>
      <c r="I142" s="34"/>
      <c r="J142" s="34"/>
      <c r="K142" s="34"/>
      <c r="L142" s="34"/>
      <c r="M142" s="34"/>
      <c r="N142" s="34"/>
      <c r="O142" s="34"/>
      <c r="P142" s="34"/>
      <c r="Q142" s="34"/>
      <c r="R142" s="34"/>
      <c r="S142" s="34"/>
      <c r="T142" s="34"/>
      <c r="U142" s="34"/>
      <c r="V142" s="34"/>
    </row>
    <row r="143">
      <c r="A143" s="37">
        <v>69.0</v>
      </c>
      <c r="B143" s="37">
        <v>1.0</v>
      </c>
      <c r="C143" s="37" t="s">
        <v>333</v>
      </c>
      <c r="D143" s="37" t="s">
        <v>334</v>
      </c>
      <c r="E143" s="37" t="s">
        <v>335</v>
      </c>
      <c r="F143" s="31"/>
      <c r="G143" s="34">
        <v>1.0</v>
      </c>
      <c r="H143" s="34">
        <v>98.0</v>
      </c>
      <c r="I143" s="34"/>
      <c r="J143" s="34"/>
      <c r="K143" s="34"/>
      <c r="L143" s="34"/>
      <c r="M143" s="34"/>
      <c r="N143" s="34"/>
      <c r="O143" s="34"/>
      <c r="P143" s="34"/>
      <c r="Q143" s="34"/>
      <c r="R143" s="34"/>
      <c r="S143" s="34"/>
      <c r="T143" s="34"/>
      <c r="U143" s="34"/>
      <c r="V143" s="34"/>
    </row>
    <row r="144">
      <c r="A144" s="37">
        <v>70.0</v>
      </c>
      <c r="B144" s="37">
        <v>1.0</v>
      </c>
      <c r="C144" s="37" t="s">
        <v>336</v>
      </c>
      <c r="D144" s="37" t="s">
        <v>337</v>
      </c>
      <c r="E144" s="37" t="s">
        <v>263</v>
      </c>
      <c r="F144" s="31"/>
      <c r="G144" s="34">
        <v>3.0</v>
      </c>
      <c r="H144" s="34" t="s">
        <v>56</v>
      </c>
      <c r="I144" s="34"/>
      <c r="J144" s="34"/>
      <c r="K144" s="34"/>
      <c r="L144" s="34"/>
      <c r="M144" s="34"/>
      <c r="N144" s="34"/>
      <c r="O144" s="34"/>
      <c r="P144" s="34"/>
      <c r="Q144" s="34"/>
      <c r="R144" s="34"/>
      <c r="S144" s="34"/>
      <c r="T144" s="34"/>
      <c r="U144" s="34"/>
      <c r="V144" s="34"/>
    </row>
    <row r="145">
      <c r="A145" s="37">
        <v>71.0</v>
      </c>
      <c r="B145" s="37">
        <v>1.0</v>
      </c>
      <c r="C145" s="37" t="s">
        <v>338</v>
      </c>
      <c r="D145" s="37" t="s">
        <v>339</v>
      </c>
      <c r="E145" s="37" t="s">
        <v>263</v>
      </c>
      <c r="F145" s="31"/>
      <c r="G145" s="34">
        <v>4.0</v>
      </c>
      <c r="H145" s="34" t="s">
        <v>56</v>
      </c>
      <c r="I145" s="34"/>
      <c r="J145" s="34"/>
      <c r="K145" s="34"/>
      <c r="L145" s="34"/>
      <c r="M145" s="34"/>
      <c r="N145" s="34"/>
      <c r="O145" s="34"/>
      <c r="P145" s="34"/>
      <c r="Q145" s="34"/>
      <c r="R145" s="34"/>
      <c r="S145" s="34"/>
      <c r="T145" s="34"/>
      <c r="U145" s="34"/>
      <c r="V145" s="34"/>
    </row>
    <row r="146">
      <c r="A146" s="37">
        <v>72.0</v>
      </c>
      <c r="B146" s="37">
        <v>1.0</v>
      </c>
      <c r="C146" s="37" t="s">
        <v>340</v>
      </c>
      <c r="D146" s="37" t="s">
        <v>341</v>
      </c>
      <c r="E146" s="37" t="s">
        <v>263</v>
      </c>
      <c r="F146" s="31"/>
      <c r="G146" s="34">
        <v>5.0</v>
      </c>
      <c r="H146" s="34" t="s">
        <v>56</v>
      </c>
      <c r="I146" s="34"/>
      <c r="J146" s="34"/>
      <c r="K146" s="34"/>
      <c r="L146" s="34"/>
      <c r="M146" s="34"/>
      <c r="N146" s="34"/>
      <c r="O146" s="34"/>
      <c r="P146" s="34"/>
      <c r="Q146" s="34"/>
      <c r="R146" s="34"/>
      <c r="S146" s="34"/>
      <c r="T146" s="34"/>
      <c r="U146" s="34"/>
      <c r="V146" s="34"/>
    </row>
    <row r="147">
      <c r="A147" s="37">
        <v>73.0</v>
      </c>
      <c r="B147" s="37">
        <v>1.0</v>
      </c>
      <c r="C147" s="37" t="s">
        <v>342</v>
      </c>
      <c r="D147" s="37" t="s">
        <v>343</v>
      </c>
      <c r="E147" s="28" t="s">
        <v>344</v>
      </c>
      <c r="F147" s="31"/>
      <c r="G147" s="34">
        <v>1.0</v>
      </c>
      <c r="H147" s="34">
        <v>99.0</v>
      </c>
      <c r="I147" s="34"/>
      <c r="J147" s="34"/>
      <c r="K147" s="34"/>
      <c r="L147" s="34"/>
      <c r="M147" s="34"/>
      <c r="N147" s="34"/>
      <c r="O147" s="34"/>
      <c r="P147" s="34"/>
      <c r="Q147" s="34"/>
      <c r="R147" s="34"/>
      <c r="S147" s="34"/>
      <c r="T147" s="34"/>
      <c r="U147" s="34"/>
      <c r="V147" s="34"/>
    </row>
    <row r="148">
      <c r="A148" s="37">
        <v>74.0</v>
      </c>
      <c r="B148" s="37">
        <v>1.0</v>
      </c>
      <c r="C148" s="37" t="s">
        <v>345</v>
      </c>
      <c r="D148" s="37" t="s">
        <v>346</v>
      </c>
      <c r="E148" s="28" t="s">
        <v>344</v>
      </c>
      <c r="F148" s="31"/>
      <c r="G148" s="34">
        <v>2.0</v>
      </c>
      <c r="H148" s="34" t="s">
        <v>56</v>
      </c>
      <c r="I148" s="34"/>
      <c r="J148" s="34"/>
      <c r="K148" s="34"/>
      <c r="L148" s="34"/>
      <c r="M148" s="34"/>
      <c r="N148" s="34"/>
      <c r="O148" s="34"/>
      <c r="P148" s="34"/>
      <c r="Q148" s="34"/>
      <c r="R148" s="34"/>
      <c r="S148" s="34"/>
      <c r="T148" s="34"/>
      <c r="U148" s="34"/>
      <c r="V148" s="34"/>
    </row>
    <row r="149">
      <c r="A149" s="37">
        <v>75.0</v>
      </c>
      <c r="B149" s="37">
        <v>1.0</v>
      </c>
      <c r="C149" s="37" t="s">
        <v>347</v>
      </c>
      <c r="D149" s="37" t="s">
        <v>348</v>
      </c>
      <c r="E149" s="28" t="s">
        <v>344</v>
      </c>
      <c r="F149" s="31"/>
      <c r="G149" s="34">
        <v>3.0</v>
      </c>
      <c r="H149" s="34" t="s">
        <v>56</v>
      </c>
      <c r="I149" s="34"/>
      <c r="J149" s="34"/>
      <c r="K149" s="34"/>
      <c r="L149" s="34"/>
      <c r="M149" s="34"/>
      <c r="N149" s="34"/>
      <c r="O149" s="34"/>
      <c r="P149" s="34"/>
      <c r="Q149" s="34"/>
      <c r="R149" s="34"/>
      <c r="S149" s="34"/>
      <c r="T149" s="34"/>
      <c r="U149" s="34"/>
      <c r="V149" s="34"/>
    </row>
    <row r="150">
      <c r="A150" s="37">
        <v>76.0</v>
      </c>
      <c r="B150" s="37">
        <v>1.0</v>
      </c>
      <c r="C150" s="37" t="s">
        <v>61</v>
      </c>
      <c r="D150" s="37" t="s">
        <v>61</v>
      </c>
      <c r="E150" s="28" t="s">
        <v>344</v>
      </c>
      <c r="F150" s="31"/>
      <c r="G150" s="34">
        <v>4.0</v>
      </c>
      <c r="H150" s="34" t="s">
        <v>56</v>
      </c>
      <c r="I150" s="34"/>
      <c r="J150" s="34"/>
      <c r="K150" s="34"/>
      <c r="L150" s="34"/>
      <c r="M150" s="34"/>
      <c r="N150" s="34"/>
      <c r="O150" s="34"/>
      <c r="P150" s="34"/>
      <c r="Q150" s="34"/>
      <c r="R150" s="34"/>
      <c r="S150" s="34"/>
      <c r="T150" s="34"/>
      <c r="U150" s="34"/>
      <c r="V150" s="34"/>
    </row>
    <row r="151">
      <c r="A151" s="37">
        <v>77.0</v>
      </c>
      <c r="B151" s="37">
        <v>1.0</v>
      </c>
      <c r="C151" s="37" t="s">
        <v>349</v>
      </c>
      <c r="D151" s="37" t="s">
        <v>350</v>
      </c>
      <c r="E151" s="28" t="s">
        <v>344</v>
      </c>
      <c r="F151" s="31"/>
      <c r="G151" s="34">
        <v>5.0</v>
      </c>
      <c r="H151" s="34" t="s">
        <v>56</v>
      </c>
      <c r="I151" s="34"/>
      <c r="J151" s="34"/>
      <c r="K151" s="34"/>
      <c r="L151" s="34"/>
      <c r="M151" s="34"/>
      <c r="N151" s="34"/>
      <c r="O151" s="34"/>
      <c r="P151" s="34"/>
      <c r="Q151" s="34"/>
      <c r="R151" s="34"/>
      <c r="S151" s="34"/>
      <c r="T151" s="34"/>
      <c r="U151" s="34"/>
      <c r="V151" s="34"/>
    </row>
    <row r="152">
      <c r="A152" s="37">
        <v>77.0</v>
      </c>
      <c r="B152" s="37">
        <v>2.0</v>
      </c>
      <c r="C152" s="31"/>
      <c r="D152" s="37" t="s">
        <v>351</v>
      </c>
      <c r="E152" s="37" t="s">
        <v>352</v>
      </c>
      <c r="F152" s="31"/>
      <c r="G152" s="34">
        <v>1.0</v>
      </c>
      <c r="H152" s="34">
        <v>100.0</v>
      </c>
      <c r="I152" s="34"/>
      <c r="J152" s="34"/>
      <c r="K152" s="34"/>
      <c r="L152" s="34"/>
      <c r="M152" s="34"/>
      <c r="N152" s="34"/>
      <c r="O152" s="34"/>
      <c r="P152" s="34"/>
      <c r="Q152" s="34"/>
      <c r="R152" s="34"/>
      <c r="S152" s="34"/>
      <c r="T152" s="34"/>
      <c r="U152" s="34"/>
      <c r="V152" s="34"/>
    </row>
    <row r="153">
      <c r="A153" s="37">
        <v>78.0</v>
      </c>
      <c r="B153" s="37">
        <v>1.0</v>
      </c>
      <c r="C153" s="37" t="s">
        <v>353</v>
      </c>
      <c r="D153" s="37" t="s">
        <v>354</v>
      </c>
      <c r="E153" s="37" t="s">
        <v>355</v>
      </c>
      <c r="F153" s="31"/>
      <c r="G153" s="34">
        <v>1.0</v>
      </c>
      <c r="H153" s="34">
        <v>101.0</v>
      </c>
      <c r="I153" s="34"/>
      <c r="J153" s="34"/>
      <c r="K153" s="34"/>
      <c r="L153" s="34"/>
      <c r="M153" s="34"/>
      <c r="N153" s="34"/>
      <c r="O153" s="34"/>
      <c r="P153" s="34"/>
      <c r="Q153" s="34"/>
      <c r="R153" s="34"/>
      <c r="S153" s="34"/>
      <c r="T153" s="34"/>
      <c r="U153" s="34"/>
      <c r="V153" s="34"/>
    </row>
    <row r="154">
      <c r="A154" s="37">
        <v>79.0</v>
      </c>
      <c r="B154" s="37">
        <v>1.0</v>
      </c>
      <c r="C154" s="37" t="s">
        <v>356</v>
      </c>
      <c r="D154" s="37" t="s">
        <v>357</v>
      </c>
      <c r="E154" s="28" t="s">
        <v>355</v>
      </c>
      <c r="F154" s="31"/>
      <c r="G154" s="34">
        <v>2.0</v>
      </c>
      <c r="H154" s="34" t="s">
        <v>56</v>
      </c>
      <c r="I154" s="34"/>
      <c r="J154" s="34"/>
      <c r="K154" s="34"/>
      <c r="L154" s="34"/>
      <c r="M154" s="34"/>
      <c r="N154" s="34"/>
      <c r="O154" s="34"/>
      <c r="P154" s="34"/>
      <c r="Q154" s="34"/>
      <c r="R154" s="34"/>
      <c r="S154" s="34"/>
      <c r="T154" s="34"/>
      <c r="U154" s="34"/>
      <c r="V154" s="34"/>
    </row>
    <row r="155">
      <c r="A155" s="37">
        <v>79.0</v>
      </c>
      <c r="B155" s="37">
        <v>2.0</v>
      </c>
      <c r="C155" s="31"/>
      <c r="D155" s="37" t="s">
        <v>358</v>
      </c>
      <c r="E155" s="37" t="s">
        <v>359</v>
      </c>
      <c r="F155" s="31"/>
      <c r="G155" s="34">
        <v>1.0</v>
      </c>
      <c r="H155" s="34">
        <v>102.0</v>
      </c>
      <c r="I155" s="34"/>
      <c r="J155" s="34"/>
      <c r="K155" s="34"/>
      <c r="L155" s="34"/>
      <c r="M155" s="34"/>
      <c r="N155" s="34"/>
      <c r="O155" s="34"/>
      <c r="P155" s="34"/>
      <c r="Q155" s="34"/>
      <c r="R155" s="34"/>
      <c r="S155" s="34"/>
      <c r="T155" s="34"/>
      <c r="U155" s="34"/>
      <c r="V155" s="34"/>
    </row>
    <row r="156">
      <c r="A156" s="37">
        <v>79.0</v>
      </c>
      <c r="B156" s="37">
        <v>3.0</v>
      </c>
      <c r="C156" s="31"/>
      <c r="D156" s="37" t="s">
        <v>360</v>
      </c>
      <c r="E156" s="28" t="s">
        <v>355</v>
      </c>
      <c r="F156" s="31"/>
      <c r="G156" s="34">
        <v>3.0</v>
      </c>
      <c r="H156" s="34" t="s">
        <v>56</v>
      </c>
      <c r="I156" s="34"/>
      <c r="J156" s="34"/>
      <c r="K156" s="34"/>
      <c r="L156" s="34"/>
      <c r="M156" s="34"/>
      <c r="N156" s="34"/>
      <c r="O156" s="34"/>
      <c r="P156" s="34"/>
      <c r="Q156" s="34"/>
      <c r="R156" s="34"/>
      <c r="S156" s="34"/>
      <c r="T156" s="34"/>
      <c r="U156" s="34"/>
      <c r="V156" s="34"/>
    </row>
    <row r="157">
      <c r="A157" s="37">
        <v>79.0</v>
      </c>
      <c r="B157" s="37">
        <v>4.0</v>
      </c>
      <c r="C157" s="31"/>
      <c r="D157" s="37" t="s">
        <v>361</v>
      </c>
      <c r="E157" s="37" t="s">
        <v>362</v>
      </c>
      <c r="F157" s="31"/>
      <c r="G157" s="34">
        <v>1.0</v>
      </c>
      <c r="H157" s="34">
        <v>103.0</v>
      </c>
      <c r="I157" s="34"/>
      <c r="J157" s="34"/>
      <c r="K157" s="34"/>
      <c r="L157" s="34"/>
      <c r="M157" s="34"/>
      <c r="N157" s="34"/>
      <c r="O157" s="34"/>
      <c r="P157" s="34"/>
      <c r="Q157" s="34"/>
      <c r="R157" s="34"/>
      <c r="S157" s="34"/>
      <c r="T157" s="34"/>
      <c r="U157" s="34"/>
      <c r="V157" s="34"/>
    </row>
    <row r="158">
      <c r="A158" s="37">
        <v>80.0</v>
      </c>
      <c r="B158" s="37">
        <v>1.0</v>
      </c>
      <c r="C158" s="37" t="s">
        <v>363</v>
      </c>
      <c r="D158" s="37" t="s">
        <v>364</v>
      </c>
      <c r="E158" s="37" t="s">
        <v>113</v>
      </c>
      <c r="F158" s="37"/>
      <c r="G158" s="34">
        <v>2.0</v>
      </c>
      <c r="H158" s="34" t="s">
        <v>56</v>
      </c>
      <c r="I158" s="34"/>
      <c r="J158" s="34"/>
      <c r="K158" s="34"/>
      <c r="L158" s="34"/>
      <c r="M158" s="34"/>
      <c r="N158" s="34"/>
      <c r="O158" s="34"/>
      <c r="P158" s="34"/>
      <c r="Q158" s="34"/>
      <c r="R158" s="34"/>
      <c r="S158" s="34"/>
      <c r="T158" s="34"/>
      <c r="U158" s="34"/>
      <c r="V158" s="34"/>
    </row>
    <row r="159">
      <c r="A159" s="37">
        <v>80.0</v>
      </c>
      <c r="B159" s="37">
        <v>2.0</v>
      </c>
      <c r="C159" s="31"/>
      <c r="D159" s="37" t="s">
        <v>365</v>
      </c>
      <c r="E159" s="37" t="s">
        <v>366</v>
      </c>
      <c r="F159" s="31"/>
      <c r="G159" s="34">
        <v>1.0</v>
      </c>
      <c r="H159" s="34">
        <v>104.0</v>
      </c>
      <c r="I159" s="34"/>
      <c r="J159" s="34"/>
      <c r="K159" s="34"/>
      <c r="L159" s="34"/>
      <c r="M159" s="34"/>
      <c r="N159" s="34"/>
      <c r="O159" s="34"/>
      <c r="P159" s="34"/>
      <c r="Q159" s="34"/>
      <c r="R159" s="34"/>
      <c r="S159" s="34"/>
      <c r="T159" s="34"/>
      <c r="U159" s="34"/>
      <c r="V159" s="34"/>
    </row>
    <row r="160">
      <c r="A160" s="37">
        <v>80.0</v>
      </c>
      <c r="B160" s="37">
        <v>3.0</v>
      </c>
      <c r="C160" s="31"/>
      <c r="D160" s="37" t="s">
        <v>367</v>
      </c>
      <c r="E160" s="28" t="s">
        <v>344</v>
      </c>
      <c r="F160" s="37"/>
      <c r="G160" s="34">
        <v>6.0</v>
      </c>
      <c r="H160" s="34" t="s">
        <v>56</v>
      </c>
      <c r="I160" s="34"/>
      <c r="J160" s="34"/>
      <c r="K160" s="34"/>
      <c r="L160" s="34"/>
      <c r="M160" s="34"/>
      <c r="N160" s="34"/>
      <c r="O160" s="34"/>
      <c r="P160" s="34"/>
      <c r="Q160" s="34"/>
      <c r="R160" s="34"/>
      <c r="S160" s="34"/>
      <c r="T160" s="34"/>
      <c r="U160" s="34"/>
      <c r="V160" s="34"/>
    </row>
    <row r="161">
      <c r="A161" s="37">
        <v>81.0</v>
      </c>
      <c r="B161" s="37">
        <v>1.0</v>
      </c>
      <c r="C161" s="37" t="s">
        <v>368</v>
      </c>
      <c r="D161" s="37" t="s">
        <v>369</v>
      </c>
      <c r="E161" s="37" t="s">
        <v>370</v>
      </c>
      <c r="F161" s="31"/>
      <c r="G161" s="34">
        <v>1.0</v>
      </c>
      <c r="H161" s="34">
        <v>105.0</v>
      </c>
      <c r="I161" s="34"/>
      <c r="J161" s="34"/>
      <c r="K161" s="34"/>
      <c r="L161" s="34"/>
      <c r="M161" s="34"/>
      <c r="N161" s="34"/>
      <c r="O161" s="34"/>
      <c r="P161" s="34"/>
      <c r="Q161" s="34"/>
      <c r="R161" s="34"/>
      <c r="S161" s="34"/>
      <c r="T161" s="34"/>
      <c r="U161" s="34"/>
      <c r="V161" s="34"/>
    </row>
    <row r="162">
      <c r="A162" s="37">
        <v>81.0</v>
      </c>
      <c r="B162" s="37">
        <v>2.0</v>
      </c>
      <c r="C162" s="31"/>
      <c r="D162" s="37" t="s">
        <v>371</v>
      </c>
      <c r="E162" s="37" t="s">
        <v>372</v>
      </c>
      <c r="F162" s="31"/>
      <c r="G162" s="34">
        <v>1.0</v>
      </c>
      <c r="H162" s="34">
        <v>106.0</v>
      </c>
      <c r="I162" s="34"/>
      <c r="J162" s="34"/>
      <c r="K162" s="34"/>
      <c r="L162" s="34"/>
      <c r="M162" s="34"/>
      <c r="N162" s="34"/>
      <c r="O162" s="34"/>
      <c r="P162" s="34"/>
      <c r="Q162" s="34"/>
      <c r="R162" s="34"/>
      <c r="S162" s="34"/>
      <c r="T162" s="34"/>
      <c r="U162" s="34"/>
      <c r="V162" s="34"/>
    </row>
    <row r="163">
      <c r="A163" s="37">
        <v>81.0</v>
      </c>
      <c r="B163" s="37">
        <v>3.0</v>
      </c>
      <c r="C163" s="31"/>
      <c r="D163" s="28" t="s">
        <v>373</v>
      </c>
      <c r="E163" s="37" t="s">
        <v>374</v>
      </c>
      <c r="F163" s="31"/>
      <c r="G163" s="34">
        <v>1.0</v>
      </c>
      <c r="H163" s="34">
        <v>107.0</v>
      </c>
      <c r="I163" s="34"/>
      <c r="J163" s="34"/>
      <c r="K163" s="34"/>
      <c r="L163" s="34"/>
      <c r="M163" s="34"/>
      <c r="N163" s="34"/>
      <c r="O163" s="34"/>
      <c r="P163" s="34"/>
      <c r="Q163" s="34"/>
      <c r="R163" s="34"/>
      <c r="S163" s="34"/>
      <c r="T163" s="34"/>
      <c r="U163" s="34"/>
      <c r="V163" s="34"/>
    </row>
    <row r="164">
      <c r="A164" s="37">
        <v>82.0</v>
      </c>
      <c r="B164" s="37">
        <v>1.0</v>
      </c>
      <c r="C164" s="37" t="s">
        <v>375</v>
      </c>
      <c r="D164" s="37" t="s">
        <v>376</v>
      </c>
      <c r="E164" s="28" t="s">
        <v>370</v>
      </c>
      <c r="F164" s="31"/>
      <c r="G164" s="34">
        <v>2.0</v>
      </c>
      <c r="H164" s="34" t="s">
        <v>56</v>
      </c>
      <c r="I164" s="34"/>
      <c r="J164" s="34"/>
      <c r="K164" s="34"/>
      <c r="L164" s="34"/>
      <c r="M164" s="34"/>
      <c r="N164" s="34"/>
      <c r="O164" s="34"/>
      <c r="P164" s="34"/>
      <c r="Q164" s="34"/>
      <c r="R164" s="34"/>
      <c r="S164" s="34"/>
      <c r="T164" s="34"/>
      <c r="U164" s="34"/>
      <c r="V164" s="34"/>
    </row>
    <row r="165">
      <c r="A165" s="37">
        <v>83.0</v>
      </c>
      <c r="B165" s="37">
        <v>1.0</v>
      </c>
      <c r="C165" s="37" t="s">
        <v>377</v>
      </c>
      <c r="D165" s="37" t="s">
        <v>378</v>
      </c>
      <c r="E165" s="37" t="s">
        <v>277</v>
      </c>
      <c r="F165" s="37"/>
      <c r="G165" s="34">
        <v>2.0</v>
      </c>
      <c r="H165" s="34" t="s">
        <v>56</v>
      </c>
      <c r="I165" s="34"/>
      <c r="J165" s="34"/>
      <c r="K165" s="34"/>
      <c r="L165" s="34"/>
      <c r="M165" s="34"/>
      <c r="N165" s="34"/>
      <c r="O165" s="34"/>
      <c r="P165" s="34"/>
      <c r="Q165" s="34"/>
      <c r="R165" s="34"/>
      <c r="S165" s="34"/>
      <c r="T165" s="34"/>
      <c r="U165" s="34"/>
      <c r="V165" s="34"/>
    </row>
    <row r="166">
      <c r="A166" s="37">
        <v>83.0</v>
      </c>
      <c r="B166" s="37">
        <v>2.0</v>
      </c>
      <c r="C166" s="31"/>
      <c r="D166" s="37" t="s">
        <v>379</v>
      </c>
      <c r="E166" s="37" t="s">
        <v>380</v>
      </c>
      <c r="F166" s="31"/>
      <c r="G166" s="34">
        <v>1.0</v>
      </c>
      <c r="H166" s="34">
        <v>108.0</v>
      </c>
      <c r="I166" s="34"/>
      <c r="J166" s="34"/>
      <c r="K166" s="34"/>
      <c r="L166" s="34"/>
      <c r="M166" s="34"/>
      <c r="N166" s="34"/>
      <c r="O166" s="34"/>
      <c r="P166" s="34"/>
      <c r="Q166" s="34"/>
      <c r="R166" s="34"/>
      <c r="S166" s="34"/>
      <c r="T166" s="34"/>
      <c r="U166" s="34"/>
      <c r="V166" s="34"/>
    </row>
    <row r="167">
      <c r="A167" s="37">
        <v>83.0</v>
      </c>
      <c r="B167" s="37">
        <v>3.0</v>
      </c>
      <c r="C167" s="31"/>
      <c r="D167" s="37" t="s">
        <v>381</v>
      </c>
      <c r="E167" s="37" t="s">
        <v>279</v>
      </c>
      <c r="F167" s="37"/>
      <c r="G167" s="34">
        <v>2.0</v>
      </c>
      <c r="H167" s="34" t="s">
        <v>56</v>
      </c>
      <c r="I167" s="34"/>
      <c r="J167" s="34"/>
      <c r="K167" s="34"/>
      <c r="L167" s="34"/>
      <c r="M167" s="34"/>
      <c r="N167" s="34"/>
      <c r="O167" s="34"/>
      <c r="P167" s="34"/>
      <c r="Q167" s="34"/>
      <c r="R167" s="34"/>
      <c r="S167" s="34"/>
      <c r="T167" s="34"/>
      <c r="U167" s="34"/>
      <c r="V167" s="34"/>
    </row>
    <row r="168">
      <c r="A168" s="37">
        <v>84.0</v>
      </c>
      <c r="B168" s="37">
        <v>1.0</v>
      </c>
      <c r="C168" s="37" t="s">
        <v>382</v>
      </c>
      <c r="D168" s="37" t="s">
        <v>383</v>
      </c>
      <c r="E168" s="37" t="s">
        <v>384</v>
      </c>
      <c r="F168" s="31"/>
      <c r="G168" s="34">
        <v>1.0</v>
      </c>
      <c r="H168" s="34">
        <v>109.0</v>
      </c>
      <c r="I168" s="34"/>
      <c r="J168" s="34"/>
      <c r="K168" s="34"/>
      <c r="L168" s="34"/>
      <c r="M168" s="34"/>
      <c r="N168" s="34"/>
      <c r="O168" s="34"/>
      <c r="P168" s="34"/>
      <c r="Q168" s="34"/>
      <c r="R168" s="34"/>
      <c r="S168" s="34"/>
      <c r="T168" s="34"/>
      <c r="U168" s="34"/>
      <c r="V168" s="34"/>
    </row>
    <row r="169">
      <c r="A169" s="37">
        <v>84.0</v>
      </c>
      <c r="B169" s="37">
        <v>2.0</v>
      </c>
      <c r="C169" s="31"/>
      <c r="D169" s="37" t="s">
        <v>385</v>
      </c>
      <c r="E169" s="37" t="s">
        <v>362</v>
      </c>
      <c r="F169" s="31"/>
      <c r="G169" s="34">
        <v>2.0</v>
      </c>
      <c r="H169" s="34" t="s">
        <v>56</v>
      </c>
      <c r="I169" s="34"/>
      <c r="J169" s="34"/>
      <c r="K169" s="34"/>
      <c r="L169" s="34"/>
      <c r="M169" s="34"/>
      <c r="N169" s="34"/>
      <c r="O169" s="34"/>
      <c r="P169" s="34"/>
      <c r="Q169" s="34"/>
      <c r="R169" s="34"/>
      <c r="S169" s="34"/>
      <c r="T169" s="34"/>
      <c r="U169" s="34"/>
      <c r="V169" s="34"/>
    </row>
    <row r="170">
      <c r="A170" s="37">
        <v>85.0</v>
      </c>
      <c r="B170" s="37">
        <v>1.0</v>
      </c>
      <c r="C170" s="37" t="s">
        <v>386</v>
      </c>
      <c r="D170" s="37" t="s">
        <v>387</v>
      </c>
      <c r="E170" s="28" t="s">
        <v>184</v>
      </c>
      <c r="F170" s="37"/>
      <c r="G170" s="34">
        <v>3.0</v>
      </c>
      <c r="H170" s="34" t="s">
        <v>56</v>
      </c>
      <c r="I170" s="34"/>
      <c r="J170" s="34"/>
      <c r="K170" s="34"/>
      <c r="L170" s="34"/>
      <c r="M170" s="34"/>
      <c r="N170" s="34"/>
      <c r="O170" s="34"/>
      <c r="P170" s="34"/>
      <c r="Q170" s="34"/>
      <c r="R170" s="34"/>
      <c r="S170" s="34"/>
      <c r="T170" s="34"/>
      <c r="U170" s="34"/>
      <c r="V170" s="34"/>
    </row>
    <row r="171">
      <c r="A171" s="37">
        <v>86.0</v>
      </c>
      <c r="B171" s="37">
        <v>1.0</v>
      </c>
      <c r="C171" s="37" t="s">
        <v>388</v>
      </c>
      <c r="D171" s="37" t="s">
        <v>389</v>
      </c>
      <c r="E171" s="28" t="s">
        <v>370</v>
      </c>
      <c r="F171" s="37"/>
      <c r="G171" s="34">
        <v>3.0</v>
      </c>
      <c r="H171" s="34" t="s">
        <v>56</v>
      </c>
      <c r="I171" s="34"/>
      <c r="J171" s="34"/>
      <c r="K171" s="34"/>
      <c r="L171" s="34"/>
      <c r="M171" s="34"/>
      <c r="N171" s="34"/>
      <c r="O171" s="34"/>
      <c r="P171" s="34"/>
      <c r="Q171" s="34"/>
      <c r="R171" s="34"/>
      <c r="S171" s="34"/>
      <c r="T171" s="34"/>
      <c r="U171" s="34"/>
      <c r="V171" s="34"/>
    </row>
    <row r="172">
      <c r="A172" s="37">
        <v>87.0</v>
      </c>
      <c r="B172" s="37">
        <v>1.0</v>
      </c>
      <c r="C172" s="37" t="s">
        <v>390</v>
      </c>
      <c r="D172" s="37" t="s">
        <v>391</v>
      </c>
      <c r="E172" s="28" t="s">
        <v>370</v>
      </c>
      <c r="F172" s="31"/>
      <c r="G172" s="34">
        <v>4.0</v>
      </c>
      <c r="H172" s="34" t="s">
        <v>56</v>
      </c>
      <c r="I172" s="34"/>
      <c r="J172" s="34"/>
      <c r="K172" s="34"/>
      <c r="L172" s="34"/>
      <c r="M172" s="34"/>
      <c r="N172" s="34"/>
      <c r="O172" s="34"/>
      <c r="P172" s="34"/>
      <c r="Q172" s="34"/>
      <c r="R172" s="34"/>
      <c r="S172" s="34"/>
      <c r="T172" s="34"/>
      <c r="U172" s="34"/>
      <c r="V172" s="34"/>
    </row>
    <row r="173">
      <c r="A173" s="37">
        <v>87.0</v>
      </c>
      <c r="B173" s="37">
        <v>2.0</v>
      </c>
      <c r="C173" s="31"/>
      <c r="D173" s="37" t="s">
        <v>392</v>
      </c>
      <c r="E173" s="37" t="s">
        <v>393</v>
      </c>
      <c r="F173" s="31"/>
      <c r="G173" s="34">
        <v>1.0</v>
      </c>
      <c r="H173" s="34">
        <v>110.0</v>
      </c>
      <c r="I173" s="34"/>
      <c r="J173" s="34"/>
      <c r="K173" s="34"/>
      <c r="L173" s="34"/>
      <c r="M173" s="34"/>
      <c r="N173" s="34"/>
      <c r="O173" s="34"/>
      <c r="P173" s="34"/>
      <c r="Q173" s="34"/>
      <c r="R173" s="34"/>
      <c r="S173" s="34"/>
      <c r="T173" s="34"/>
      <c r="U173" s="34"/>
      <c r="V173" s="34"/>
    </row>
    <row r="174">
      <c r="A174" s="37">
        <v>87.0</v>
      </c>
      <c r="B174" s="37">
        <v>3.0</v>
      </c>
      <c r="C174" s="31"/>
      <c r="D174" s="37" t="s">
        <v>394</v>
      </c>
      <c r="E174" s="28" t="s">
        <v>395</v>
      </c>
      <c r="F174" s="31"/>
      <c r="G174" s="34">
        <v>1.0</v>
      </c>
      <c r="H174" s="34">
        <v>111.0</v>
      </c>
      <c r="I174" s="34"/>
      <c r="J174" s="34"/>
      <c r="K174" s="34"/>
      <c r="L174" s="34"/>
      <c r="M174" s="34"/>
      <c r="N174" s="34"/>
      <c r="O174" s="34"/>
      <c r="P174" s="34"/>
      <c r="Q174" s="34"/>
      <c r="R174" s="34"/>
      <c r="S174" s="34"/>
      <c r="T174" s="34"/>
      <c r="U174" s="34"/>
      <c r="V174" s="34"/>
    </row>
    <row r="175">
      <c r="A175" s="37">
        <v>87.0</v>
      </c>
      <c r="B175" s="37">
        <v>4.0</v>
      </c>
      <c r="C175" s="31"/>
      <c r="D175" s="37" t="s">
        <v>396</v>
      </c>
      <c r="E175" s="28" t="s">
        <v>256</v>
      </c>
      <c r="F175" s="31"/>
      <c r="G175" s="34">
        <v>2.0</v>
      </c>
      <c r="H175" s="34" t="s">
        <v>56</v>
      </c>
      <c r="I175" s="34"/>
      <c r="J175" s="34"/>
      <c r="K175" s="34"/>
      <c r="L175" s="34"/>
      <c r="M175" s="34"/>
      <c r="N175" s="34"/>
      <c r="O175" s="34"/>
      <c r="P175" s="34"/>
      <c r="Q175" s="34"/>
      <c r="R175" s="34"/>
      <c r="S175" s="34"/>
      <c r="T175" s="34"/>
      <c r="U175" s="34"/>
      <c r="V175" s="34"/>
    </row>
    <row r="176">
      <c r="A176" s="37">
        <v>88.0</v>
      </c>
      <c r="B176" s="37">
        <v>1.0</v>
      </c>
      <c r="C176" s="37" t="s">
        <v>397</v>
      </c>
      <c r="D176" s="37" t="s">
        <v>398</v>
      </c>
      <c r="E176" s="28" t="s">
        <v>184</v>
      </c>
      <c r="F176" s="37"/>
      <c r="G176" s="34">
        <v>4.0</v>
      </c>
      <c r="H176" s="34" t="s">
        <v>56</v>
      </c>
      <c r="I176" s="34"/>
      <c r="J176" s="34"/>
      <c r="K176" s="34"/>
      <c r="L176" s="34"/>
      <c r="M176" s="34"/>
      <c r="N176" s="34"/>
      <c r="O176" s="34"/>
      <c r="P176" s="34"/>
      <c r="Q176" s="34"/>
      <c r="R176" s="34"/>
      <c r="S176" s="34"/>
      <c r="T176" s="34"/>
      <c r="U176" s="34"/>
      <c r="V176" s="34"/>
    </row>
    <row r="177">
      <c r="A177" s="37">
        <v>89.0</v>
      </c>
      <c r="B177" s="37">
        <v>1.0</v>
      </c>
      <c r="C177" s="37" t="s">
        <v>399</v>
      </c>
      <c r="D177" s="37" t="s">
        <v>400</v>
      </c>
      <c r="E177" s="28" t="s">
        <v>96</v>
      </c>
      <c r="F177" s="31"/>
      <c r="G177" s="34">
        <v>2.0</v>
      </c>
      <c r="H177" s="34" t="s">
        <v>56</v>
      </c>
      <c r="I177" s="34"/>
      <c r="J177" s="34"/>
      <c r="K177" s="34"/>
      <c r="L177" s="34"/>
      <c r="M177" s="34"/>
      <c r="N177" s="34"/>
      <c r="O177" s="34"/>
      <c r="P177" s="34"/>
      <c r="Q177" s="34"/>
      <c r="R177" s="34"/>
      <c r="S177" s="34"/>
      <c r="T177" s="34"/>
      <c r="U177" s="34"/>
      <c r="V177" s="34"/>
    </row>
    <row r="178">
      <c r="A178" s="37">
        <v>90.0</v>
      </c>
      <c r="B178" s="37">
        <v>1.0</v>
      </c>
      <c r="C178" s="37" t="s">
        <v>401</v>
      </c>
      <c r="D178" s="37" t="s">
        <v>402</v>
      </c>
      <c r="E178" s="28" t="s">
        <v>96</v>
      </c>
      <c r="F178" s="31"/>
      <c r="G178" s="34">
        <v>3.0</v>
      </c>
      <c r="H178" s="34" t="s">
        <v>56</v>
      </c>
      <c r="I178" s="34"/>
      <c r="J178" s="34"/>
      <c r="K178" s="34"/>
      <c r="L178" s="34"/>
      <c r="M178" s="34"/>
      <c r="N178" s="34"/>
      <c r="O178" s="34"/>
      <c r="P178" s="34"/>
      <c r="Q178" s="34"/>
      <c r="R178" s="34"/>
      <c r="S178" s="34"/>
      <c r="T178" s="34"/>
      <c r="U178" s="34"/>
      <c r="V178" s="34"/>
    </row>
    <row r="179">
      <c r="A179" s="37">
        <v>91.0</v>
      </c>
      <c r="B179" s="37">
        <v>1.0</v>
      </c>
      <c r="C179" s="37" t="s">
        <v>403</v>
      </c>
      <c r="D179" s="37" t="s">
        <v>404</v>
      </c>
      <c r="E179" s="28" t="s">
        <v>96</v>
      </c>
      <c r="F179" s="31"/>
      <c r="G179" s="34">
        <v>4.0</v>
      </c>
      <c r="H179" s="34" t="s">
        <v>56</v>
      </c>
      <c r="I179" s="34"/>
      <c r="J179" s="34"/>
      <c r="K179" s="34"/>
      <c r="L179" s="34"/>
      <c r="M179" s="34"/>
      <c r="N179" s="34"/>
      <c r="O179" s="34"/>
      <c r="P179" s="34"/>
      <c r="Q179" s="34"/>
      <c r="R179" s="34"/>
      <c r="S179" s="34"/>
      <c r="T179" s="34"/>
      <c r="U179" s="34"/>
      <c r="V179" s="34"/>
    </row>
    <row r="180">
      <c r="A180" s="37">
        <v>92.0</v>
      </c>
      <c r="B180" s="37">
        <v>1.0</v>
      </c>
      <c r="C180" s="37" t="s">
        <v>405</v>
      </c>
      <c r="D180" s="37" t="s">
        <v>406</v>
      </c>
      <c r="E180" s="37" t="s">
        <v>407</v>
      </c>
      <c r="F180" s="31"/>
      <c r="G180" s="34">
        <v>1.0</v>
      </c>
      <c r="H180" s="34">
        <v>112.0</v>
      </c>
      <c r="I180" s="34"/>
      <c r="J180" s="34"/>
      <c r="K180" s="34"/>
      <c r="L180" s="34"/>
      <c r="M180" s="34"/>
      <c r="N180" s="34"/>
      <c r="O180" s="34"/>
      <c r="P180" s="34"/>
      <c r="Q180" s="34"/>
      <c r="R180" s="34"/>
      <c r="S180" s="34"/>
      <c r="T180" s="34"/>
      <c r="U180" s="34"/>
      <c r="V180" s="34"/>
    </row>
    <row r="181">
      <c r="A181" s="37">
        <v>92.0</v>
      </c>
      <c r="B181" s="37">
        <v>2.0</v>
      </c>
      <c r="C181" s="31"/>
      <c r="D181" s="37" t="s">
        <v>408</v>
      </c>
      <c r="E181" s="37" t="s">
        <v>96</v>
      </c>
      <c r="F181" s="37"/>
      <c r="G181" s="34">
        <v>5.0</v>
      </c>
      <c r="H181" s="34" t="s">
        <v>56</v>
      </c>
      <c r="I181" s="34"/>
      <c r="J181" s="34"/>
      <c r="K181" s="34"/>
      <c r="L181" s="34"/>
      <c r="M181" s="34"/>
      <c r="N181" s="34"/>
      <c r="O181" s="34"/>
      <c r="P181" s="34"/>
      <c r="Q181" s="34"/>
      <c r="R181" s="34"/>
      <c r="S181" s="34"/>
      <c r="T181" s="34"/>
      <c r="U181" s="34"/>
      <c r="V181" s="34"/>
    </row>
    <row r="182">
      <c r="A182" s="37">
        <v>93.0</v>
      </c>
      <c r="B182" s="37">
        <v>1.0</v>
      </c>
      <c r="C182" s="37" t="s">
        <v>409</v>
      </c>
      <c r="D182" s="37" t="s">
        <v>410</v>
      </c>
      <c r="E182" s="28" t="s">
        <v>96</v>
      </c>
      <c r="F182" s="31"/>
      <c r="G182" s="34">
        <v>6.0</v>
      </c>
      <c r="H182" s="34" t="s">
        <v>56</v>
      </c>
      <c r="I182" s="34"/>
      <c r="J182" s="34"/>
      <c r="K182" s="34"/>
      <c r="L182" s="34"/>
      <c r="M182" s="34"/>
      <c r="N182" s="34"/>
      <c r="O182" s="34"/>
      <c r="P182" s="34"/>
      <c r="Q182" s="34"/>
      <c r="R182" s="34"/>
      <c r="S182" s="34"/>
      <c r="T182" s="34"/>
      <c r="U182" s="34"/>
      <c r="V182" s="34"/>
    </row>
    <row r="183">
      <c r="A183" s="37">
        <v>93.0</v>
      </c>
      <c r="B183" s="37">
        <v>2.0</v>
      </c>
      <c r="C183" s="31"/>
      <c r="D183" s="28" t="s">
        <v>411</v>
      </c>
      <c r="E183" s="28" t="s">
        <v>412</v>
      </c>
      <c r="F183" s="31"/>
      <c r="G183" s="34">
        <v>1.0</v>
      </c>
      <c r="H183" s="34">
        <v>113.0</v>
      </c>
      <c r="I183" s="34"/>
      <c r="J183" s="34"/>
      <c r="K183" s="34"/>
      <c r="L183" s="34"/>
      <c r="M183" s="34"/>
      <c r="N183" s="34"/>
      <c r="O183" s="34"/>
      <c r="P183" s="34"/>
      <c r="Q183" s="34"/>
      <c r="R183" s="34"/>
      <c r="S183" s="34"/>
      <c r="T183" s="34"/>
      <c r="U183" s="34"/>
      <c r="V183" s="34"/>
    </row>
    <row r="184">
      <c r="A184" s="37">
        <v>93.0</v>
      </c>
      <c r="B184" s="37">
        <v>3.0</v>
      </c>
      <c r="C184" s="31"/>
      <c r="D184" s="37" t="s">
        <v>413</v>
      </c>
      <c r="E184" s="28" t="s">
        <v>414</v>
      </c>
      <c r="F184" s="31"/>
      <c r="G184" s="34">
        <v>7.0</v>
      </c>
      <c r="H184" s="34" t="s">
        <v>56</v>
      </c>
      <c r="I184" s="34"/>
      <c r="J184" s="34"/>
      <c r="K184" s="34"/>
      <c r="L184" s="34"/>
      <c r="M184" s="34"/>
      <c r="N184" s="34"/>
      <c r="O184" s="34"/>
      <c r="P184" s="34"/>
      <c r="Q184" s="34"/>
      <c r="R184" s="34"/>
      <c r="S184" s="34"/>
      <c r="T184" s="34"/>
      <c r="U184" s="34"/>
      <c r="V184" s="34"/>
    </row>
    <row r="185">
      <c r="A185" s="37">
        <v>94.0</v>
      </c>
      <c r="B185" s="37">
        <v>1.0</v>
      </c>
      <c r="C185" s="28" t="s">
        <v>415</v>
      </c>
      <c r="D185" s="37" t="s">
        <v>416</v>
      </c>
      <c r="E185" s="28" t="s">
        <v>182</v>
      </c>
      <c r="F185" s="37"/>
      <c r="G185" s="34">
        <v>2.0</v>
      </c>
      <c r="H185" s="34" t="s">
        <v>56</v>
      </c>
      <c r="I185" s="34"/>
      <c r="J185" s="34"/>
      <c r="K185" s="34"/>
      <c r="L185" s="34"/>
      <c r="M185" s="34"/>
      <c r="N185" s="34"/>
      <c r="O185" s="34"/>
      <c r="P185" s="34"/>
      <c r="Q185" s="34"/>
      <c r="R185" s="34"/>
      <c r="S185" s="34"/>
      <c r="T185" s="34"/>
      <c r="U185" s="34"/>
      <c r="V185" s="34"/>
    </row>
    <row r="186">
      <c r="A186" s="37">
        <v>94.0</v>
      </c>
      <c r="B186" s="37">
        <v>2.0</v>
      </c>
      <c r="C186" s="31"/>
      <c r="D186" s="37" t="s">
        <v>417</v>
      </c>
      <c r="E186" s="37" t="s">
        <v>418</v>
      </c>
      <c r="F186" s="31"/>
      <c r="G186" s="34">
        <v>1.0</v>
      </c>
      <c r="H186" s="34">
        <v>114.0</v>
      </c>
      <c r="I186" s="34"/>
      <c r="J186" s="34"/>
      <c r="K186" s="34"/>
      <c r="L186" s="34"/>
      <c r="M186" s="34"/>
      <c r="N186" s="34"/>
      <c r="O186" s="34"/>
      <c r="P186" s="34"/>
      <c r="Q186" s="34"/>
      <c r="R186" s="34"/>
      <c r="S186" s="34"/>
      <c r="T186" s="34"/>
      <c r="U186" s="34"/>
      <c r="V186" s="34"/>
    </row>
    <row r="187">
      <c r="A187" s="37">
        <v>95.0</v>
      </c>
      <c r="B187" s="37">
        <v>1.0</v>
      </c>
      <c r="C187" s="28" t="s">
        <v>419</v>
      </c>
      <c r="D187" s="37" t="s">
        <v>420</v>
      </c>
      <c r="E187" s="37" t="s">
        <v>421</v>
      </c>
      <c r="F187" s="31"/>
      <c r="G187" s="34">
        <v>1.0</v>
      </c>
      <c r="H187" s="34">
        <v>115.0</v>
      </c>
      <c r="I187" s="34"/>
      <c r="J187" s="34"/>
      <c r="K187" s="34"/>
      <c r="L187" s="34"/>
      <c r="M187" s="34"/>
      <c r="N187" s="34"/>
      <c r="O187" s="34"/>
      <c r="P187" s="34"/>
      <c r="Q187" s="34"/>
      <c r="R187" s="34"/>
      <c r="S187" s="34"/>
      <c r="T187" s="34"/>
      <c r="U187" s="34"/>
      <c r="V187" s="34"/>
    </row>
    <row r="188">
      <c r="A188" s="37">
        <v>95.0</v>
      </c>
      <c r="B188" s="37">
        <v>2.0</v>
      </c>
      <c r="C188" s="31"/>
      <c r="D188" s="37" t="s">
        <v>422</v>
      </c>
      <c r="E188" s="37" t="s">
        <v>423</v>
      </c>
      <c r="F188" s="31"/>
      <c r="G188" s="34">
        <v>1.0</v>
      </c>
      <c r="H188" s="34">
        <v>116.0</v>
      </c>
      <c r="I188" s="34"/>
      <c r="J188" s="34"/>
      <c r="K188" s="34"/>
      <c r="L188" s="34"/>
      <c r="M188" s="34"/>
      <c r="N188" s="34"/>
      <c r="O188" s="34"/>
      <c r="P188" s="34"/>
      <c r="Q188" s="34"/>
      <c r="R188" s="34"/>
      <c r="S188" s="34"/>
      <c r="T188" s="34"/>
      <c r="U188" s="34"/>
      <c r="V188" s="34"/>
    </row>
    <row r="189">
      <c r="A189" s="37">
        <v>95.0</v>
      </c>
      <c r="B189" s="37">
        <v>3.0</v>
      </c>
      <c r="C189" s="31"/>
      <c r="D189" s="37" t="s">
        <v>424</v>
      </c>
      <c r="E189" s="37" t="s">
        <v>425</v>
      </c>
      <c r="F189" s="31"/>
      <c r="G189" s="34">
        <v>1.0</v>
      </c>
      <c r="H189" s="34">
        <v>117.0</v>
      </c>
      <c r="I189" s="34"/>
      <c r="J189" s="34"/>
      <c r="K189" s="34"/>
      <c r="L189" s="34"/>
      <c r="M189" s="34"/>
      <c r="N189" s="34"/>
      <c r="O189" s="34"/>
      <c r="P189" s="34"/>
      <c r="Q189" s="34"/>
      <c r="R189" s="34"/>
      <c r="S189" s="34"/>
      <c r="T189" s="34"/>
      <c r="U189" s="34"/>
      <c r="V189" s="34"/>
    </row>
    <row r="190">
      <c r="A190" s="37">
        <v>96.0</v>
      </c>
      <c r="B190" s="37">
        <v>1.0</v>
      </c>
      <c r="C190" s="37" t="s">
        <v>426</v>
      </c>
      <c r="D190" s="37" t="s">
        <v>427</v>
      </c>
      <c r="E190" s="37" t="s">
        <v>428</v>
      </c>
      <c r="F190" s="31"/>
      <c r="G190" s="34">
        <v>1.0</v>
      </c>
      <c r="H190" s="34">
        <v>118.0</v>
      </c>
      <c r="I190" s="34"/>
      <c r="J190" s="34"/>
      <c r="K190" s="34"/>
      <c r="L190" s="34"/>
      <c r="M190" s="34"/>
      <c r="N190" s="34"/>
      <c r="O190" s="34"/>
      <c r="P190" s="34"/>
      <c r="Q190" s="34"/>
      <c r="R190" s="34"/>
      <c r="S190" s="34"/>
      <c r="T190" s="34"/>
      <c r="U190" s="34"/>
      <c r="V190" s="34"/>
    </row>
    <row r="191">
      <c r="A191" s="37">
        <v>97.0</v>
      </c>
      <c r="B191" s="37">
        <v>1.0</v>
      </c>
      <c r="C191" s="37" t="s">
        <v>429</v>
      </c>
      <c r="D191" s="37" t="s">
        <v>430</v>
      </c>
      <c r="E191" s="37" t="s">
        <v>258</v>
      </c>
      <c r="F191" s="37"/>
      <c r="G191" s="34">
        <v>4.0</v>
      </c>
      <c r="H191" s="34" t="s">
        <v>56</v>
      </c>
      <c r="I191" s="34"/>
      <c r="J191" s="34"/>
      <c r="K191" s="34"/>
      <c r="L191" s="34"/>
      <c r="M191" s="34"/>
      <c r="N191" s="34"/>
      <c r="O191" s="34"/>
      <c r="P191" s="34"/>
      <c r="Q191" s="34"/>
      <c r="R191" s="34"/>
      <c r="S191" s="34"/>
      <c r="T191" s="34"/>
      <c r="U191" s="34"/>
      <c r="V191" s="34"/>
    </row>
    <row r="192">
      <c r="A192" s="37">
        <v>97.0</v>
      </c>
      <c r="B192" s="37">
        <v>2.0</v>
      </c>
      <c r="C192" s="31"/>
      <c r="D192" s="37" t="s">
        <v>431</v>
      </c>
      <c r="E192" s="28" t="s">
        <v>103</v>
      </c>
      <c r="F192" s="37"/>
      <c r="G192" s="34">
        <v>2.0</v>
      </c>
      <c r="H192" s="34" t="s">
        <v>56</v>
      </c>
      <c r="I192" s="34"/>
      <c r="J192" s="34"/>
      <c r="K192" s="34"/>
      <c r="L192" s="34"/>
      <c r="M192" s="34"/>
      <c r="N192" s="34"/>
      <c r="O192" s="34"/>
      <c r="P192" s="34"/>
      <c r="Q192" s="34"/>
      <c r="R192" s="34"/>
      <c r="S192" s="34"/>
      <c r="T192" s="34"/>
      <c r="U192" s="34"/>
      <c r="V192" s="34"/>
    </row>
    <row r="193">
      <c r="A193" s="37">
        <v>98.0</v>
      </c>
      <c r="B193" s="37">
        <v>1.0</v>
      </c>
      <c r="C193" s="37" t="s">
        <v>432</v>
      </c>
      <c r="D193" s="37" t="s">
        <v>433</v>
      </c>
      <c r="E193" s="37" t="s">
        <v>434</v>
      </c>
      <c r="F193" s="31"/>
      <c r="G193" s="34">
        <v>1.0</v>
      </c>
      <c r="H193" s="34">
        <v>119.0</v>
      </c>
      <c r="I193" s="34"/>
      <c r="J193" s="34"/>
      <c r="K193" s="34"/>
      <c r="L193" s="34"/>
      <c r="M193" s="34"/>
      <c r="N193" s="34"/>
      <c r="O193" s="34"/>
      <c r="P193" s="34"/>
      <c r="Q193" s="34"/>
      <c r="R193" s="34"/>
      <c r="S193" s="34"/>
      <c r="T193" s="34"/>
      <c r="U193" s="34"/>
      <c r="V193" s="34"/>
    </row>
    <row r="194">
      <c r="A194" s="37">
        <v>98.0</v>
      </c>
      <c r="B194" s="37">
        <v>2.0</v>
      </c>
      <c r="C194" s="31"/>
      <c r="D194" s="37" t="s">
        <v>435</v>
      </c>
      <c r="E194" s="37" t="s">
        <v>436</v>
      </c>
      <c r="F194" s="31"/>
      <c r="G194" s="34">
        <v>1.0</v>
      </c>
      <c r="H194" s="34">
        <v>120.0</v>
      </c>
      <c r="I194" s="34"/>
      <c r="J194" s="34"/>
      <c r="K194" s="34"/>
      <c r="L194" s="34"/>
      <c r="M194" s="34"/>
      <c r="N194" s="34"/>
      <c r="O194" s="34"/>
      <c r="P194" s="34"/>
      <c r="Q194" s="34"/>
      <c r="R194" s="34"/>
      <c r="S194" s="34"/>
      <c r="T194" s="34"/>
      <c r="U194" s="34"/>
      <c r="V194" s="34"/>
    </row>
    <row r="195">
      <c r="A195" s="37">
        <v>98.0</v>
      </c>
      <c r="B195" s="37">
        <v>3.0</v>
      </c>
      <c r="C195" s="31"/>
      <c r="D195" s="37" t="s">
        <v>437</v>
      </c>
      <c r="E195" s="37" t="s">
        <v>438</v>
      </c>
      <c r="F195" s="31"/>
      <c r="G195" s="34">
        <v>1.0</v>
      </c>
      <c r="H195" s="34">
        <v>121.0</v>
      </c>
      <c r="I195" s="34"/>
      <c r="J195" s="34"/>
      <c r="K195" s="34"/>
      <c r="L195" s="34"/>
      <c r="M195" s="34"/>
      <c r="N195" s="34"/>
      <c r="O195" s="34"/>
      <c r="P195" s="34"/>
      <c r="Q195" s="34"/>
      <c r="R195" s="34"/>
      <c r="S195" s="34"/>
      <c r="T195" s="34"/>
      <c r="U195" s="34"/>
      <c r="V195" s="34"/>
    </row>
    <row r="196">
      <c r="A196" s="37">
        <v>98.0</v>
      </c>
      <c r="B196" s="37">
        <v>4.0</v>
      </c>
      <c r="C196" s="31"/>
      <c r="D196" s="37" t="s">
        <v>439</v>
      </c>
      <c r="E196" s="37" t="s">
        <v>440</v>
      </c>
      <c r="F196" s="31"/>
      <c r="G196" s="34">
        <v>1.0</v>
      </c>
      <c r="H196" s="34">
        <v>122.0</v>
      </c>
      <c r="I196" s="34"/>
      <c r="J196" s="34"/>
      <c r="K196" s="34"/>
      <c r="L196" s="34"/>
      <c r="M196" s="34"/>
      <c r="N196" s="34"/>
      <c r="O196" s="34"/>
      <c r="P196" s="34"/>
      <c r="Q196" s="34"/>
      <c r="R196" s="34"/>
      <c r="S196" s="34"/>
      <c r="T196" s="34"/>
      <c r="U196" s="34"/>
      <c r="V196" s="34"/>
    </row>
    <row r="197">
      <c r="A197" s="37">
        <v>99.0</v>
      </c>
      <c r="B197" s="37">
        <v>1.0</v>
      </c>
      <c r="C197" s="37" t="s">
        <v>441</v>
      </c>
      <c r="D197" s="37" t="s">
        <v>442</v>
      </c>
      <c r="E197" s="28" t="s">
        <v>443</v>
      </c>
      <c r="F197" s="31"/>
      <c r="G197" s="34">
        <v>1.0</v>
      </c>
      <c r="H197" s="34">
        <v>123.0</v>
      </c>
      <c r="I197" s="34"/>
      <c r="J197" s="34"/>
      <c r="K197" s="34"/>
      <c r="L197" s="34"/>
      <c r="M197" s="34"/>
      <c r="N197" s="34"/>
      <c r="O197" s="34"/>
      <c r="P197" s="34"/>
      <c r="Q197" s="34"/>
      <c r="R197" s="34"/>
      <c r="S197" s="34"/>
      <c r="T197" s="34"/>
      <c r="U197" s="34"/>
      <c r="V197" s="34"/>
    </row>
    <row r="198">
      <c r="A198" s="37">
        <v>99.0</v>
      </c>
      <c r="B198" s="37">
        <v>2.0</v>
      </c>
      <c r="C198" s="31"/>
      <c r="D198" s="37" t="s">
        <v>444</v>
      </c>
      <c r="E198" s="37" t="s">
        <v>445</v>
      </c>
      <c r="F198" s="31"/>
      <c r="G198" s="34">
        <v>1.0</v>
      </c>
      <c r="H198" s="34">
        <v>124.0</v>
      </c>
      <c r="I198" s="34"/>
      <c r="J198" s="34"/>
      <c r="K198" s="34"/>
      <c r="L198" s="34"/>
      <c r="M198" s="34"/>
      <c r="N198" s="34"/>
      <c r="O198" s="34"/>
      <c r="P198" s="34"/>
      <c r="Q198" s="34"/>
      <c r="R198" s="34"/>
      <c r="S198" s="34"/>
      <c r="T198" s="34"/>
      <c r="U198" s="34"/>
      <c r="V198" s="34"/>
    </row>
    <row r="199">
      <c r="A199" s="37">
        <v>100.0</v>
      </c>
      <c r="B199" s="37">
        <v>1.0</v>
      </c>
      <c r="C199" s="37" t="s">
        <v>446</v>
      </c>
      <c r="D199" s="37" t="s">
        <v>447</v>
      </c>
      <c r="E199" s="28" t="s">
        <v>443</v>
      </c>
      <c r="F199" s="31"/>
      <c r="G199" s="34">
        <v>2.0</v>
      </c>
      <c r="H199" s="34" t="s">
        <v>56</v>
      </c>
      <c r="I199" s="34"/>
      <c r="J199" s="34"/>
      <c r="K199" s="34"/>
      <c r="L199" s="34"/>
      <c r="M199" s="34"/>
      <c r="N199" s="34"/>
      <c r="O199" s="34"/>
      <c r="P199" s="34"/>
      <c r="Q199" s="34"/>
      <c r="R199" s="34"/>
      <c r="S199" s="34"/>
      <c r="T199" s="34"/>
      <c r="U199" s="34"/>
      <c r="V199" s="34"/>
    </row>
    <row r="200">
      <c r="A200" s="37">
        <v>101.0</v>
      </c>
      <c r="B200" s="37">
        <v>1.0</v>
      </c>
      <c r="C200" s="37" t="s">
        <v>61</v>
      </c>
      <c r="D200" s="37" t="s">
        <v>61</v>
      </c>
      <c r="E200" s="28" t="s">
        <v>443</v>
      </c>
      <c r="F200" s="31"/>
      <c r="G200" s="34">
        <v>3.0</v>
      </c>
      <c r="H200" s="34" t="s">
        <v>56</v>
      </c>
      <c r="I200" s="34"/>
      <c r="J200" s="34"/>
      <c r="K200" s="34"/>
      <c r="L200" s="34"/>
      <c r="M200" s="34"/>
      <c r="N200" s="34"/>
      <c r="O200" s="34"/>
      <c r="P200" s="34"/>
      <c r="Q200" s="34"/>
      <c r="R200" s="34"/>
      <c r="S200" s="34"/>
      <c r="T200" s="34"/>
      <c r="U200" s="34"/>
      <c r="V200" s="34"/>
    </row>
    <row r="201">
      <c r="A201" s="37">
        <v>102.0</v>
      </c>
      <c r="B201" s="37">
        <v>1.0</v>
      </c>
      <c r="C201" s="37" t="s">
        <v>448</v>
      </c>
      <c r="D201" s="37" t="s">
        <v>449</v>
      </c>
      <c r="E201" s="37" t="s">
        <v>450</v>
      </c>
      <c r="F201" s="31"/>
      <c r="G201" s="34">
        <v>1.0</v>
      </c>
      <c r="H201" s="34">
        <v>125.0</v>
      </c>
      <c r="I201" s="34"/>
      <c r="J201" s="34"/>
      <c r="K201" s="34"/>
      <c r="L201" s="34"/>
      <c r="M201" s="34"/>
      <c r="N201" s="34"/>
      <c r="O201" s="34"/>
      <c r="P201" s="34"/>
      <c r="Q201" s="34"/>
      <c r="R201" s="34"/>
      <c r="S201" s="34"/>
      <c r="T201" s="34"/>
      <c r="U201" s="34"/>
      <c r="V201" s="34"/>
    </row>
    <row r="202">
      <c r="A202" s="37">
        <v>103.0</v>
      </c>
      <c r="B202" s="37">
        <v>1.0</v>
      </c>
      <c r="C202" s="37" t="s">
        <v>451</v>
      </c>
      <c r="D202" s="37" t="s">
        <v>452</v>
      </c>
      <c r="E202" s="37" t="s">
        <v>453</v>
      </c>
      <c r="F202" s="31"/>
      <c r="G202" s="34">
        <v>1.0</v>
      </c>
      <c r="H202" s="34">
        <v>126.0</v>
      </c>
      <c r="I202" s="34"/>
      <c r="J202" s="34"/>
      <c r="K202" s="34"/>
      <c r="L202" s="34"/>
      <c r="M202" s="34"/>
      <c r="N202" s="34"/>
      <c r="O202" s="34"/>
      <c r="P202" s="34"/>
      <c r="Q202" s="34"/>
      <c r="R202" s="34"/>
      <c r="S202" s="34"/>
      <c r="T202" s="34"/>
      <c r="U202" s="34"/>
      <c r="V202" s="34"/>
    </row>
    <row r="203">
      <c r="A203" s="37">
        <v>104.0</v>
      </c>
      <c r="B203" s="37">
        <v>1.0</v>
      </c>
      <c r="C203" s="37" t="s">
        <v>61</v>
      </c>
      <c r="D203" s="37" t="s">
        <v>61</v>
      </c>
      <c r="E203" s="37" t="s">
        <v>453</v>
      </c>
      <c r="F203" s="31"/>
      <c r="G203" s="34">
        <v>2.0</v>
      </c>
      <c r="H203" s="34" t="s">
        <v>56</v>
      </c>
      <c r="I203" s="34"/>
      <c r="J203" s="34"/>
      <c r="K203" s="34"/>
      <c r="L203" s="34"/>
      <c r="M203" s="34"/>
      <c r="N203" s="34"/>
      <c r="O203" s="34"/>
      <c r="P203" s="34"/>
      <c r="Q203" s="34"/>
      <c r="R203" s="34"/>
      <c r="S203" s="34"/>
      <c r="T203" s="34"/>
      <c r="U203" s="34"/>
      <c r="V203" s="34"/>
    </row>
    <row r="204">
      <c r="A204" s="37">
        <v>105.0</v>
      </c>
      <c r="B204" s="37">
        <v>1.0</v>
      </c>
      <c r="C204" s="37" t="s">
        <v>454</v>
      </c>
      <c r="D204" s="37" t="s">
        <v>455</v>
      </c>
      <c r="E204" s="37" t="s">
        <v>240</v>
      </c>
      <c r="F204" s="37"/>
      <c r="G204" s="34">
        <v>3.0</v>
      </c>
      <c r="H204" s="34" t="s">
        <v>56</v>
      </c>
      <c r="I204" s="34"/>
      <c r="J204" s="34"/>
      <c r="K204" s="34"/>
      <c r="L204" s="34"/>
      <c r="M204" s="34"/>
      <c r="N204" s="34"/>
      <c r="O204" s="34"/>
      <c r="P204" s="34"/>
      <c r="Q204" s="34"/>
      <c r="R204" s="34"/>
      <c r="S204" s="34"/>
      <c r="T204" s="34"/>
      <c r="U204" s="34"/>
      <c r="V204" s="34"/>
    </row>
    <row r="205">
      <c r="A205" s="37">
        <v>106.0</v>
      </c>
      <c r="B205" s="37">
        <v>1.0</v>
      </c>
      <c r="C205" s="37" t="s">
        <v>456</v>
      </c>
      <c r="D205" s="37" t="s">
        <v>457</v>
      </c>
      <c r="E205" s="37" t="s">
        <v>240</v>
      </c>
      <c r="F205" s="31"/>
      <c r="G205" s="34">
        <v>4.0</v>
      </c>
      <c r="H205" s="34" t="s">
        <v>56</v>
      </c>
      <c r="I205" s="34"/>
      <c r="J205" s="34"/>
      <c r="K205" s="34"/>
      <c r="L205" s="34"/>
      <c r="M205" s="34"/>
      <c r="N205" s="34"/>
      <c r="O205" s="34"/>
      <c r="P205" s="34"/>
      <c r="Q205" s="34"/>
      <c r="R205" s="34"/>
      <c r="S205" s="34"/>
      <c r="T205" s="34"/>
      <c r="U205" s="34"/>
      <c r="V205" s="34"/>
    </row>
    <row r="206">
      <c r="A206" s="37">
        <v>107.0</v>
      </c>
      <c r="B206" s="37">
        <v>1.0</v>
      </c>
      <c r="C206" s="37" t="s">
        <v>458</v>
      </c>
      <c r="D206" s="37" t="s">
        <v>459</v>
      </c>
      <c r="E206" s="37" t="s">
        <v>240</v>
      </c>
      <c r="F206" s="31"/>
      <c r="G206" s="34">
        <v>5.0</v>
      </c>
      <c r="H206" s="34" t="s">
        <v>56</v>
      </c>
      <c r="I206" s="34"/>
      <c r="J206" s="34"/>
      <c r="K206" s="34"/>
      <c r="L206" s="34"/>
      <c r="M206" s="34"/>
      <c r="N206" s="34"/>
      <c r="O206" s="34"/>
      <c r="P206" s="34"/>
      <c r="Q206" s="34"/>
      <c r="R206" s="34"/>
      <c r="S206" s="34"/>
      <c r="T206" s="34"/>
      <c r="U206" s="34"/>
      <c r="V206" s="34"/>
    </row>
    <row r="207">
      <c r="A207" s="37">
        <v>108.0</v>
      </c>
      <c r="B207" s="37">
        <v>1.0</v>
      </c>
      <c r="C207" s="37" t="s">
        <v>61</v>
      </c>
      <c r="D207" s="37" t="s">
        <v>61</v>
      </c>
      <c r="E207" s="37" t="s">
        <v>240</v>
      </c>
      <c r="F207" s="31"/>
      <c r="G207" s="34">
        <v>6.0</v>
      </c>
      <c r="H207" s="34" t="s">
        <v>56</v>
      </c>
      <c r="I207" s="34"/>
      <c r="J207" s="34"/>
      <c r="K207" s="34"/>
      <c r="L207" s="34"/>
      <c r="M207" s="34"/>
      <c r="N207" s="34"/>
      <c r="O207" s="34"/>
      <c r="P207" s="34"/>
      <c r="Q207" s="34"/>
      <c r="R207" s="34"/>
      <c r="S207" s="34"/>
      <c r="T207" s="34"/>
      <c r="U207" s="34"/>
      <c r="V207" s="34"/>
    </row>
    <row r="208">
      <c r="A208" s="37">
        <v>109.0</v>
      </c>
      <c r="B208" s="37">
        <v>1.0</v>
      </c>
      <c r="C208" s="37" t="s">
        <v>460</v>
      </c>
      <c r="D208" s="37" t="s">
        <v>61</v>
      </c>
      <c r="E208" s="37" t="s">
        <v>240</v>
      </c>
      <c r="F208" s="31"/>
      <c r="G208" s="34">
        <v>7.0</v>
      </c>
      <c r="H208" s="34" t="s">
        <v>56</v>
      </c>
      <c r="I208" s="34"/>
      <c r="J208" s="34"/>
      <c r="K208" s="34"/>
      <c r="L208" s="34"/>
      <c r="M208" s="34"/>
      <c r="N208" s="34"/>
      <c r="O208" s="34"/>
      <c r="P208" s="34"/>
      <c r="Q208" s="34"/>
      <c r="R208" s="34"/>
      <c r="S208" s="34"/>
      <c r="T208" s="34"/>
      <c r="U208" s="34"/>
      <c r="V208" s="34"/>
    </row>
    <row r="209">
      <c r="A209" s="37">
        <v>109.0</v>
      </c>
      <c r="B209" s="37">
        <v>2.0</v>
      </c>
      <c r="C209" s="31"/>
      <c r="D209" s="37" t="s">
        <v>461</v>
      </c>
      <c r="E209" s="37" t="s">
        <v>240</v>
      </c>
      <c r="F209" s="31"/>
      <c r="G209" s="34">
        <v>8.0</v>
      </c>
      <c r="H209" s="34" t="s">
        <v>56</v>
      </c>
      <c r="I209" s="34"/>
      <c r="J209" s="34"/>
      <c r="K209" s="34"/>
      <c r="L209" s="34"/>
      <c r="M209" s="34"/>
      <c r="N209" s="34"/>
      <c r="O209" s="34"/>
      <c r="P209" s="34"/>
      <c r="Q209" s="34"/>
      <c r="R209" s="34"/>
      <c r="S209" s="34"/>
      <c r="T209" s="34"/>
      <c r="U209" s="34"/>
      <c r="V209" s="34"/>
    </row>
    <row r="210">
      <c r="A210" s="37">
        <v>110.0</v>
      </c>
      <c r="B210" s="37">
        <v>1.0</v>
      </c>
      <c r="C210" s="37" t="s">
        <v>462</v>
      </c>
      <c r="D210" s="37" t="s">
        <v>463</v>
      </c>
      <c r="E210" s="37" t="s">
        <v>464</v>
      </c>
      <c r="F210" s="31"/>
      <c r="G210" s="34">
        <v>1.0</v>
      </c>
      <c r="H210" s="34">
        <v>127.0</v>
      </c>
      <c r="I210" s="34"/>
      <c r="J210" s="34"/>
      <c r="K210" s="34"/>
      <c r="L210" s="34"/>
      <c r="M210" s="34"/>
      <c r="N210" s="34"/>
      <c r="O210" s="34"/>
      <c r="P210" s="34"/>
      <c r="Q210" s="34"/>
      <c r="R210" s="34"/>
      <c r="S210" s="34"/>
      <c r="T210" s="34"/>
      <c r="U210" s="34"/>
      <c r="V210" s="34"/>
    </row>
    <row r="211">
      <c r="A211" s="37">
        <v>110.0</v>
      </c>
      <c r="B211" s="37">
        <v>2.0</v>
      </c>
      <c r="C211" s="31"/>
      <c r="D211" s="37" t="s">
        <v>465</v>
      </c>
      <c r="E211" s="37" t="s">
        <v>466</v>
      </c>
      <c r="F211" s="31"/>
      <c r="G211" s="34">
        <v>1.0</v>
      </c>
      <c r="H211" s="34">
        <v>128.0</v>
      </c>
      <c r="I211" s="34"/>
      <c r="J211" s="34"/>
      <c r="K211" s="34"/>
      <c r="L211" s="34"/>
      <c r="M211" s="34"/>
      <c r="N211" s="34"/>
      <c r="O211" s="34"/>
      <c r="P211" s="34"/>
      <c r="Q211" s="34"/>
      <c r="R211" s="34"/>
      <c r="S211" s="34"/>
      <c r="T211" s="34"/>
      <c r="U211" s="34"/>
      <c r="V211" s="34"/>
    </row>
    <row r="212">
      <c r="A212" s="37">
        <v>110.0</v>
      </c>
      <c r="B212" s="37">
        <v>3.0</v>
      </c>
      <c r="C212" s="31"/>
      <c r="D212" s="37" t="s">
        <v>467</v>
      </c>
      <c r="E212" s="37" t="s">
        <v>468</v>
      </c>
      <c r="F212" s="31"/>
      <c r="G212" s="34">
        <v>1.0</v>
      </c>
      <c r="H212" s="34">
        <v>129.0</v>
      </c>
      <c r="I212" s="34"/>
      <c r="J212" s="34"/>
      <c r="K212" s="34"/>
      <c r="L212" s="34"/>
      <c r="M212" s="34"/>
      <c r="N212" s="34"/>
      <c r="O212" s="34"/>
      <c r="P212" s="34"/>
      <c r="Q212" s="34"/>
      <c r="R212" s="34"/>
      <c r="S212" s="34"/>
      <c r="T212" s="34"/>
      <c r="U212" s="34"/>
      <c r="V212" s="34"/>
    </row>
    <row r="213">
      <c r="A213" s="37">
        <v>110.0</v>
      </c>
      <c r="B213" s="28">
        <v>4.0</v>
      </c>
      <c r="C213" s="31"/>
      <c r="D213" s="37" t="s">
        <v>469</v>
      </c>
      <c r="E213" s="37" t="s">
        <v>470</v>
      </c>
      <c r="F213" s="31"/>
      <c r="G213" s="34">
        <v>1.0</v>
      </c>
      <c r="H213" s="34">
        <v>130.0</v>
      </c>
      <c r="I213" s="34"/>
      <c r="J213" s="34"/>
      <c r="K213" s="34"/>
      <c r="L213" s="34"/>
      <c r="M213" s="34"/>
      <c r="N213" s="34"/>
      <c r="O213" s="34"/>
      <c r="P213" s="34"/>
      <c r="Q213" s="34"/>
      <c r="R213" s="34"/>
      <c r="S213" s="34"/>
      <c r="T213" s="34"/>
      <c r="U213" s="34"/>
      <c r="V213" s="34"/>
    </row>
    <row r="214">
      <c r="A214" s="37">
        <v>110.0</v>
      </c>
      <c r="B214" s="28">
        <v>5.0</v>
      </c>
      <c r="C214" s="31"/>
      <c r="D214" s="37" t="s">
        <v>471</v>
      </c>
      <c r="E214" s="28" t="s">
        <v>96</v>
      </c>
      <c r="F214" s="37"/>
      <c r="G214" s="34">
        <v>8.0</v>
      </c>
      <c r="H214" s="34" t="s">
        <v>56</v>
      </c>
      <c r="I214" s="34"/>
      <c r="J214" s="34"/>
      <c r="K214" s="34"/>
      <c r="L214" s="34"/>
      <c r="M214" s="34"/>
      <c r="N214" s="34"/>
      <c r="O214" s="34"/>
      <c r="P214" s="34"/>
      <c r="Q214" s="34"/>
      <c r="R214" s="34"/>
      <c r="S214" s="34"/>
      <c r="T214" s="34"/>
      <c r="U214" s="34"/>
      <c r="V214" s="34"/>
    </row>
    <row r="215">
      <c r="A215" s="37">
        <v>111.0</v>
      </c>
      <c r="B215" s="37">
        <v>1.0</v>
      </c>
      <c r="C215" s="37" t="s">
        <v>472</v>
      </c>
      <c r="D215" s="37" t="s">
        <v>473</v>
      </c>
      <c r="E215" s="37" t="s">
        <v>474</v>
      </c>
      <c r="F215" s="31"/>
      <c r="G215" s="34">
        <v>1.0</v>
      </c>
      <c r="H215" s="34">
        <v>131.0</v>
      </c>
      <c r="I215" s="34"/>
      <c r="J215" s="34"/>
      <c r="K215" s="34"/>
      <c r="L215" s="34"/>
      <c r="M215" s="34"/>
      <c r="N215" s="34"/>
      <c r="O215" s="34"/>
      <c r="P215" s="34"/>
      <c r="Q215" s="34"/>
      <c r="R215" s="34"/>
      <c r="S215" s="34"/>
      <c r="T215" s="34"/>
      <c r="U215" s="34"/>
      <c r="V215" s="34"/>
    </row>
    <row r="216">
      <c r="A216" s="37">
        <v>111.0</v>
      </c>
      <c r="B216" s="37">
        <v>2.0</v>
      </c>
      <c r="C216" s="31"/>
      <c r="D216" s="37" t="s">
        <v>475</v>
      </c>
      <c r="E216" s="37" t="s">
        <v>476</v>
      </c>
      <c r="F216" s="31"/>
      <c r="G216" s="34">
        <v>1.0</v>
      </c>
      <c r="H216" s="34">
        <v>132.0</v>
      </c>
      <c r="I216" s="34"/>
      <c r="J216" s="34"/>
      <c r="K216" s="34"/>
      <c r="L216" s="34"/>
      <c r="M216" s="34"/>
      <c r="N216" s="34"/>
      <c r="O216" s="34"/>
      <c r="P216" s="34"/>
      <c r="Q216" s="34"/>
      <c r="R216" s="34"/>
      <c r="S216" s="34"/>
      <c r="T216" s="34"/>
      <c r="U216" s="34"/>
      <c r="V216" s="34"/>
    </row>
    <row r="217">
      <c r="A217" s="37">
        <v>111.0</v>
      </c>
      <c r="B217" s="37">
        <v>3.0</v>
      </c>
      <c r="C217" s="31"/>
      <c r="D217" s="37" t="s">
        <v>477</v>
      </c>
      <c r="E217" s="37" t="s">
        <v>478</v>
      </c>
      <c r="F217" s="31"/>
      <c r="G217" s="34">
        <v>1.0</v>
      </c>
      <c r="H217" s="34">
        <v>133.0</v>
      </c>
      <c r="I217" s="34"/>
      <c r="J217" s="34"/>
      <c r="K217" s="34"/>
      <c r="L217" s="34"/>
      <c r="M217" s="34"/>
      <c r="N217" s="34"/>
      <c r="O217" s="34"/>
      <c r="P217" s="34"/>
      <c r="Q217" s="34"/>
      <c r="R217" s="34"/>
      <c r="S217" s="34"/>
      <c r="T217" s="34"/>
      <c r="U217" s="34"/>
      <c r="V217" s="34"/>
    </row>
    <row r="218">
      <c r="A218" s="37">
        <v>111.0</v>
      </c>
      <c r="B218" s="37">
        <v>4.0</v>
      </c>
      <c r="C218" s="31"/>
      <c r="D218" s="37" t="s">
        <v>479</v>
      </c>
      <c r="E218" s="37" t="s">
        <v>480</v>
      </c>
      <c r="F218" s="31"/>
      <c r="G218" s="34">
        <v>1.0</v>
      </c>
      <c r="H218" s="34">
        <v>134.0</v>
      </c>
      <c r="I218" s="34"/>
      <c r="J218" s="34"/>
      <c r="K218" s="34"/>
      <c r="L218" s="34"/>
      <c r="M218" s="34"/>
      <c r="N218" s="34"/>
      <c r="O218" s="34"/>
      <c r="P218" s="34"/>
      <c r="Q218" s="34"/>
      <c r="R218" s="34"/>
      <c r="S218" s="34"/>
      <c r="T218" s="34"/>
      <c r="U218" s="34"/>
      <c r="V218" s="34"/>
    </row>
    <row r="219">
      <c r="A219" s="37">
        <v>111.0</v>
      </c>
      <c r="B219" s="37">
        <v>5.0</v>
      </c>
      <c r="C219" s="31"/>
      <c r="D219" s="37" t="s">
        <v>481</v>
      </c>
      <c r="E219" s="37" t="s">
        <v>482</v>
      </c>
      <c r="F219" s="31"/>
      <c r="G219" s="34">
        <v>1.0</v>
      </c>
      <c r="H219" s="34">
        <v>135.0</v>
      </c>
      <c r="I219" s="34"/>
      <c r="J219" s="34"/>
      <c r="K219" s="34"/>
      <c r="L219" s="34"/>
      <c r="M219" s="34"/>
      <c r="N219" s="34"/>
      <c r="O219" s="34"/>
      <c r="P219" s="34"/>
      <c r="Q219" s="34"/>
      <c r="R219" s="34"/>
      <c r="S219" s="34"/>
      <c r="T219" s="34"/>
      <c r="U219" s="34"/>
      <c r="V219" s="34"/>
    </row>
    <row r="220">
      <c r="A220" s="37">
        <v>111.0</v>
      </c>
      <c r="B220" s="37">
        <v>6.0</v>
      </c>
      <c r="C220" s="31"/>
      <c r="D220" s="37" t="s">
        <v>483</v>
      </c>
      <c r="E220" s="37" t="s">
        <v>484</v>
      </c>
      <c r="F220" s="31"/>
      <c r="G220" s="34">
        <v>1.0</v>
      </c>
      <c r="H220" s="34">
        <v>136.0</v>
      </c>
      <c r="I220" s="34"/>
      <c r="J220" s="34"/>
      <c r="K220" s="34"/>
      <c r="L220" s="34"/>
      <c r="M220" s="34"/>
      <c r="N220" s="34"/>
      <c r="O220" s="34"/>
      <c r="P220" s="34"/>
      <c r="Q220" s="34"/>
      <c r="R220" s="34"/>
      <c r="S220" s="34"/>
      <c r="T220" s="34"/>
      <c r="U220" s="34"/>
      <c r="V220" s="34"/>
    </row>
    <row r="221">
      <c r="A221" s="37">
        <v>111.0</v>
      </c>
      <c r="B221" s="37">
        <v>7.0</v>
      </c>
      <c r="C221" s="31"/>
      <c r="D221" s="37" t="s">
        <v>485</v>
      </c>
      <c r="E221" s="37" t="s">
        <v>486</v>
      </c>
      <c r="F221" s="31"/>
      <c r="G221" s="34">
        <v>1.0</v>
      </c>
      <c r="H221" s="34">
        <v>137.0</v>
      </c>
      <c r="I221" s="34"/>
      <c r="J221" s="34"/>
      <c r="K221" s="34"/>
      <c r="L221" s="34"/>
      <c r="M221" s="34"/>
      <c r="N221" s="34"/>
      <c r="O221" s="34"/>
      <c r="P221" s="34"/>
      <c r="Q221" s="34"/>
      <c r="R221" s="34"/>
      <c r="S221" s="34"/>
      <c r="T221" s="34"/>
      <c r="U221" s="34"/>
      <c r="V221" s="34"/>
    </row>
    <row r="222">
      <c r="A222" s="37">
        <v>111.0</v>
      </c>
      <c r="B222" s="37">
        <v>8.0</v>
      </c>
      <c r="C222" s="31"/>
      <c r="D222" s="37" t="s">
        <v>487</v>
      </c>
      <c r="E222" s="37" t="s">
        <v>488</v>
      </c>
      <c r="F222" s="31"/>
      <c r="G222" s="34">
        <v>1.0</v>
      </c>
      <c r="H222" s="34">
        <v>138.0</v>
      </c>
      <c r="I222" s="34"/>
      <c r="J222" s="34"/>
      <c r="K222" s="34"/>
      <c r="L222" s="34"/>
      <c r="M222" s="34"/>
      <c r="N222" s="34"/>
      <c r="O222" s="34"/>
      <c r="P222" s="34"/>
      <c r="Q222" s="34"/>
      <c r="R222" s="34"/>
      <c r="S222" s="34"/>
      <c r="T222" s="34"/>
      <c r="U222" s="34"/>
      <c r="V222" s="34"/>
    </row>
    <row r="223">
      <c r="A223" s="37">
        <v>111.0</v>
      </c>
      <c r="B223" s="37">
        <v>9.0</v>
      </c>
      <c r="C223" s="31"/>
      <c r="D223" s="37" t="s">
        <v>489</v>
      </c>
      <c r="E223" s="37" t="s">
        <v>490</v>
      </c>
      <c r="F223" s="31"/>
      <c r="G223" s="34">
        <v>1.0</v>
      </c>
      <c r="H223" s="34">
        <v>139.0</v>
      </c>
      <c r="I223" s="34"/>
      <c r="J223" s="34"/>
      <c r="K223" s="34"/>
      <c r="L223" s="34"/>
      <c r="M223" s="34"/>
      <c r="N223" s="34"/>
      <c r="O223" s="34"/>
      <c r="P223" s="34"/>
      <c r="Q223" s="34"/>
      <c r="R223" s="34"/>
      <c r="S223" s="34"/>
      <c r="T223" s="34"/>
      <c r="U223" s="34"/>
      <c r="V223" s="34"/>
    </row>
    <row r="224">
      <c r="A224" s="37">
        <v>111.0</v>
      </c>
      <c r="B224" s="37">
        <v>10.0</v>
      </c>
      <c r="C224" s="31"/>
      <c r="D224" s="37" t="s">
        <v>491</v>
      </c>
      <c r="E224" s="37" t="s">
        <v>450</v>
      </c>
      <c r="F224" s="37"/>
      <c r="G224" s="34">
        <v>2.0</v>
      </c>
      <c r="H224" s="34" t="s">
        <v>56</v>
      </c>
      <c r="I224" s="34"/>
      <c r="J224" s="34"/>
      <c r="K224" s="34"/>
      <c r="L224" s="34"/>
      <c r="M224" s="34"/>
      <c r="N224" s="34"/>
      <c r="O224" s="34"/>
      <c r="P224" s="34"/>
      <c r="Q224" s="34"/>
      <c r="R224" s="34"/>
      <c r="S224" s="34"/>
      <c r="T224" s="34"/>
      <c r="U224" s="34"/>
      <c r="V224" s="34"/>
    </row>
    <row r="225">
      <c r="A225" s="37">
        <v>112.0</v>
      </c>
      <c r="B225" s="37">
        <v>1.0</v>
      </c>
      <c r="C225" s="37" t="s">
        <v>492</v>
      </c>
      <c r="D225" s="37" t="s">
        <v>493</v>
      </c>
      <c r="E225" s="37" t="s">
        <v>494</v>
      </c>
      <c r="F225" s="31"/>
      <c r="G225" s="34">
        <v>1.0</v>
      </c>
      <c r="H225" s="34">
        <v>140.0</v>
      </c>
      <c r="I225" s="34"/>
      <c r="J225" s="34"/>
      <c r="K225" s="34"/>
      <c r="L225" s="34"/>
      <c r="M225" s="34"/>
      <c r="N225" s="34"/>
      <c r="O225" s="34"/>
      <c r="P225" s="34"/>
      <c r="Q225" s="34"/>
      <c r="R225" s="34"/>
      <c r="S225" s="34"/>
      <c r="T225" s="34"/>
      <c r="U225" s="34"/>
      <c r="V225" s="34"/>
    </row>
    <row r="226">
      <c r="A226" s="37">
        <v>112.0</v>
      </c>
      <c r="B226" s="37">
        <v>2.0</v>
      </c>
      <c r="C226" s="31"/>
      <c r="D226" s="37" t="s">
        <v>495</v>
      </c>
      <c r="E226" s="37" t="s">
        <v>496</v>
      </c>
      <c r="F226" s="31"/>
      <c r="G226" s="34">
        <v>1.0</v>
      </c>
      <c r="H226" s="34">
        <v>141.0</v>
      </c>
      <c r="I226" s="34"/>
      <c r="J226" s="34"/>
      <c r="K226" s="34"/>
      <c r="L226" s="34"/>
      <c r="M226" s="34"/>
      <c r="N226" s="34"/>
      <c r="O226" s="34"/>
      <c r="P226" s="34"/>
      <c r="Q226" s="34"/>
      <c r="R226" s="34"/>
      <c r="S226" s="34"/>
      <c r="T226" s="34"/>
      <c r="U226" s="34"/>
      <c r="V226" s="34"/>
    </row>
    <row r="227">
      <c r="A227" s="37">
        <v>112.0</v>
      </c>
      <c r="B227" s="37">
        <v>3.0</v>
      </c>
      <c r="C227" s="31"/>
      <c r="D227" s="37" t="s">
        <v>497</v>
      </c>
      <c r="E227" s="37" t="s">
        <v>498</v>
      </c>
      <c r="F227" s="31"/>
      <c r="G227" s="34">
        <v>1.0</v>
      </c>
      <c r="H227" s="34">
        <v>142.0</v>
      </c>
      <c r="I227" s="34"/>
      <c r="J227" s="34"/>
      <c r="K227" s="34"/>
      <c r="L227" s="34"/>
      <c r="M227" s="34"/>
      <c r="N227" s="34"/>
      <c r="O227" s="34"/>
      <c r="P227" s="34"/>
      <c r="Q227" s="34"/>
      <c r="R227" s="34"/>
      <c r="S227" s="34"/>
      <c r="T227" s="34"/>
      <c r="U227" s="34"/>
      <c r="V227" s="34"/>
    </row>
    <row r="228">
      <c r="A228" s="37">
        <v>112.0</v>
      </c>
      <c r="B228" s="37">
        <v>4.0</v>
      </c>
      <c r="C228" s="31"/>
      <c r="D228" s="37" t="s">
        <v>499</v>
      </c>
      <c r="E228" s="37" t="s">
        <v>500</v>
      </c>
      <c r="F228" s="31"/>
      <c r="G228" s="34">
        <v>1.0</v>
      </c>
      <c r="H228" s="34">
        <v>143.0</v>
      </c>
      <c r="I228" s="34"/>
      <c r="J228" s="34"/>
      <c r="K228" s="34"/>
      <c r="L228" s="34"/>
      <c r="M228" s="34"/>
      <c r="N228" s="34"/>
      <c r="O228" s="34"/>
      <c r="P228" s="34"/>
      <c r="Q228" s="34"/>
      <c r="R228" s="34"/>
      <c r="S228" s="34"/>
      <c r="T228" s="34"/>
      <c r="U228" s="34"/>
      <c r="V228" s="34"/>
    </row>
    <row r="229">
      <c r="A229" s="37">
        <v>112.0</v>
      </c>
      <c r="B229" s="37">
        <v>5.0</v>
      </c>
      <c r="C229" s="31"/>
      <c r="D229" s="37" t="s">
        <v>501</v>
      </c>
      <c r="E229" s="37" t="s">
        <v>502</v>
      </c>
      <c r="F229" s="31"/>
      <c r="G229" s="34">
        <v>1.0</v>
      </c>
      <c r="H229" s="34">
        <v>144.0</v>
      </c>
      <c r="I229" s="34"/>
      <c r="J229" s="34"/>
      <c r="K229" s="34"/>
      <c r="L229" s="34"/>
      <c r="M229" s="34"/>
      <c r="N229" s="34"/>
      <c r="O229" s="34"/>
      <c r="P229" s="34"/>
      <c r="Q229" s="34"/>
      <c r="R229" s="34"/>
      <c r="S229" s="34"/>
      <c r="T229" s="34"/>
      <c r="U229" s="34"/>
      <c r="V229" s="34"/>
    </row>
    <row r="230">
      <c r="A230" s="37">
        <v>112.0</v>
      </c>
      <c r="B230" s="37">
        <v>6.0</v>
      </c>
      <c r="C230" s="31"/>
      <c r="D230" s="37" t="s">
        <v>503</v>
      </c>
      <c r="E230" s="37" t="s">
        <v>504</v>
      </c>
      <c r="F230" s="31"/>
      <c r="G230" s="34">
        <v>1.0</v>
      </c>
      <c r="H230" s="34">
        <v>145.0</v>
      </c>
      <c r="I230" s="34"/>
      <c r="J230" s="34"/>
      <c r="K230" s="34"/>
      <c r="L230" s="34"/>
      <c r="M230" s="34"/>
      <c r="N230" s="34"/>
      <c r="O230" s="34"/>
      <c r="P230" s="34"/>
      <c r="Q230" s="34"/>
      <c r="R230" s="34"/>
      <c r="S230" s="34"/>
      <c r="T230" s="34"/>
      <c r="U230" s="34"/>
      <c r="V230" s="34"/>
    </row>
    <row r="231">
      <c r="A231" s="37">
        <v>113.0</v>
      </c>
      <c r="B231" s="37">
        <v>1.0</v>
      </c>
      <c r="C231" s="28" t="s">
        <v>505</v>
      </c>
      <c r="D231" s="37" t="s">
        <v>506</v>
      </c>
      <c r="E231" s="28" t="s">
        <v>507</v>
      </c>
      <c r="F231" s="37"/>
      <c r="G231" s="34">
        <v>1.0</v>
      </c>
      <c r="H231" s="34">
        <v>146.0</v>
      </c>
      <c r="I231" s="34"/>
      <c r="J231" s="34"/>
      <c r="K231" s="34"/>
      <c r="L231" s="34"/>
      <c r="M231" s="34"/>
      <c r="N231" s="34"/>
      <c r="O231" s="34"/>
      <c r="P231" s="34"/>
      <c r="Q231" s="34"/>
      <c r="R231" s="34"/>
      <c r="S231" s="34"/>
      <c r="T231" s="34"/>
      <c r="U231" s="34"/>
      <c r="V231" s="34"/>
    </row>
    <row r="232">
      <c r="A232" s="37">
        <v>114.0</v>
      </c>
      <c r="B232" s="37">
        <v>1.0</v>
      </c>
      <c r="C232" s="37" t="s">
        <v>508</v>
      </c>
      <c r="D232" s="37" t="s">
        <v>509</v>
      </c>
      <c r="E232" s="37" t="s">
        <v>486</v>
      </c>
      <c r="F232" s="31"/>
      <c r="G232" s="34">
        <v>2.0</v>
      </c>
      <c r="H232" s="34" t="s">
        <v>56</v>
      </c>
      <c r="I232" s="34"/>
      <c r="J232" s="34"/>
      <c r="K232" s="34"/>
      <c r="L232" s="34"/>
      <c r="M232" s="34"/>
      <c r="N232" s="34"/>
      <c r="O232" s="34"/>
      <c r="P232" s="34"/>
      <c r="Q232" s="34"/>
      <c r="R232" s="34"/>
      <c r="S232" s="34"/>
      <c r="T232" s="34"/>
      <c r="U232" s="34"/>
      <c r="V232" s="34"/>
    </row>
    <row r="233">
      <c r="A233" s="37">
        <v>114.0</v>
      </c>
      <c r="B233" s="37">
        <v>2.0</v>
      </c>
      <c r="C233" s="31"/>
      <c r="D233" s="37" t="s">
        <v>510</v>
      </c>
      <c r="E233" s="28" t="s">
        <v>315</v>
      </c>
      <c r="F233" s="37"/>
      <c r="G233" s="34">
        <v>5.0</v>
      </c>
      <c r="H233" s="34" t="s">
        <v>56</v>
      </c>
      <c r="I233" s="34"/>
      <c r="J233" s="34"/>
      <c r="K233" s="34"/>
      <c r="L233" s="34"/>
      <c r="M233" s="34"/>
      <c r="N233" s="34"/>
      <c r="O233" s="34"/>
      <c r="P233" s="34"/>
      <c r="Q233" s="34"/>
      <c r="R233" s="34"/>
      <c r="S233" s="34"/>
      <c r="T233" s="34"/>
      <c r="U233" s="34"/>
      <c r="V233" s="34"/>
    </row>
    <row r="234">
      <c r="A234" s="37">
        <v>114.0</v>
      </c>
      <c r="B234" s="37">
        <v>3.0</v>
      </c>
      <c r="C234" s="31"/>
      <c r="D234" s="37" t="s">
        <v>511</v>
      </c>
      <c r="E234" s="28" t="s">
        <v>182</v>
      </c>
      <c r="F234" s="37"/>
      <c r="G234" s="34">
        <v>3.0</v>
      </c>
      <c r="H234" s="34" t="s">
        <v>56</v>
      </c>
      <c r="I234" s="34"/>
      <c r="J234" s="34"/>
      <c r="K234" s="34"/>
      <c r="L234" s="34"/>
      <c r="M234" s="34"/>
      <c r="N234" s="34"/>
      <c r="O234" s="34"/>
      <c r="P234" s="34"/>
      <c r="Q234" s="34"/>
      <c r="R234" s="34"/>
      <c r="S234" s="34"/>
      <c r="T234" s="34"/>
      <c r="U234" s="34"/>
      <c r="V234" s="34"/>
    </row>
    <row r="235">
      <c r="A235" s="37">
        <v>114.0</v>
      </c>
      <c r="B235" s="37">
        <v>4.0</v>
      </c>
      <c r="C235" s="31"/>
      <c r="D235" s="37" t="s">
        <v>512</v>
      </c>
      <c r="E235" s="28" t="s">
        <v>103</v>
      </c>
      <c r="F235" s="37"/>
      <c r="G235" s="34">
        <v>3.0</v>
      </c>
      <c r="H235" s="34" t="s">
        <v>56</v>
      </c>
      <c r="I235" s="34"/>
      <c r="J235" s="34"/>
      <c r="K235" s="34"/>
      <c r="L235" s="34"/>
      <c r="M235" s="34"/>
      <c r="N235" s="34"/>
      <c r="O235" s="34"/>
      <c r="P235" s="34"/>
      <c r="Q235" s="34"/>
      <c r="R235" s="34"/>
      <c r="S235" s="34"/>
      <c r="T235" s="34"/>
      <c r="U235" s="34"/>
      <c r="V235" s="34"/>
    </row>
    <row r="236">
      <c r="A236" s="37">
        <v>115.0</v>
      </c>
      <c r="B236" s="37">
        <v>1.0</v>
      </c>
      <c r="C236" s="37" t="s">
        <v>513</v>
      </c>
      <c r="D236" s="37" t="s">
        <v>514</v>
      </c>
      <c r="E236" s="37" t="s">
        <v>515</v>
      </c>
      <c r="F236" s="31"/>
      <c r="G236" s="34">
        <v>1.0</v>
      </c>
      <c r="H236" s="34">
        <v>147.0</v>
      </c>
      <c r="I236" s="34"/>
      <c r="J236" s="34"/>
      <c r="K236" s="34"/>
      <c r="L236" s="34"/>
      <c r="M236" s="34"/>
      <c r="N236" s="34"/>
      <c r="O236" s="34"/>
      <c r="P236" s="34"/>
      <c r="Q236" s="34"/>
      <c r="R236" s="34"/>
      <c r="S236" s="34"/>
      <c r="T236" s="34"/>
      <c r="U236" s="34"/>
      <c r="V236" s="34"/>
    </row>
    <row r="237">
      <c r="A237" s="37">
        <v>115.0</v>
      </c>
      <c r="B237" s="37">
        <v>2.0</v>
      </c>
      <c r="C237" s="31"/>
      <c r="D237" s="37" t="s">
        <v>516</v>
      </c>
      <c r="E237" s="28" t="s">
        <v>517</v>
      </c>
      <c r="F237" s="31"/>
      <c r="G237" s="34">
        <v>1.0</v>
      </c>
      <c r="H237" s="34">
        <v>148.0</v>
      </c>
      <c r="I237" s="34"/>
      <c r="J237" s="34"/>
      <c r="K237" s="34"/>
      <c r="L237" s="34"/>
      <c r="M237" s="34"/>
      <c r="N237" s="34"/>
      <c r="O237" s="34"/>
      <c r="P237" s="34"/>
      <c r="Q237" s="34"/>
      <c r="R237" s="34"/>
      <c r="S237" s="34"/>
      <c r="T237" s="34"/>
      <c r="U237" s="34"/>
      <c r="V237" s="34"/>
    </row>
    <row r="238">
      <c r="A238" s="37">
        <v>115.0</v>
      </c>
      <c r="B238" s="37">
        <v>3.0</v>
      </c>
      <c r="C238" s="31"/>
      <c r="D238" s="37" t="s">
        <v>518</v>
      </c>
      <c r="E238" s="28" t="s">
        <v>78</v>
      </c>
      <c r="F238" s="37"/>
      <c r="G238" s="34">
        <v>2.0</v>
      </c>
      <c r="H238" s="34" t="s">
        <v>56</v>
      </c>
      <c r="I238" s="34"/>
      <c r="J238" s="34"/>
      <c r="K238" s="34"/>
      <c r="L238" s="34"/>
      <c r="M238" s="34"/>
      <c r="N238" s="34"/>
      <c r="O238" s="34"/>
      <c r="P238" s="34"/>
      <c r="Q238" s="34"/>
      <c r="R238" s="34"/>
      <c r="S238" s="34"/>
      <c r="T238" s="34"/>
      <c r="U238" s="34"/>
      <c r="V238" s="34"/>
    </row>
    <row r="239">
      <c r="A239" s="37">
        <v>115.0</v>
      </c>
      <c r="B239" s="37">
        <v>4.0</v>
      </c>
      <c r="C239" s="31"/>
      <c r="D239" s="37" t="s">
        <v>519</v>
      </c>
      <c r="E239" s="37" t="s">
        <v>520</v>
      </c>
      <c r="F239" s="31"/>
      <c r="G239" s="34">
        <v>1.0</v>
      </c>
      <c r="H239" s="34">
        <v>149.0</v>
      </c>
      <c r="I239" s="34"/>
      <c r="J239" s="34"/>
      <c r="K239" s="34"/>
      <c r="L239" s="34"/>
      <c r="M239" s="34"/>
      <c r="N239" s="34"/>
      <c r="O239" s="34"/>
      <c r="P239" s="34"/>
      <c r="Q239" s="34"/>
      <c r="R239" s="34"/>
      <c r="S239" s="34"/>
      <c r="T239" s="34"/>
      <c r="U239" s="34"/>
      <c r="V239" s="34"/>
    </row>
    <row r="240">
      <c r="A240" s="37">
        <v>115.0</v>
      </c>
      <c r="B240" s="37">
        <v>5.0</v>
      </c>
      <c r="C240" s="31"/>
      <c r="D240" s="37" t="s">
        <v>521</v>
      </c>
      <c r="E240" s="37" t="s">
        <v>522</v>
      </c>
      <c r="F240" s="31"/>
      <c r="G240" s="34">
        <v>1.0</v>
      </c>
      <c r="H240" s="34">
        <v>150.0</v>
      </c>
      <c r="I240" s="34"/>
      <c r="J240" s="34"/>
      <c r="K240" s="34"/>
      <c r="L240" s="34"/>
      <c r="M240" s="34"/>
      <c r="N240" s="34"/>
      <c r="O240" s="34"/>
      <c r="P240" s="34"/>
      <c r="Q240" s="34"/>
      <c r="R240" s="34"/>
      <c r="S240" s="34"/>
      <c r="T240" s="34"/>
      <c r="U240" s="34"/>
      <c r="V240" s="34"/>
    </row>
    <row r="241">
      <c r="A241" s="37">
        <v>115.0</v>
      </c>
      <c r="B241" s="37">
        <v>6.0</v>
      </c>
      <c r="C241" s="31"/>
      <c r="D241" s="37" t="s">
        <v>523</v>
      </c>
      <c r="E241" s="37" t="s">
        <v>524</v>
      </c>
      <c r="F241" s="31"/>
      <c r="G241" s="34">
        <v>1.0</v>
      </c>
      <c r="H241" s="34">
        <v>151.0</v>
      </c>
      <c r="I241" s="34"/>
      <c r="J241" s="34"/>
      <c r="K241" s="34"/>
      <c r="L241" s="34"/>
      <c r="M241" s="34"/>
      <c r="N241" s="34"/>
      <c r="O241" s="34"/>
      <c r="P241" s="34"/>
      <c r="Q241" s="34"/>
      <c r="R241" s="34"/>
      <c r="S241" s="34"/>
      <c r="T241" s="34"/>
      <c r="U241" s="34"/>
      <c r="V241" s="34"/>
    </row>
    <row r="242">
      <c r="A242" s="37">
        <v>115.0</v>
      </c>
      <c r="B242" s="37">
        <v>7.0</v>
      </c>
      <c r="C242" s="31"/>
      <c r="D242" s="37" t="s">
        <v>525</v>
      </c>
      <c r="E242" s="28" t="s">
        <v>526</v>
      </c>
      <c r="F242" s="31"/>
      <c r="G242" s="34">
        <v>1.0</v>
      </c>
      <c r="H242" s="34">
        <v>152.0</v>
      </c>
      <c r="I242" s="34"/>
      <c r="J242" s="34"/>
      <c r="K242" s="34"/>
      <c r="L242" s="34"/>
      <c r="M242" s="34"/>
      <c r="N242" s="34"/>
      <c r="O242" s="34"/>
      <c r="P242" s="34"/>
      <c r="Q242" s="34"/>
      <c r="R242" s="34"/>
      <c r="S242" s="34"/>
      <c r="T242" s="34"/>
      <c r="U242" s="34"/>
      <c r="V242" s="34"/>
    </row>
    <row r="243">
      <c r="A243" s="37">
        <v>115.0</v>
      </c>
      <c r="B243" s="37">
        <v>8.0</v>
      </c>
      <c r="C243" s="31"/>
      <c r="D243" s="37" t="s">
        <v>527</v>
      </c>
      <c r="E243" s="28" t="s">
        <v>528</v>
      </c>
      <c r="F243" s="31"/>
      <c r="G243" s="34">
        <v>1.0</v>
      </c>
      <c r="H243" s="34">
        <v>153.0</v>
      </c>
      <c r="I243" s="34"/>
      <c r="J243" s="34"/>
      <c r="K243" s="34"/>
      <c r="L243" s="34"/>
      <c r="M243" s="34"/>
      <c r="N243" s="34"/>
      <c r="O243" s="34"/>
      <c r="P243" s="34"/>
      <c r="Q243" s="34"/>
      <c r="R243" s="34"/>
      <c r="S243" s="34"/>
      <c r="T243" s="34"/>
      <c r="U243" s="34"/>
      <c r="V243" s="34"/>
    </row>
    <row r="244">
      <c r="A244" s="37">
        <v>116.0</v>
      </c>
      <c r="B244" s="37">
        <v>1.0</v>
      </c>
      <c r="C244" s="37" t="s">
        <v>529</v>
      </c>
      <c r="D244" s="37" t="s">
        <v>530</v>
      </c>
      <c r="E244" s="28" t="s">
        <v>531</v>
      </c>
      <c r="F244" s="37"/>
      <c r="G244" s="34">
        <v>1.0</v>
      </c>
      <c r="H244" s="34">
        <v>154.0</v>
      </c>
      <c r="I244" s="34"/>
      <c r="J244" s="34"/>
      <c r="K244" s="34"/>
      <c r="L244" s="34"/>
      <c r="M244" s="34"/>
      <c r="N244" s="34"/>
      <c r="O244" s="34"/>
      <c r="P244" s="34"/>
      <c r="Q244" s="34"/>
      <c r="R244" s="34"/>
      <c r="S244" s="34"/>
      <c r="T244" s="34"/>
      <c r="U244" s="34"/>
      <c r="V244" s="34"/>
    </row>
    <row r="245">
      <c r="A245" s="37">
        <v>116.0</v>
      </c>
      <c r="B245" s="37">
        <v>2.0</v>
      </c>
      <c r="C245" s="31"/>
      <c r="D245" s="37" t="s">
        <v>532</v>
      </c>
      <c r="E245" s="28" t="s">
        <v>533</v>
      </c>
      <c r="F245" s="31"/>
      <c r="G245" s="34">
        <v>1.0</v>
      </c>
      <c r="H245" s="34">
        <v>155.0</v>
      </c>
      <c r="I245" s="34"/>
      <c r="J245" s="34"/>
      <c r="K245" s="34"/>
      <c r="L245" s="34"/>
      <c r="M245" s="34"/>
      <c r="N245" s="34"/>
      <c r="O245" s="34"/>
      <c r="P245" s="34"/>
      <c r="Q245" s="34"/>
      <c r="R245" s="34"/>
      <c r="S245" s="34"/>
      <c r="T245" s="34"/>
      <c r="U245" s="34"/>
      <c r="V245" s="34"/>
    </row>
    <row r="246">
      <c r="A246" s="37">
        <v>116.0</v>
      </c>
      <c r="B246" s="37">
        <v>3.0</v>
      </c>
      <c r="C246" s="31"/>
      <c r="D246" s="37" t="s">
        <v>534</v>
      </c>
      <c r="E246" s="37" t="s">
        <v>535</v>
      </c>
      <c r="F246" s="31"/>
      <c r="G246" s="34">
        <v>1.0</v>
      </c>
      <c r="H246" s="34">
        <v>156.0</v>
      </c>
      <c r="I246" s="34"/>
      <c r="J246" s="34"/>
      <c r="K246" s="34"/>
      <c r="L246" s="34"/>
      <c r="M246" s="34"/>
      <c r="N246" s="34"/>
      <c r="O246" s="34"/>
      <c r="P246" s="34"/>
      <c r="Q246" s="34"/>
      <c r="R246" s="34"/>
      <c r="S246" s="34"/>
      <c r="T246" s="34"/>
      <c r="U246" s="34"/>
      <c r="V246" s="34"/>
    </row>
    <row r="247">
      <c r="A247" s="37">
        <v>117.0</v>
      </c>
      <c r="B247" s="37">
        <v>1.0</v>
      </c>
      <c r="C247" s="37" t="s">
        <v>536</v>
      </c>
      <c r="D247" s="37" t="s">
        <v>537</v>
      </c>
      <c r="E247" s="37" t="s">
        <v>538</v>
      </c>
      <c r="F247" s="31"/>
      <c r="G247" s="34">
        <v>1.0</v>
      </c>
      <c r="H247" s="34">
        <v>157.0</v>
      </c>
      <c r="I247" s="34"/>
      <c r="J247" s="34"/>
      <c r="K247" s="34"/>
      <c r="L247" s="34"/>
      <c r="M247" s="34"/>
      <c r="N247" s="34"/>
      <c r="O247" s="34"/>
      <c r="P247" s="34"/>
      <c r="Q247" s="34"/>
      <c r="R247" s="34"/>
      <c r="S247" s="34"/>
      <c r="T247" s="34"/>
      <c r="U247" s="34"/>
      <c r="V247" s="34"/>
    </row>
    <row r="248">
      <c r="A248" s="37">
        <v>118.0</v>
      </c>
      <c r="B248" s="37">
        <v>1.0</v>
      </c>
      <c r="C248" s="37" t="s">
        <v>539</v>
      </c>
      <c r="D248" s="37" t="s">
        <v>540</v>
      </c>
      <c r="E248" s="37" t="s">
        <v>538</v>
      </c>
      <c r="F248" s="31"/>
      <c r="G248" s="34">
        <v>2.0</v>
      </c>
      <c r="H248" s="34" t="s">
        <v>56</v>
      </c>
      <c r="I248" s="34"/>
      <c r="J248" s="34"/>
      <c r="K248" s="34"/>
      <c r="L248" s="34"/>
      <c r="M248" s="34"/>
      <c r="N248" s="34"/>
      <c r="O248" s="34"/>
      <c r="P248" s="34"/>
      <c r="Q248" s="34"/>
      <c r="R248" s="34"/>
      <c r="S248" s="34"/>
      <c r="T248" s="34"/>
      <c r="U248" s="34"/>
      <c r="V248" s="34"/>
    </row>
    <row r="249">
      <c r="A249" s="37">
        <v>119.0</v>
      </c>
      <c r="B249" s="37">
        <v>1.0</v>
      </c>
      <c r="C249" s="29" t="s">
        <v>541</v>
      </c>
      <c r="D249" s="42" t="s">
        <v>542</v>
      </c>
      <c r="E249" s="28" t="s">
        <v>543</v>
      </c>
      <c r="F249" s="31"/>
      <c r="G249" s="34">
        <v>1.0</v>
      </c>
      <c r="H249" s="34">
        <v>158.0</v>
      </c>
      <c r="I249" s="34"/>
      <c r="J249" s="34"/>
      <c r="K249" s="34"/>
      <c r="L249" s="34"/>
      <c r="M249" s="34"/>
      <c r="N249" s="34"/>
      <c r="O249" s="34"/>
      <c r="P249" s="34"/>
      <c r="Q249" s="34"/>
      <c r="R249" s="34"/>
      <c r="S249" s="34"/>
      <c r="T249" s="34"/>
      <c r="U249" s="34"/>
      <c r="V249" s="34"/>
    </row>
    <row r="250">
      <c r="A250" s="37">
        <v>1.0</v>
      </c>
      <c r="B250" s="37"/>
      <c r="C250" s="28"/>
      <c r="D250" s="42" t="s">
        <v>544</v>
      </c>
      <c r="E250" s="28" t="s">
        <v>545</v>
      </c>
      <c r="F250" s="31"/>
      <c r="G250" s="34">
        <v>1.0</v>
      </c>
      <c r="H250" s="34">
        <v>159.0</v>
      </c>
      <c r="I250" s="34"/>
      <c r="J250" s="34"/>
      <c r="K250" s="34"/>
      <c r="L250" s="34"/>
      <c r="M250" s="34"/>
      <c r="N250" s="34"/>
      <c r="O250" s="34"/>
      <c r="P250" s="34"/>
      <c r="Q250" s="34"/>
      <c r="R250" s="34"/>
      <c r="S250" s="34"/>
      <c r="T250" s="34"/>
      <c r="U250" s="34"/>
      <c r="V250" s="34"/>
    </row>
    <row r="251">
      <c r="A251" s="37">
        <v>120.0</v>
      </c>
      <c r="B251" s="37">
        <v>1.0</v>
      </c>
      <c r="C251" s="37" t="s">
        <v>546</v>
      </c>
      <c r="D251" s="37" t="s">
        <v>547</v>
      </c>
      <c r="E251" s="37" t="s">
        <v>478</v>
      </c>
      <c r="F251" s="37"/>
      <c r="G251" s="34">
        <v>2.0</v>
      </c>
      <c r="H251" s="34" t="s">
        <v>56</v>
      </c>
      <c r="I251" s="34"/>
      <c r="J251" s="34"/>
      <c r="K251" s="34"/>
      <c r="L251" s="34"/>
      <c r="M251" s="34"/>
      <c r="N251" s="34"/>
      <c r="O251" s="34"/>
      <c r="P251" s="34"/>
      <c r="Q251" s="34"/>
      <c r="R251" s="34"/>
      <c r="S251" s="34"/>
      <c r="T251" s="34"/>
      <c r="U251" s="34"/>
      <c r="V251" s="34"/>
    </row>
    <row r="252">
      <c r="A252" s="37">
        <v>120.0</v>
      </c>
      <c r="B252" s="37">
        <v>2.0</v>
      </c>
      <c r="C252" s="31"/>
      <c r="D252" s="37" t="s">
        <v>548</v>
      </c>
      <c r="E252" s="37" t="s">
        <v>240</v>
      </c>
      <c r="F252" s="37"/>
      <c r="G252" s="34">
        <v>9.0</v>
      </c>
      <c r="H252" s="34" t="s">
        <v>56</v>
      </c>
      <c r="I252" s="34"/>
      <c r="J252" s="34"/>
      <c r="K252" s="34"/>
      <c r="L252" s="34"/>
      <c r="M252" s="34"/>
      <c r="N252" s="34"/>
      <c r="O252" s="34"/>
      <c r="P252" s="34"/>
      <c r="Q252" s="34"/>
      <c r="R252" s="34"/>
      <c r="S252" s="34"/>
      <c r="T252" s="34"/>
      <c r="U252" s="34"/>
      <c r="V252" s="34"/>
    </row>
    <row r="253">
      <c r="A253" s="37">
        <v>121.0</v>
      </c>
      <c r="B253" s="37">
        <v>1.0</v>
      </c>
      <c r="C253" s="37" t="s">
        <v>549</v>
      </c>
      <c r="D253" s="37" t="s">
        <v>550</v>
      </c>
      <c r="E253" s="37" t="s">
        <v>464</v>
      </c>
      <c r="F253" s="37"/>
      <c r="G253" s="34">
        <v>2.0</v>
      </c>
      <c r="H253" s="34" t="s">
        <v>56</v>
      </c>
      <c r="I253" s="34"/>
      <c r="J253" s="34"/>
      <c r="K253" s="34"/>
      <c r="L253" s="34"/>
      <c r="M253" s="34"/>
      <c r="N253" s="34"/>
      <c r="O253" s="34"/>
      <c r="P253" s="34"/>
      <c r="Q253" s="34"/>
      <c r="R253" s="34"/>
      <c r="S253" s="34"/>
      <c r="T253" s="34"/>
      <c r="U253" s="34"/>
      <c r="V253" s="34"/>
    </row>
    <row r="254">
      <c r="A254" s="37">
        <v>122.0</v>
      </c>
      <c r="B254" s="37">
        <v>1.0</v>
      </c>
      <c r="C254" s="37" t="s">
        <v>551</v>
      </c>
      <c r="D254" s="37" t="s">
        <v>552</v>
      </c>
      <c r="E254" s="37" t="s">
        <v>488</v>
      </c>
      <c r="F254" s="37"/>
      <c r="G254" s="34">
        <v>2.0</v>
      </c>
      <c r="H254" s="34" t="s">
        <v>56</v>
      </c>
      <c r="I254" s="34"/>
      <c r="J254" s="34"/>
      <c r="K254" s="34"/>
      <c r="L254" s="34"/>
      <c r="M254" s="34"/>
      <c r="N254" s="34"/>
      <c r="O254" s="34"/>
      <c r="P254" s="34"/>
      <c r="Q254" s="34"/>
      <c r="R254" s="34"/>
      <c r="S254" s="34"/>
      <c r="T254" s="34"/>
      <c r="U254" s="34"/>
      <c r="V254" s="34"/>
    </row>
    <row r="255">
      <c r="A255" s="37">
        <v>122.0</v>
      </c>
      <c r="B255" s="37">
        <v>2.0</v>
      </c>
      <c r="C255" s="31"/>
      <c r="D255" s="37" t="s">
        <v>553</v>
      </c>
      <c r="E255" s="37" t="s">
        <v>482</v>
      </c>
      <c r="F255" s="37"/>
      <c r="G255" s="34">
        <v>2.0</v>
      </c>
      <c r="H255" s="34" t="s">
        <v>56</v>
      </c>
      <c r="I255" s="34"/>
      <c r="J255" s="34"/>
      <c r="K255" s="34"/>
      <c r="L255" s="34"/>
      <c r="M255" s="34"/>
      <c r="N255" s="34"/>
      <c r="O255" s="34"/>
      <c r="P255" s="34"/>
      <c r="Q255" s="34"/>
      <c r="R255" s="34"/>
      <c r="S255" s="34"/>
      <c r="T255" s="34"/>
      <c r="U255" s="34"/>
      <c r="V255" s="34"/>
    </row>
    <row r="256">
      <c r="A256" s="37">
        <v>123.0</v>
      </c>
      <c r="B256" s="37">
        <v>1.0</v>
      </c>
      <c r="C256" s="37" t="s">
        <v>554</v>
      </c>
      <c r="D256" s="37" t="s">
        <v>555</v>
      </c>
      <c r="E256" s="37" t="s">
        <v>502</v>
      </c>
      <c r="F256" s="37"/>
      <c r="G256" s="34">
        <v>2.0</v>
      </c>
      <c r="H256" s="34" t="s">
        <v>56</v>
      </c>
      <c r="I256" s="34"/>
      <c r="J256" s="34"/>
      <c r="K256" s="34"/>
      <c r="L256" s="34"/>
      <c r="M256" s="34"/>
      <c r="N256" s="34"/>
      <c r="O256" s="34"/>
      <c r="P256" s="34"/>
      <c r="Q256" s="34"/>
      <c r="R256" s="34"/>
      <c r="S256" s="34"/>
      <c r="T256" s="34"/>
      <c r="U256" s="34"/>
      <c r="V256" s="34"/>
    </row>
    <row r="257">
      <c r="A257" s="37">
        <v>124.0</v>
      </c>
      <c r="B257" s="37">
        <v>1.0</v>
      </c>
      <c r="C257" s="37" t="s">
        <v>556</v>
      </c>
      <c r="D257" s="37" t="s">
        <v>557</v>
      </c>
      <c r="E257" s="28" t="s">
        <v>558</v>
      </c>
      <c r="F257" s="37"/>
      <c r="G257" s="34">
        <v>1.0</v>
      </c>
      <c r="H257" s="34">
        <v>160.0</v>
      </c>
      <c r="I257" s="34"/>
      <c r="J257" s="34"/>
      <c r="K257" s="34"/>
      <c r="L257" s="34"/>
      <c r="M257" s="34"/>
      <c r="N257" s="34"/>
      <c r="O257" s="34"/>
      <c r="P257" s="34"/>
      <c r="Q257" s="34"/>
      <c r="R257" s="34"/>
      <c r="S257" s="34"/>
      <c r="T257" s="34"/>
      <c r="U257" s="34"/>
      <c r="V257" s="34"/>
    </row>
    <row r="258">
      <c r="A258" s="37">
        <v>124.0</v>
      </c>
      <c r="B258" s="37">
        <v>2.0</v>
      </c>
      <c r="C258" s="31"/>
      <c r="D258" s="28" t="s">
        <v>559</v>
      </c>
      <c r="E258" s="37" t="s">
        <v>486</v>
      </c>
      <c r="F258" s="37"/>
      <c r="G258" s="34">
        <v>3.0</v>
      </c>
      <c r="H258" s="34" t="s">
        <v>56</v>
      </c>
      <c r="I258" s="34"/>
      <c r="J258" s="34"/>
      <c r="K258" s="34"/>
      <c r="L258" s="34"/>
      <c r="M258" s="34"/>
      <c r="N258" s="34"/>
      <c r="O258" s="34"/>
      <c r="P258" s="34"/>
      <c r="Q258" s="34"/>
      <c r="R258" s="34"/>
      <c r="S258" s="34"/>
      <c r="T258" s="34"/>
      <c r="U258" s="34"/>
      <c r="V258" s="34"/>
    </row>
    <row r="259">
      <c r="A259" s="37">
        <v>125.0</v>
      </c>
      <c r="B259" s="37">
        <v>1.0</v>
      </c>
      <c r="C259" s="37" t="s">
        <v>560</v>
      </c>
      <c r="D259" s="37" t="s">
        <v>530</v>
      </c>
      <c r="E259" s="28" t="s">
        <v>531</v>
      </c>
      <c r="F259" s="37"/>
      <c r="G259" s="34">
        <v>2.0</v>
      </c>
      <c r="H259" s="34" t="s">
        <v>56</v>
      </c>
      <c r="I259" s="34"/>
      <c r="J259" s="34"/>
      <c r="K259" s="34"/>
      <c r="L259" s="34"/>
      <c r="M259" s="34"/>
      <c r="N259" s="34"/>
      <c r="O259" s="34"/>
      <c r="P259" s="34"/>
      <c r="Q259" s="34"/>
      <c r="R259" s="34"/>
      <c r="S259" s="34"/>
      <c r="T259" s="34"/>
      <c r="U259" s="34"/>
      <c r="V259" s="34"/>
    </row>
    <row r="260">
      <c r="A260" s="37">
        <v>126.0</v>
      </c>
      <c r="B260" s="37">
        <v>1.0</v>
      </c>
      <c r="C260" s="37" t="s">
        <v>561</v>
      </c>
      <c r="D260" s="37" t="s">
        <v>552</v>
      </c>
      <c r="E260" s="37" t="s">
        <v>488</v>
      </c>
      <c r="F260" s="37"/>
      <c r="G260" s="34">
        <v>3.0</v>
      </c>
      <c r="H260" s="34" t="s">
        <v>56</v>
      </c>
      <c r="I260" s="34"/>
      <c r="J260" s="34"/>
      <c r="K260" s="34"/>
      <c r="L260" s="34"/>
      <c r="M260" s="34"/>
      <c r="N260" s="34"/>
      <c r="O260" s="34"/>
      <c r="P260" s="34"/>
      <c r="Q260" s="34"/>
      <c r="R260" s="34"/>
      <c r="S260" s="34"/>
      <c r="T260" s="34"/>
      <c r="U260" s="34"/>
      <c r="V260" s="34"/>
    </row>
    <row r="261">
      <c r="A261" s="37">
        <v>126.0</v>
      </c>
      <c r="B261" s="37">
        <v>2.0</v>
      </c>
      <c r="C261" s="31"/>
      <c r="D261" s="37" t="s">
        <v>562</v>
      </c>
      <c r="E261" s="28" t="s">
        <v>563</v>
      </c>
      <c r="F261" s="37"/>
      <c r="G261" s="34">
        <v>1.0</v>
      </c>
      <c r="H261" s="34">
        <v>161.0</v>
      </c>
      <c r="I261" s="34"/>
      <c r="J261" s="34"/>
      <c r="K261" s="34"/>
      <c r="L261" s="34"/>
      <c r="M261" s="34"/>
      <c r="N261" s="34"/>
      <c r="O261" s="34"/>
      <c r="P261" s="34"/>
      <c r="Q261" s="34"/>
      <c r="R261" s="34"/>
      <c r="S261" s="34"/>
      <c r="T261" s="34"/>
      <c r="U261" s="34"/>
      <c r="V261" s="34"/>
    </row>
    <row r="262">
      <c r="A262" s="37">
        <v>126.0</v>
      </c>
      <c r="B262" s="37">
        <v>3.0</v>
      </c>
      <c r="C262" s="31"/>
      <c r="D262" s="37" t="s">
        <v>564</v>
      </c>
      <c r="E262" s="28" t="s">
        <v>453</v>
      </c>
      <c r="F262" s="37"/>
      <c r="G262" s="34">
        <v>3.0</v>
      </c>
      <c r="H262" s="34" t="s">
        <v>56</v>
      </c>
      <c r="I262" s="34"/>
      <c r="J262" s="34"/>
      <c r="K262" s="34"/>
      <c r="L262" s="34"/>
      <c r="M262" s="34"/>
      <c r="N262" s="34"/>
      <c r="O262" s="34"/>
      <c r="P262" s="34"/>
      <c r="Q262" s="34"/>
      <c r="R262" s="34"/>
      <c r="S262" s="34"/>
      <c r="T262" s="34"/>
      <c r="U262" s="34"/>
      <c r="V262" s="34"/>
    </row>
    <row r="263">
      <c r="A263" s="37">
        <v>126.0</v>
      </c>
      <c r="B263" s="37">
        <v>4.0</v>
      </c>
      <c r="C263" s="31"/>
      <c r="D263" s="37" t="s">
        <v>491</v>
      </c>
      <c r="E263" s="28" t="s">
        <v>450</v>
      </c>
      <c r="F263" s="37"/>
      <c r="G263" s="34">
        <v>3.0</v>
      </c>
      <c r="H263" s="34" t="s">
        <v>56</v>
      </c>
      <c r="I263" s="34"/>
      <c r="J263" s="34"/>
      <c r="K263" s="34"/>
      <c r="L263" s="34"/>
      <c r="M263" s="34"/>
      <c r="N263" s="34"/>
      <c r="O263" s="34"/>
      <c r="P263" s="34"/>
      <c r="Q263" s="34"/>
      <c r="R263" s="34"/>
      <c r="S263" s="34"/>
      <c r="T263" s="34"/>
      <c r="U263" s="34"/>
      <c r="V263" s="34"/>
    </row>
    <row r="264">
      <c r="A264" s="37">
        <v>127.0</v>
      </c>
      <c r="B264" s="37">
        <v>1.0</v>
      </c>
      <c r="C264" s="37" t="s">
        <v>565</v>
      </c>
      <c r="D264" s="37" t="s">
        <v>566</v>
      </c>
      <c r="E264" s="28" t="s">
        <v>531</v>
      </c>
      <c r="F264" s="31"/>
      <c r="G264" s="34">
        <v>3.0</v>
      </c>
      <c r="H264" s="34" t="s">
        <v>56</v>
      </c>
      <c r="I264" s="34"/>
      <c r="J264" s="34"/>
      <c r="K264" s="34"/>
      <c r="L264" s="34"/>
      <c r="M264" s="34"/>
      <c r="N264" s="34"/>
      <c r="O264" s="34"/>
      <c r="P264" s="34"/>
      <c r="Q264" s="34"/>
      <c r="R264" s="34"/>
      <c r="S264" s="34"/>
      <c r="T264" s="34"/>
      <c r="U264" s="34"/>
      <c r="V264" s="34"/>
    </row>
    <row r="265">
      <c r="A265" s="37">
        <v>128.0</v>
      </c>
      <c r="B265" s="37">
        <v>1.0</v>
      </c>
      <c r="C265" s="37" t="s">
        <v>567</v>
      </c>
      <c r="D265" s="37" t="s">
        <v>568</v>
      </c>
      <c r="E265" s="37" t="s">
        <v>569</v>
      </c>
      <c r="F265" s="31"/>
      <c r="G265" s="34">
        <v>1.0</v>
      </c>
      <c r="H265" s="34">
        <v>162.0</v>
      </c>
      <c r="I265" s="34"/>
      <c r="J265" s="34"/>
      <c r="K265" s="34"/>
      <c r="L265" s="34"/>
      <c r="M265" s="34"/>
      <c r="N265" s="34"/>
      <c r="O265" s="34"/>
      <c r="P265" s="34"/>
      <c r="Q265" s="34"/>
      <c r="R265" s="34"/>
      <c r="S265" s="34"/>
      <c r="T265" s="34"/>
      <c r="U265" s="34"/>
      <c r="V265" s="34"/>
    </row>
    <row r="266">
      <c r="A266" s="37">
        <v>128.0</v>
      </c>
      <c r="B266" s="37">
        <v>2.0</v>
      </c>
      <c r="C266" s="31"/>
      <c r="D266" s="37" t="s">
        <v>570</v>
      </c>
      <c r="E266" s="28" t="s">
        <v>103</v>
      </c>
      <c r="F266" s="37"/>
      <c r="G266" s="34">
        <v>4.0</v>
      </c>
      <c r="H266" s="34" t="s">
        <v>56</v>
      </c>
      <c r="I266" s="34"/>
      <c r="J266" s="34"/>
      <c r="K266" s="34"/>
      <c r="L266" s="34"/>
      <c r="M266" s="34"/>
      <c r="N266" s="34"/>
      <c r="O266" s="34"/>
      <c r="P266" s="34"/>
      <c r="Q266" s="34"/>
      <c r="R266" s="34"/>
      <c r="S266" s="34"/>
      <c r="T266" s="34"/>
      <c r="U266" s="34"/>
      <c r="V266" s="34"/>
    </row>
    <row r="267">
      <c r="A267" s="37">
        <v>129.0</v>
      </c>
      <c r="B267" s="37">
        <v>1.0</v>
      </c>
      <c r="C267" s="37" t="s">
        <v>571</v>
      </c>
      <c r="D267" s="37" t="s">
        <v>572</v>
      </c>
      <c r="E267" s="37" t="s">
        <v>573</v>
      </c>
      <c r="F267" s="31"/>
      <c r="G267" s="34">
        <v>1.0</v>
      </c>
      <c r="H267" s="34">
        <v>163.0</v>
      </c>
      <c r="I267" s="34"/>
      <c r="J267" s="34"/>
      <c r="K267" s="34"/>
      <c r="L267" s="34"/>
      <c r="M267" s="34"/>
      <c r="N267" s="34"/>
      <c r="O267" s="34"/>
      <c r="P267" s="34"/>
      <c r="Q267" s="34"/>
      <c r="R267" s="34"/>
      <c r="S267" s="34"/>
      <c r="T267" s="34"/>
      <c r="U267" s="34"/>
      <c r="V267" s="34"/>
    </row>
    <row r="268">
      <c r="A268" s="37">
        <v>130.0</v>
      </c>
      <c r="B268" s="37">
        <v>1.0</v>
      </c>
      <c r="C268" s="37" t="s">
        <v>574</v>
      </c>
      <c r="D268" s="28" t="s">
        <v>575</v>
      </c>
      <c r="E268" s="37" t="s">
        <v>576</v>
      </c>
      <c r="F268" s="31"/>
      <c r="G268" s="34">
        <v>1.0</v>
      </c>
      <c r="H268" s="34">
        <v>164.0</v>
      </c>
      <c r="I268" s="34"/>
      <c r="J268" s="34"/>
      <c r="K268" s="34"/>
      <c r="L268" s="34"/>
      <c r="M268" s="34"/>
      <c r="N268" s="34"/>
      <c r="O268" s="34"/>
      <c r="P268" s="34"/>
      <c r="Q268" s="34"/>
      <c r="R268" s="34"/>
      <c r="S268" s="34"/>
      <c r="T268" s="34"/>
      <c r="U268" s="34"/>
      <c r="V268" s="34"/>
    </row>
    <row r="269">
      <c r="A269" s="37">
        <v>131.0</v>
      </c>
      <c r="B269" s="37">
        <v>1.0</v>
      </c>
      <c r="C269" s="37" t="s">
        <v>135</v>
      </c>
      <c r="D269" s="37" t="s">
        <v>136</v>
      </c>
      <c r="E269" s="28" t="s">
        <v>137</v>
      </c>
      <c r="F269" s="37"/>
      <c r="G269" s="34">
        <v>2.0</v>
      </c>
      <c r="H269" s="34" t="s">
        <v>56</v>
      </c>
      <c r="I269" s="34"/>
      <c r="J269" s="34"/>
      <c r="K269" s="34"/>
      <c r="L269" s="34"/>
      <c r="M269" s="34"/>
      <c r="N269" s="34"/>
      <c r="O269" s="34"/>
      <c r="P269" s="34"/>
      <c r="Q269" s="34"/>
      <c r="R269" s="34"/>
      <c r="S269" s="34"/>
      <c r="T269" s="34"/>
      <c r="U269" s="34"/>
      <c r="V269" s="34"/>
    </row>
    <row r="270">
      <c r="A270" s="37">
        <v>132.0</v>
      </c>
      <c r="B270" s="37">
        <v>1.0</v>
      </c>
      <c r="C270" s="37" t="s">
        <v>577</v>
      </c>
      <c r="D270" s="37" t="s">
        <v>578</v>
      </c>
      <c r="E270" s="28" t="s">
        <v>103</v>
      </c>
      <c r="F270" s="37"/>
      <c r="G270" s="34">
        <v>5.0</v>
      </c>
      <c r="H270" s="34" t="s">
        <v>56</v>
      </c>
      <c r="I270" s="34"/>
      <c r="J270" s="34"/>
      <c r="K270" s="34"/>
      <c r="L270" s="34"/>
      <c r="M270" s="34"/>
      <c r="N270" s="34"/>
      <c r="O270" s="34"/>
      <c r="P270" s="34"/>
      <c r="Q270" s="34"/>
      <c r="R270" s="34"/>
      <c r="S270" s="34"/>
      <c r="T270" s="34"/>
      <c r="U270" s="34"/>
      <c r="V270" s="34"/>
    </row>
    <row r="271">
      <c r="A271" s="37">
        <v>132.0</v>
      </c>
      <c r="B271" s="37">
        <v>2.0</v>
      </c>
      <c r="C271" s="31"/>
      <c r="D271" s="37" t="s">
        <v>579</v>
      </c>
      <c r="E271" s="37" t="s">
        <v>101</v>
      </c>
      <c r="F271" s="37"/>
      <c r="G271" s="34">
        <v>4.0</v>
      </c>
      <c r="H271" s="34" t="s">
        <v>56</v>
      </c>
      <c r="I271" s="34"/>
      <c r="J271" s="34"/>
      <c r="K271" s="34"/>
      <c r="L271" s="34"/>
      <c r="M271" s="34"/>
      <c r="N271" s="34"/>
      <c r="O271" s="34"/>
      <c r="P271" s="34"/>
      <c r="Q271" s="34"/>
      <c r="R271" s="34"/>
      <c r="S271" s="34"/>
      <c r="T271" s="34"/>
      <c r="U271" s="34"/>
      <c r="V271" s="34"/>
    </row>
    <row r="272">
      <c r="A272" s="37">
        <v>132.0</v>
      </c>
      <c r="B272" s="37">
        <v>3.0</v>
      </c>
      <c r="C272" s="31"/>
      <c r="D272" s="37" t="s">
        <v>580</v>
      </c>
      <c r="E272" s="37" t="s">
        <v>101</v>
      </c>
      <c r="F272" s="31"/>
      <c r="G272" s="34">
        <v>5.0</v>
      </c>
      <c r="H272" s="34" t="s">
        <v>56</v>
      </c>
      <c r="I272" s="34"/>
      <c r="J272" s="34"/>
      <c r="K272" s="34"/>
      <c r="L272" s="34"/>
      <c r="M272" s="34"/>
      <c r="N272" s="34"/>
      <c r="O272" s="34"/>
      <c r="P272" s="34"/>
      <c r="Q272" s="34"/>
      <c r="R272" s="34"/>
      <c r="S272" s="34"/>
      <c r="T272" s="34"/>
      <c r="U272" s="34"/>
      <c r="V272" s="34"/>
    </row>
    <row r="273">
      <c r="A273" s="37">
        <v>132.0</v>
      </c>
      <c r="B273" s="37">
        <v>4.0</v>
      </c>
      <c r="C273" s="31"/>
      <c r="D273" s="37" t="s">
        <v>177</v>
      </c>
      <c r="E273" s="37" t="s">
        <v>111</v>
      </c>
      <c r="F273" s="37"/>
      <c r="G273" s="34">
        <v>3.0</v>
      </c>
      <c r="H273" s="34" t="s">
        <v>56</v>
      </c>
      <c r="I273" s="34"/>
      <c r="J273" s="34"/>
      <c r="K273" s="34"/>
      <c r="L273" s="34"/>
      <c r="M273" s="34"/>
      <c r="N273" s="34"/>
      <c r="O273" s="34"/>
      <c r="P273" s="34"/>
      <c r="Q273" s="34"/>
      <c r="R273" s="34"/>
      <c r="S273" s="34"/>
      <c r="T273" s="34"/>
      <c r="U273" s="34"/>
      <c r="V273" s="34"/>
    </row>
    <row r="274">
      <c r="A274" s="37">
        <v>133.0</v>
      </c>
      <c r="B274" s="37">
        <v>1.0</v>
      </c>
      <c r="C274" s="37" t="s">
        <v>581</v>
      </c>
      <c r="D274" s="37" t="s">
        <v>582</v>
      </c>
      <c r="E274" s="37" t="s">
        <v>583</v>
      </c>
      <c r="F274" s="31"/>
      <c r="G274" s="34">
        <v>1.0</v>
      </c>
      <c r="H274" s="34">
        <v>165.0</v>
      </c>
      <c r="I274" s="34"/>
      <c r="J274" s="34"/>
      <c r="K274" s="34"/>
      <c r="L274" s="34"/>
      <c r="M274" s="34"/>
      <c r="N274" s="34"/>
      <c r="O274" s="34"/>
      <c r="P274" s="34"/>
      <c r="Q274" s="34"/>
      <c r="R274" s="34"/>
      <c r="S274" s="34"/>
      <c r="T274" s="34"/>
      <c r="U274" s="34"/>
      <c r="V274" s="34"/>
    </row>
    <row r="275">
      <c r="A275" s="37">
        <v>134.0</v>
      </c>
      <c r="B275" s="37">
        <v>1.0</v>
      </c>
      <c r="C275" s="37" t="s">
        <v>584</v>
      </c>
      <c r="D275" s="37" t="s">
        <v>585</v>
      </c>
      <c r="E275" s="37" t="s">
        <v>586</v>
      </c>
      <c r="F275" s="31"/>
      <c r="G275" s="34">
        <v>1.0</v>
      </c>
      <c r="H275" s="34">
        <v>166.0</v>
      </c>
      <c r="I275" s="34"/>
      <c r="J275" s="34"/>
      <c r="K275" s="34"/>
      <c r="L275" s="34"/>
      <c r="M275" s="34"/>
      <c r="N275" s="34"/>
      <c r="O275" s="34"/>
      <c r="P275" s="34"/>
      <c r="Q275" s="34"/>
      <c r="R275" s="34"/>
      <c r="S275" s="34"/>
      <c r="T275" s="34"/>
      <c r="U275" s="34"/>
      <c r="V275" s="34"/>
    </row>
    <row r="276">
      <c r="A276" s="37">
        <v>134.0</v>
      </c>
      <c r="B276" s="37">
        <v>2.0</v>
      </c>
      <c r="C276" s="31"/>
      <c r="D276" s="37" t="s">
        <v>587</v>
      </c>
      <c r="E276" s="37" t="s">
        <v>588</v>
      </c>
      <c r="F276" s="31"/>
      <c r="G276" s="34">
        <v>1.0</v>
      </c>
      <c r="H276" s="34">
        <v>167.0</v>
      </c>
      <c r="I276" s="34"/>
      <c r="J276" s="34"/>
      <c r="K276" s="34"/>
      <c r="L276" s="34"/>
      <c r="M276" s="34"/>
      <c r="N276" s="34"/>
      <c r="O276" s="34"/>
      <c r="P276" s="34"/>
      <c r="Q276" s="34"/>
      <c r="R276" s="34"/>
      <c r="S276" s="34"/>
      <c r="T276" s="34"/>
      <c r="U276" s="34"/>
      <c r="V276" s="34"/>
    </row>
    <row r="277">
      <c r="A277" s="37">
        <v>135.0</v>
      </c>
      <c r="B277" s="37">
        <v>1.0</v>
      </c>
      <c r="C277" s="37" t="s">
        <v>589</v>
      </c>
      <c r="D277" s="37" t="s">
        <v>590</v>
      </c>
      <c r="E277" s="37" t="s">
        <v>591</v>
      </c>
      <c r="F277" s="31"/>
      <c r="G277" s="34">
        <v>1.0</v>
      </c>
      <c r="H277" s="34">
        <v>168.0</v>
      </c>
      <c r="I277" s="34"/>
      <c r="J277" s="34"/>
      <c r="K277" s="34"/>
      <c r="L277" s="34"/>
      <c r="M277" s="34"/>
      <c r="N277" s="34"/>
      <c r="O277" s="34"/>
      <c r="P277" s="34"/>
      <c r="Q277" s="34"/>
      <c r="R277" s="34"/>
      <c r="S277" s="34"/>
      <c r="T277" s="34"/>
      <c r="U277" s="34"/>
      <c r="V277" s="34"/>
    </row>
    <row r="278">
      <c r="A278" s="37">
        <v>135.0</v>
      </c>
      <c r="B278" s="37">
        <v>2.0</v>
      </c>
      <c r="C278" s="31"/>
      <c r="D278" s="37" t="s">
        <v>592</v>
      </c>
      <c r="E278" s="37" t="s">
        <v>593</v>
      </c>
      <c r="F278" s="31"/>
      <c r="G278" s="34">
        <v>1.0</v>
      </c>
      <c r="H278" s="34">
        <v>169.0</v>
      </c>
      <c r="I278" s="34"/>
      <c r="J278" s="34"/>
      <c r="K278" s="34"/>
      <c r="L278" s="34"/>
      <c r="M278" s="34"/>
      <c r="N278" s="34"/>
      <c r="O278" s="34"/>
      <c r="P278" s="34"/>
      <c r="Q278" s="34"/>
      <c r="R278" s="34"/>
      <c r="S278" s="34"/>
      <c r="T278" s="34"/>
      <c r="U278" s="34"/>
      <c r="V278" s="34"/>
    </row>
    <row r="279">
      <c r="A279" s="37">
        <v>135.0</v>
      </c>
      <c r="B279" s="37">
        <v>3.0</v>
      </c>
      <c r="C279" s="31"/>
      <c r="D279" s="37" t="s">
        <v>594</v>
      </c>
      <c r="E279" s="37" t="s">
        <v>595</v>
      </c>
      <c r="F279" s="31"/>
      <c r="G279" s="34">
        <v>1.0</v>
      </c>
      <c r="H279" s="34">
        <v>170.0</v>
      </c>
      <c r="I279" s="34"/>
      <c r="J279" s="34"/>
      <c r="K279" s="34"/>
      <c r="L279" s="34"/>
      <c r="M279" s="34"/>
      <c r="N279" s="34"/>
      <c r="O279" s="34"/>
      <c r="P279" s="34"/>
      <c r="Q279" s="34"/>
      <c r="R279" s="34"/>
      <c r="S279" s="34"/>
      <c r="T279" s="34"/>
      <c r="U279" s="34"/>
      <c r="V279" s="34"/>
    </row>
    <row r="280">
      <c r="A280" s="37">
        <v>135.0</v>
      </c>
      <c r="B280" s="37">
        <v>4.0</v>
      </c>
      <c r="C280" s="31"/>
      <c r="D280" s="37" t="s">
        <v>596</v>
      </c>
      <c r="E280" s="37" t="s">
        <v>597</v>
      </c>
      <c r="F280" s="31"/>
      <c r="G280" s="34">
        <v>1.0</v>
      </c>
      <c r="H280" s="34">
        <v>171.0</v>
      </c>
      <c r="I280" s="34"/>
      <c r="J280" s="34"/>
      <c r="K280" s="34"/>
      <c r="L280" s="34"/>
      <c r="M280" s="34"/>
      <c r="N280" s="34"/>
      <c r="O280" s="34"/>
      <c r="P280" s="34"/>
      <c r="Q280" s="34"/>
      <c r="R280" s="34"/>
      <c r="S280" s="34"/>
      <c r="T280" s="34"/>
      <c r="U280" s="34"/>
      <c r="V280" s="34"/>
    </row>
    <row r="281">
      <c r="A281" s="37">
        <v>136.0</v>
      </c>
      <c r="B281" s="37">
        <v>1.0</v>
      </c>
      <c r="C281" s="37" t="s">
        <v>598</v>
      </c>
      <c r="D281" s="37" t="s">
        <v>599</v>
      </c>
      <c r="E281" s="37" t="s">
        <v>600</v>
      </c>
      <c r="F281" s="31"/>
      <c r="G281" s="34">
        <v>1.0</v>
      </c>
      <c r="H281" s="34">
        <v>172.0</v>
      </c>
      <c r="I281" s="34"/>
      <c r="J281" s="34"/>
      <c r="K281" s="34"/>
      <c r="L281" s="34"/>
      <c r="M281" s="34"/>
      <c r="N281" s="34"/>
      <c r="O281" s="34"/>
      <c r="P281" s="34"/>
      <c r="Q281" s="34"/>
      <c r="R281" s="34"/>
      <c r="S281" s="34"/>
      <c r="T281" s="34"/>
      <c r="U281" s="34"/>
      <c r="V281" s="34"/>
    </row>
    <row r="282">
      <c r="A282" s="37">
        <v>136.0</v>
      </c>
      <c r="B282" s="37">
        <v>2.0</v>
      </c>
      <c r="C282" s="31"/>
      <c r="D282" s="37" t="s">
        <v>601</v>
      </c>
      <c r="E282" s="37" t="s">
        <v>602</v>
      </c>
      <c r="F282" s="31"/>
      <c r="G282" s="34">
        <v>1.0</v>
      </c>
      <c r="H282" s="34">
        <v>173.0</v>
      </c>
      <c r="I282" s="34"/>
      <c r="J282" s="34"/>
      <c r="K282" s="34"/>
      <c r="L282" s="34"/>
      <c r="M282" s="34"/>
      <c r="N282" s="34"/>
      <c r="O282" s="34"/>
      <c r="P282" s="34"/>
      <c r="Q282" s="34"/>
      <c r="R282" s="34"/>
      <c r="S282" s="34"/>
      <c r="T282" s="34"/>
      <c r="U282" s="34"/>
      <c r="V282" s="34"/>
    </row>
    <row r="283">
      <c r="A283" s="37">
        <v>136.0</v>
      </c>
      <c r="B283" s="37">
        <v>3.0</v>
      </c>
      <c r="C283" s="31"/>
      <c r="D283" s="37" t="s">
        <v>603</v>
      </c>
      <c r="E283" s="37" t="s">
        <v>366</v>
      </c>
      <c r="F283" s="37"/>
      <c r="G283" s="34">
        <v>2.0</v>
      </c>
      <c r="H283" s="34" t="s">
        <v>56</v>
      </c>
      <c r="I283" s="34"/>
      <c r="J283" s="34"/>
      <c r="K283" s="34"/>
      <c r="L283" s="34"/>
      <c r="M283" s="34"/>
      <c r="N283" s="34"/>
      <c r="O283" s="34"/>
      <c r="P283" s="34"/>
      <c r="Q283" s="34"/>
      <c r="R283" s="34"/>
      <c r="S283" s="34"/>
      <c r="T283" s="34"/>
      <c r="U283" s="34"/>
      <c r="V283" s="34"/>
    </row>
    <row r="284">
      <c r="A284" s="37">
        <v>136.0</v>
      </c>
      <c r="B284" s="37">
        <v>4.0</v>
      </c>
      <c r="C284" s="31"/>
      <c r="D284" s="37" t="s">
        <v>604</v>
      </c>
      <c r="E284" s="37" t="s">
        <v>586</v>
      </c>
      <c r="F284" s="31"/>
      <c r="G284" s="34">
        <v>2.0</v>
      </c>
      <c r="H284" s="34" t="s">
        <v>56</v>
      </c>
      <c r="I284" s="34"/>
      <c r="J284" s="34"/>
      <c r="K284" s="34"/>
      <c r="L284" s="34"/>
      <c r="M284" s="34"/>
      <c r="N284" s="34"/>
      <c r="O284" s="34"/>
      <c r="P284" s="34"/>
      <c r="Q284" s="34"/>
      <c r="R284" s="34"/>
      <c r="S284" s="34"/>
      <c r="T284" s="34"/>
      <c r="U284" s="34"/>
      <c r="V284" s="34"/>
    </row>
    <row r="285">
      <c r="A285" s="37">
        <v>136.0</v>
      </c>
      <c r="B285" s="37">
        <v>5.0</v>
      </c>
      <c r="C285" s="31"/>
      <c r="D285" s="37" t="s">
        <v>605</v>
      </c>
      <c r="E285" s="37" t="s">
        <v>126</v>
      </c>
      <c r="F285" s="37"/>
      <c r="G285" s="34">
        <v>2.0</v>
      </c>
      <c r="H285" s="34" t="s">
        <v>56</v>
      </c>
      <c r="I285" s="34"/>
      <c r="J285" s="34"/>
      <c r="K285" s="34"/>
      <c r="L285" s="34"/>
      <c r="M285" s="34"/>
      <c r="N285" s="34"/>
      <c r="O285" s="34"/>
      <c r="P285" s="34"/>
      <c r="Q285" s="34"/>
      <c r="R285" s="34"/>
      <c r="S285" s="34"/>
      <c r="T285" s="34"/>
      <c r="U285" s="34"/>
      <c r="V285" s="34"/>
    </row>
    <row r="286">
      <c r="A286" s="37">
        <v>137.0</v>
      </c>
      <c r="B286" s="37">
        <v>1.0</v>
      </c>
      <c r="C286" s="37" t="s">
        <v>606</v>
      </c>
      <c r="D286" s="37" t="s">
        <v>607</v>
      </c>
      <c r="E286" s="37" t="s">
        <v>600</v>
      </c>
      <c r="F286" s="31"/>
      <c r="G286" s="34">
        <v>2.0</v>
      </c>
      <c r="H286" s="34" t="s">
        <v>56</v>
      </c>
      <c r="I286" s="34"/>
      <c r="J286" s="34"/>
      <c r="K286" s="34"/>
      <c r="L286" s="34"/>
      <c r="M286" s="34"/>
      <c r="N286" s="34"/>
      <c r="O286" s="34"/>
      <c r="P286" s="34"/>
      <c r="Q286" s="34"/>
      <c r="R286" s="34"/>
      <c r="S286" s="34"/>
      <c r="T286" s="34"/>
      <c r="U286" s="34"/>
      <c r="V286" s="34"/>
    </row>
    <row r="287">
      <c r="A287" s="37">
        <v>138.0</v>
      </c>
      <c r="B287" s="37">
        <v>1.0</v>
      </c>
      <c r="C287" s="37" t="s">
        <v>608</v>
      </c>
      <c r="D287" s="37" t="s">
        <v>609</v>
      </c>
      <c r="E287" s="37" t="s">
        <v>610</v>
      </c>
      <c r="F287" s="31"/>
      <c r="G287" s="34">
        <v>1.0</v>
      </c>
      <c r="H287" s="34">
        <v>174.0</v>
      </c>
      <c r="I287" s="34"/>
      <c r="J287" s="34"/>
      <c r="K287" s="34"/>
      <c r="L287" s="34"/>
      <c r="M287" s="34"/>
      <c r="N287" s="34"/>
      <c r="O287" s="34"/>
      <c r="P287" s="34"/>
      <c r="Q287" s="34"/>
      <c r="R287" s="34"/>
      <c r="S287" s="34"/>
      <c r="T287" s="34"/>
      <c r="U287" s="34"/>
      <c r="V287" s="34"/>
    </row>
    <row r="288">
      <c r="A288" s="37">
        <v>138.0</v>
      </c>
      <c r="B288" s="37">
        <v>2.0</v>
      </c>
      <c r="C288" s="31"/>
      <c r="D288" s="37" t="s">
        <v>611</v>
      </c>
      <c r="E288" s="37" t="s">
        <v>423</v>
      </c>
      <c r="F288" s="37"/>
      <c r="G288" s="34">
        <v>2.0</v>
      </c>
      <c r="H288" s="34" t="s">
        <v>56</v>
      </c>
      <c r="I288" s="34"/>
      <c r="J288" s="34"/>
      <c r="K288" s="34"/>
      <c r="L288" s="34"/>
      <c r="M288" s="34"/>
      <c r="N288" s="34"/>
      <c r="O288" s="34"/>
      <c r="P288" s="34"/>
      <c r="Q288" s="34"/>
      <c r="R288" s="34"/>
      <c r="S288" s="34"/>
      <c r="T288" s="34"/>
      <c r="U288" s="34"/>
      <c r="V288" s="34"/>
    </row>
    <row r="289">
      <c r="A289" s="37">
        <v>139.0</v>
      </c>
      <c r="B289" s="37">
        <v>1.0</v>
      </c>
      <c r="C289" s="37" t="s">
        <v>612</v>
      </c>
      <c r="D289" s="37" t="s">
        <v>613</v>
      </c>
      <c r="E289" s="37" t="s">
        <v>466</v>
      </c>
      <c r="F289" s="37"/>
      <c r="G289" s="34">
        <v>2.0</v>
      </c>
      <c r="H289" s="34" t="s">
        <v>56</v>
      </c>
      <c r="I289" s="34"/>
      <c r="J289" s="34"/>
      <c r="K289" s="34"/>
      <c r="L289" s="34"/>
      <c r="M289" s="34"/>
      <c r="N289" s="34"/>
      <c r="O289" s="34"/>
      <c r="P289" s="34"/>
      <c r="Q289" s="34"/>
      <c r="R289" s="34"/>
      <c r="S289" s="34"/>
      <c r="T289" s="34"/>
      <c r="U289" s="34"/>
      <c r="V289" s="34"/>
    </row>
    <row r="290">
      <c r="A290" s="37">
        <v>139.0</v>
      </c>
      <c r="B290" s="37">
        <v>2.0</v>
      </c>
      <c r="C290" s="31"/>
      <c r="D290" s="37" t="s">
        <v>614</v>
      </c>
      <c r="E290" s="37" t="s">
        <v>496</v>
      </c>
      <c r="F290" s="37"/>
      <c r="G290" s="34">
        <v>2.0</v>
      </c>
      <c r="H290" s="34" t="s">
        <v>56</v>
      </c>
      <c r="I290" s="34"/>
      <c r="J290" s="34"/>
      <c r="K290" s="34"/>
      <c r="L290" s="34"/>
      <c r="M290" s="34"/>
      <c r="N290" s="34"/>
      <c r="O290" s="34"/>
      <c r="P290" s="34"/>
      <c r="Q290" s="34"/>
      <c r="R290" s="34"/>
      <c r="S290" s="34"/>
      <c r="T290" s="34"/>
      <c r="U290" s="34"/>
      <c r="V290" s="34"/>
    </row>
    <row r="291">
      <c r="A291" s="37">
        <v>139.0</v>
      </c>
      <c r="B291" s="37">
        <v>3.0</v>
      </c>
      <c r="C291" s="31"/>
      <c r="D291" s="37" t="s">
        <v>615</v>
      </c>
      <c r="E291" s="37" t="s">
        <v>616</v>
      </c>
      <c r="F291" s="31"/>
      <c r="G291" s="34">
        <v>1.0</v>
      </c>
      <c r="H291" s="34">
        <v>175.0</v>
      </c>
      <c r="I291" s="34"/>
      <c r="J291" s="34"/>
      <c r="K291" s="34"/>
      <c r="L291" s="34"/>
      <c r="M291" s="34"/>
      <c r="N291" s="34"/>
      <c r="O291" s="34"/>
      <c r="P291" s="34"/>
      <c r="Q291" s="34"/>
      <c r="R291" s="34"/>
      <c r="S291" s="34"/>
      <c r="T291" s="34"/>
      <c r="U291" s="34"/>
      <c r="V291" s="34"/>
    </row>
    <row r="292">
      <c r="A292" s="37">
        <v>140.0</v>
      </c>
      <c r="B292" s="37">
        <v>1.0</v>
      </c>
      <c r="C292" s="37" t="s">
        <v>617</v>
      </c>
      <c r="D292" s="37" t="s">
        <v>618</v>
      </c>
      <c r="E292" s="37" t="s">
        <v>619</v>
      </c>
      <c r="F292" s="31"/>
      <c r="G292" s="34">
        <v>1.0</v>
      </c>
      <c r="H292" s="34">
        <v>176.0</v>
      </c>
      <c r="I292" s="34"/>
      <c r="J292" s="34"/>
      <c r="K292" s="34"/>
      <c r="L292" s="34"/>
      <c r="M292" s="34"/>
      <c r="N292" s="34"/>
      <c r="O292" s="34"/>
      <c r="P292" s="34"/>
      <c r="Q292" s="34"/>
      <c r="R292" s="34"/>
      <c r="S292" s="34"/>
      <c r="T292" s="34"/>
      <c r="U292" s="34"/>
      <c r="V292" s="34"/>
    </row>
    <row r="293">
      <c r="A293" s="37">
        <v>141.0</v>
      </c>
      <c r="B293" s="37">
        <v>1.0</v>
      </c>
      <c r="C293" s="37" t="s">
        <v>620</v>
      </c>
      <c r="D293" s="37" t="s">
        <v>621</v>
      </c>
      <c r="E293" s="37" t="s">
        <v>619</v>
      </c>
      <c r="F293" s="31"/>
      <c r="G293" s="34">
        <v>2.0</v>
      </c>
      <c r="H293" s="34" t="s">
        <v>56</v>
      </c>
      <c r="I293" s="34"/>
      <c r="J293" s="34"/>
      <c r="K293" s="34"/>
      <c r="L293" s="34"/>
      <c r="M293" s="34"/>
      <c r="N293" s="34"/>
      <c r="O293" s="34"/>
      <c r="P293" s="34"/>
      <c r="Q293" s="34"/>
      <c r="R293" s="34"/>
      <c r="S293" s="34"/>
      <c r="T293" s="34"/>
      <c r="U293" s="34"/>
      <c r="V293" s="34"/>
    </row>
    <row r="294">
      <c r="A294" s="37">
        <v>141.0</v>
      </c>
      <c r="B294" s="37">
        <v>2.0</v>
      </c>
      <c r="C294" s="31"/>
      <c r="D294" s="37" t="s">
        <v>622</v>
      </c>
      <c r="E294" s="37" t="s">
        <v>494</v>
      </c>
      <c r="F294" s="37"/>
      <c r="G294" s="34">
        <v>2.0</v>
      </c>
      <c r="H294" s="34" t="s">
        <v>56</v>
      </c>
      <c r="I294" s="34"/>
      <c r="J294" s="34"/>
      <c r="K294" s="34"/>
      <c r="L294" s="34"/>
      <c r="M294" s="34"/>
      <c r="N294" s="34"/>
      <c r="O294" s="34"/>
      <c r="P294" s="34"/>
      <c r="Q294" s="34"/>
      <c r="R294" s="34"/>
      <c r="S294" s="34"/>
      <c r="T294" s="34"/>
      <c r="U294" s="34"/>
      <c r="V294" s="34"/>
    </row>
    <row r="295">
      <c r="A295" s="37">
        <v>142.0</v>
      </c>
      <c r="B295" s="37">
        <v>1.0</v>
      </c>
      <c r="C295" s="37" t="s">
        <v>623</v>
      </c>
      <c r="D295" s="37" t="s">
        <v>624</v>
      </c>
      <c r="E295" s="37" t="s">
        <v>625</v>
      </c>
      <c r="F295" s="31"/>
      <c r="G295" s="34">
        <v>1.0</v>
      </c>
      <c r="H295" s="34">
        <v>177.0</v>
      </c>
      <c r="I295" s="34"/>
      <c r="J295" s="34"/>
      <c r="K295" s="34"/>
      <c r="L295" s="34"/>
      <c r="M295" s="34"/>
      <c r="N295" s="34"/>
      <c r="O295" s="34"/>
      <c r="P295" s="34"/>
      <c r="Q295" s="34"/>
      <c r="R295" s="34"/>
      <c r="S295" s="34"/>
      <c r="T295" s="34"/>
      <c r="U295" s="34"/>
      <c r="V295" s="34"/>
    </row>
    <row r="296">
      <c r="A296" s="37">
        <v>143.0</v>
      </c>
      <c r="B296" s="37">
        <v>1.0</v>
      </c>
      <c r="C296" s="37" t="s">
        <v>626</v>
      </c>
      <c r="D296" s="37" t="s">
        <v>627</v>
      </c>
      <c r="E296" s="28" t="s">
        <v>131</v>
      </c>
      <c r="F296" s="37"/>
      <c r="G296" s="34">
        <v>2.0</v>
      </c>
      <c r="H296" s="34" t="s">
        <v>56</v>
      </c>
      <c r="I296" s="34"/>
      <c r="J296" s="34"/>
      <c r="K296" s="34"/>
      <c r="L296" s="34"/>
      <c r="M296" s="34"/>
      <c r="N296" s="34"/>
      <c r="O296" s="34"/>
      <c r="P296" s="34"/>
      <c r="Q296" s="34"/>
      <c r="R296" s="34"/>
      <c r="S296" s="34"/>
      <c r="T296" s="34"/>
      <c r="U296" s="34"/>
      <c r="V296" s="34"/>
    </row>
    <row r="297">
      <c r="A297" s="37">
        <v>143.0</v>
      </c>
      <c r="B297" s="37">
        <v>2.0</v>
      </c>
      <c r="C297" s="31"/>
      <c r="D297" s="37" t="s">
        <v>628</v>
      </c>
      <c r="E297" s="37" t="s">
        <v>629</v>
      </c>
      <c r="F297" s="31"/>
      <c r="G297" s="34">
        <v>1.0</v>
      </c>
      <c r="H297" s="34">
        <v>178.0</v>
      </c>
      <c r="I297" s="34"/>
      <c r="J297" s="34"/>
      <c r="K297" s="34"/>
      <c r="L297" s="34"/>
      <c r="M297" s="34"/>
      <c r="N297" s="34"/>
      <c r="O297" s="34"/>
      <c r="P297" s="34"/>
      <c r="Q297" s="34"/>
      <c r="R297" s="34"/>
      <c r="S297" s="34"/>
      <c r="T297" s="34"/>
      <c r="U297" s="34"/>
      <c r="V297" s="34"/>
    </row>
    <row r="298">
      <c r="A298" s="37">
        <v>144.0</v>
      </c>
      <c r="B298" s="37">
        <v>1.0</v>
      </c>
      <c r="C298" s="37" t="s">
        <v>630</v>
      </c>
      <c r="D298" s="37" t="s">
        <v>631</v>
      </c>
      <c r="E298" s="37" t="s">
        <v>632</v>
      </c>
      <c r="F298" s="31"/>
      <c r="G298" s="34">
        <v>1.0</v>
      </c>
      <c r="H298" s="34">
        <v>179.0</v>
      </c>
      <c r="I298" s="34"/>
      <c r="J298" s="34"/>
      <c r="K298" s="34"/>
      <c r="L298" s="34"/>
      <c r="M298" s="34"/>
      <c r="N298" s="34"/>
      <c r="O298" s="34"/>
      <c r="P298" s="34"/>
      <c r="Q298" s="34"/>
      <c r="R298" s="34"/>
      <c r="S298" s="34"/>
      <c r="T298" s="34"/>
      <c r="U298" s="34"/>
      <c r="V298" s="34"/>
    </row>
    <row r="299">
      <c r="A299" s="37">
        <v>144.0</v>
      </c>
      <c r="B299" s="37">
        <v>2.0</v>
      </c>
      <c r="C299" s="31"/>
      <c r="D299" s="37" t="s">
        <v>633</v>
      </c>
      <c r="E299" s="37" t="s">
        <v>522</v>
      </c>
      <c r="F299" s="37"/>
      <c r="G299" s="34">
        <v>2.0</v>
      </c>
      <c r="H299" s="34" t="s">
        <v>56</v>
      </c>
      <c r="I299" s="34"/>
      <c r="J299" s="34"/>
      <c r="K299" s="34"/>
      <c r="L299" s="34"/>
      <c r="M299" s="34"/>
      <c r="N299" s="34"/>
      <c r="O299" s="34"/>
      <c r="P299" s="34"/>
      <c r="Q299" s="34"/>
      <c r="R299" s="34"/>
      <c r="S299" s="34"/>
      <c r="T299" s="34"/>
      <c r="U299" s="34"/>
      <c r="V299" s="34"/>
    </row>
    <row r="300">
      <c r="A300" s="37">
        <v>145.0</v>
      </c>
      <c r="B300" s="37">
        <v>1.0</v>
      </c>
      <c r="C300" s="37" t="s">
        <v>634</v>
      </c>
      <c r="D300" s="37" t="s">
        <v>635</v>
      </c>
      <c r="E300" s="37" t="s">
        <v>180</v>
      </c>
      <c r="F300" s="37"/>
      <c r="G300" s="34">
        <v>2.0</v>
      </c>
      <c r="H300" s="34" t="s">
        <v>56</v>
      </c>
      <c r="I300" s="34"/>
      <c r="J300" s="34"/>
      <c r="K300" s="34"/>
      <c r="L300" s="34"/>
      <c r="M300" s="34"/>
      <c r="N300" s="34"/>
      <c r="O300" s="34"/>
      <c r="P300" s="34"/>
      <c r="Q300" s="34"/>
      <c r="R300" s="34"/>
      <c r="S300" s="34"/>
      <c r="T300" s="34"/>
      <c r="U300" s="34"/>
      <c r="V300" s="34"/>
    </row>
    <row r="301">
      <c r="A301" s="37">
        <v>145.0</v>
      </c>
      <c r="B301" s="37">
        <v>2.0</v>
      </c>
      <c r="C301" s="31"/>
      <c r="D301" s="37" t="s">
        <v>636</v>
      </c>
      <c r="E301" s="28" t="s">
        <v>182</v>
      </c>
      <c r="F301" s="37"/>
      <c r="G301" s="34">
        <v>4.0</v>
      </c>
      <c r="H301" s="34" t="s">
        <v>56</v>
      </c>
      <c r="I301" s="34"/>
      <c r="J301" s="34"/>
      <c r="K301" s="34"/>
      <c r="L301" s="34"/>
      <c r="M301" s="34"/>
      <c r="N301" s="34"/>
      <c r="O301" s="34"/>
      <c r="P301" s="34"/>
      <c r="Q301" s="34"/>
      <c r="R301" s="34"/>
      <c r="S301" s="34"/>
      <c r="T301" s="34"/>
      <c r="U301" s="34"/>
      <c r="V301" s="34"/>
    </row>
    <row r="302">
      <c r="A302" s="37">
        <v>145.0</v>
      </c>
      <c r="B302" s="37">
        <v>3.0</v>
      </c>
      <c r="C302" s="31"/>
      <c r="D302" s="37" t="s">
        <v>637</v>
      </c>
      <c r="E302" s="37" t="s">
        <v>638</v>
      </c>
      <c r="F302" s="31"/>
      <c r="G302" s="34">
        <v>1.0</v>
      </c>
      <c r="H302" s="34">
        <v>180.0</v>
      </c>
      <c r="I302" s="34"/>
      <c r="J302" s="34"/>
      <c r="K302" s="34"/>
      <c r="L302" s="34"/>
      <c r="M302" s="34"/>
      <c r="N302" s="34"/>
      <c r="O302" s="34"/>
      <c r="P302" s="34"/>
      <c r="Q302" s="34"/>
      <c r="R302" s="34"/>
      <c r="S302" s="34"/>
      <c r="T302" s="34"/>
      <c r="U302" s="34"/>
      <c r="V302" s="34"/>
    </row>
    <row r="303">
      <c r="A303" s="37">
        <v>145.0</v>
      </c>
      <c r="B303" s="37">
        <v>4.0</v>
      </c>
      <c r="C303" s="31"/>
      <c r="D303" s="37" t="s">
        <v>547</v>
      </c>
      <c r="E303" s="37" t="s">
        <v>478</v>
      </c>
      <c r="F303" s="37"/>
      <c r="G303" s="34">
        <v>3.0</v>
      </c>
      <c r="H303" s="34" t="s">
        <v>56</v>
      </c>
      <c r="I303" s="34"/>
      <c r="J303" s="34"/>
      <c r="K303" s="34"/>
      <c r="L303" s="34"/>
      <c r="M303" s="34"/>
      <c r="N303" s="34"/>
      <c r="O303" s="34"/>
      <c r="P303" s="34"/>
      <c r="Q303" s="34"/>
      <c r="R303" s="34"/>
      <c r="S303" s="34"/>
      <c r="T303" s="34"/>
      <c r="U303" s="34"/>
      <c r="V303" s="34"/>
    </row>
    <row r="304">
      <c r="A304" s="37">
        <v>145.0</v>
      </c>
      <c r="B304" s="37">
        <v>5.0</v>
      </c>
      <c r="C304" s="31"/>
      <c r="D304" s="37" t="s">
        <v>639</v>
      </c>
      <c r="E304" s="37" t="s">
        <v>640</v>
      </c>
      <c r="F304" s="31"/>
      <c r="G304" s="34">
        <v>1.0</v>
      </c>
      <c r="H304" s="34">
        <v>181.0</v>
      </c>
      <c r="I304" s="34"/>
      <c r="J304" s="34"/>
      <c r="K304" s="34"/>
      <c r="L304" s="34"/>
      <c r="M304" s="34"/>
      <c r="N304" s="34"/>
      <c r="O304" s="34"/>
      <c r="P304" s="34"/>
      <c r="Q304" s="34"/>
      <c r="R304" s="34"/>
      <c r="S304" s="34"/>
      <c r="T304" s="34"/>
      <c r="U304" s="34"/>
      <c r="V304" s="34"/>
    </row>
    <row r="305">
      <c r="A305" s="37">
        <v>146.0</v>
      </c>
      <c r="B305" s="37">
        <v>1.0</v>
      </c>
      <c r="C305" s="37" t="s">
        <v>641</v>
      </c>
      <c r="D305" s="37" t="s">
        <v>642</v>
      </c>
      <c r="E305" s="37" t="s">
        <v>640</v>
      </c>
      <c r="F305" s="37"/>
      <c r="G305" s="34">
        <v>2.0</v>
      </c>
      <c r="H305" s="34" t="s">
        <v>56</v>
      </c>
      <c r="I305" s="34"/>
      <c r="J305" s="34"/>
      <c r="K305" s="34"/>
      <c r="L305" s="34"/>
      <c r="M305" s="34"/>
      <c r="N305" s="34"/>
      <c r="O305" s="34"/>
      <c r="P305" s="34"/>
      <c r="Q305" s="34"/>
      <c r="R305" s="34"/>
      <c r="S305" s="34"/>
      <c r="T305" s="34"/>
      <c r="U305" s="34"/>
      <c r="V305" s="34"/>
    </row>
    <row r="306">
      <c r="A306" s="37">
        <v>146.0</v>
      </c>
      <c r="B306" s="37">
        <v>2.0</v>
      </c>
      <c r="C306" s="31"/>
      <c r="D306" s="37" t="s">
        <v>643</v>
      </c>
      <c r="E306" s="37" t="s">
        <v>644</v>
      </c>
      <c r="F306" s="31"/>
      <c r="G306" s="34">
        <v>1.0</v>
      </c>
      <c r="H306" s="34">
        <v>182.0</v>
      </c>
      <c r="I306" s="34"/>
      <c r="J306" s="34"/>
      <c r="K306" s="34"/>
      <c r="L306" s="34"/>
      <c r="M306" s="34"/>
      <c r="N306" s="34"/>
      <c r="O306" s="34"/>
      <c r="P306" s="34"/>
      <c r="Q306" s="34"/>
      <c r="R306" s="34"/>
      <c r="S306" s="34"/>
      <c r="T306" s="34"/>
      <c r="U306" s="34"/>
      <c r="V306" s="34"/>
    </row>
    <row r="307">
      <c r="A307" s="37">
        <v>146.0</v>
      </c>
      <c r="B307" s="37">
        <v>3.0</v>
      </c>
      <c r="C307" s="31"/>
      <c r="D307" s="37" t="s">
        <v>645</v>
      </c>
      <c r="E307" s="37" t="s">
        <v>646</v>
      </c>
      <c r="F307" s="31"/>
      <c r="G307" s="34">
        <v>1.0</v>
      </c>
      <c r="H307" s="34">
        <v>183.0</v>
      </c>
      <c r="I307" s="34"/>
      <c r="J307" s="34"/>
      <c r="K307" s="34"/>
      <c r="L307" s="34"/>
      <c r="M307" s="34"/>
      <c r="N307" s="34"/>
      <c r="O307" s="34"/>
      <c r="P307" s="34"/>
      <c r="Q307" s="34"/>
      <c r="R307" s="34"/>
      <c r="S307" s="34"/>
      <c r="T307" s="34"/>
      <c r="U307" s="34"/>
      <c r="V307" s="34"/>
    </row>
    <row r="308">
      <c r="A308" s="37">
        <v>147.0</v>
      </c>
      <c r="B308" s="37">
        <v>1.0</v>
      </c>
      <c r="C308" s="37" t="s">
        <v>647</v>
      </c>
      <c r="D308" s="37" t="s">
        <v>648</v>
      </c>
      <c r="E308" s="37" t="s">
        <v>649</v>
      </c>
      <c r="F308" s="31"/>
      <c r="G308" s="34">
        <v>1.0</v>
      </c>
      <c r="H308" s="34">
        <v>184.0</v>
      </c>
      <c r="I308" s="34"/>
      <c r="J308" s="34"/>
      <c r="K308" s="34"/>
      <c r="L308" s="34"/>
      <c r="M308" s="34"/>
      <c r="N308" s="34"/>
      <c r="O308" s="34"/>
      <c r="P308" s="34"/>
      <c r="Q308" s="34"/>
      <c r="R308" s="34"/>
      <c r="S308" s="34"/>
      <c r="T308" s="34"/>
      <c r="U308" s="34"/>
      <c r="V308" s="34"/>
    </row>
    <row r="309">
      <c r="A309" s="37">
        <v>147.0</v>
      </c>
      <c r="B309" s="37">
        <v>2.0</v>
      </c>
      <c r="C309" s="31"/>
      <c r="D309" s="37" t="s">
        <v>650</v>
      </c>
      <c r="E309" s="28" t="s">
        <v>651</v>
      </c>
      <c r="F309" s="31"/>
      <c r="G309" s="34">
        <v>1.0</v>
      </c>
      <c r="H309" s="34">
        <v>185.0</v>
      </c>
      <c r="I309" s="34"/>
      <c r="J309" s="34"/>
      <c r="K309" s="34"/>
      <c r="L309" s="34"/>
      <c r="M309" s="34"/>
      <c r="N309" s="34"/>
      <c r="O309" s="34"/>
      <c r="P309" s="34"/>
      <c r="Q309" s="34"/>
      <c r="R309" s="34"/>
      <c r="S309" s="34"/>
      <c r="T309" s="34"/>
      <c r="U309" s="34"/>
      <c r="V309" s="34"/>
    </row>
    <row r="310">
      <c r="A310" s="37">
        <v>147.0</v>
      </c>
      <c r="B310" s="37">
        <v>3.0</v>
      </c>
      <c r="C310" s="31"/>
      <c r="D310" s="37" t="s">
        <v>652</v>
      </c>
      <c r="E310" s="37" t="s">
        <v>653</v>
      </c>
      <c r="F310" s="31"/>
      <c r="G310" s="34">
        <v>1.0</v>
      </c>
      <c r="H310" s="34">
        <v>186.0</v>
      </c>
      <c r="I310" s="34"/>
      <c r="J310" s="34"/>
      <c r="K310" s="34"/>
      <c r="L310" s="34"/>
      <c r="M310" s="34"/>
      <c r="N310" s="34"/>
      <c r="O310" s="34"/>
      <c r="P310" s="34"/>
      <c r="Q310" s="34"/>
      <c r="R310" s="34"/>
      <c r="S310" s="34"/>
      <c r="T310" s="34"/>
      <c r="U310" s="34"/>
      <c r="V310" s="34"/>
    </row>
    <row r="311">
      <c r="A311" s="37">
        <v>147.0</v>
      </c>
      <c r="B311" s="37">
        <v>4.0</v>
      </c>
      <c r="C311" s="31"/>
      <c r="D311" s="37" t="s">
        <v>654</v>
      </c>
      <c r="E311" s="37" t="s">
        <v>655</v>
      </c>
      <c r="F311" s="31"/>
      <c r="G311" s="34">
        <v>1.0</v>
      </c>
      <c r="H311" s="34">
        <v>187.0</v>
      </c>
      <c r="I311" s="34"/>
      <c r="J311" s="34"/>
      <c r="K311" s="34"/>
      <c r="L311" s="34"/>
      <c r="M311" s="34"/>
      <c r="N311" s="34"/>
      <c r="O311" s="34"/>
      <c r="P311" s="34"/>
      <c r="Q311" s="34"/>
      <c r="R311" s="34"/>
      <c r="S311" s="34"/>
      <c r="T311" s="34"/>
      <c r="U311" s="34"/>
      <c r="V311" s="34"/>
    </row>
    <row r="312">
      <c r="A312" s="37">
        <v>147.0</v>
      </c>
      <c r="B312" s="37">
        <v>5.0</v>
      </c>
      <c r="C312" s="31"/>
      <c r="D312" s="37" t="s">
        <v>656</v>
      </c>
      <c r="E312" s="37" t="s">
        <v>657</v>
      </c>
      <c r="F312" s="31"/>
      <c r="G312" s="34">
        <v>1.0</v>
      </c>
      <c r="H312" s="34">
        <v>188.0</v>
      </c>
      <c r="I312" s="34"/>
      <c r="J312" s="34"/>
      <c r="K312" s="34"/>
      <c r="L312" s="34"/>
      <c r="M312" s="34"/>
      <c r="N312" s="34"/>
      <c r="O312" s="34"/>
      <c r="P312" s="34"/>
      <c r="Q312" s="34"/>
      <c r="R312" s="34"/>
      <c r="S312" s="34"/>
      <c r="T312" s="34"/>
      <c r="U312" s="34"/>
      <c r="V312" s="34"/>
    </row>
    <row r="313">
      <c r="A313" s="37">
        <v>148.0</v>
      </c>
      <c r="B313" s="37">
        <v>1.0</v>
      </c>
      <c r="C313" s="37" t="s">
        <v>658</v>
      </c>
      <c r="D313" s="37" t="s">
        <v>659</v>
      </c>
      <c r="E313" s="37" t="s">
        <v>649</v>
      </c>
      <c r="F313" s="31"/>
      <c r="G313" s="34">
        <v>2.0</v>
      </c>
      <c r="H313" s="34" t="s">
        <v>56</v>
      </c>
      <c r="I313" s="34"/>
      <c r="J313" s="34"/>
      <c r="K313" s="34"/>
      <c r="L313" s="34"/>
      <c r="M313" s="34"/>
      <c r="N313" s="34"/>
      <c r="O313" s="34"/>
      <c r="P313" s="34"/>
      <c r="Q313" s="34"/>
      <c r="R313" s="34"/>
      <c r="S313" s="34"/>
      <c r="T313" s="34"/>
      <c r="U313" s="34"/>
      <c r="V313" s="34"/>
    </row>
    <row r="314">
      <c r="A314" s="37">
        <v>148.0</v>
      </c>
      <c r="B314" s="37">
        <v>2.0</v>
      </c>
      <c r="C314" s="31"/>
      <c r="D314" s="37" t="s">
        <v>660</v>
      </c>
      <c r="E314" s="37" t="s">
        <v>661</v>
      </c>
      <c r="F314" s="31"/>
      <c r="G314" s="34">
        <v>1.0</v>
      </c>
      <c r="H314" s="34">
        <v>189.0</v>
      </c>
      <c r="I314" s="34"/>
      <c r="J314" s="34"/>
      <c r="K314" s="34"/>
      <c r="L314" s="34"/>
      <c r="M314" s="34"/>
      <c r="N314" s="34"/>
      <c r="O314" s="34"/>
      <c r="P314" s="34"/>
      <c r="Q314" s="34"/>
      <c r="R314" s="34"/>
      <c r="S314" s="34"/>
      <c r="T314" s="34"/>
      <c r="U314" s="34"/>
      <c r="V314" s="34"/>
    </row>
    <row r="315">
      <c r="A315" s="37">
        <v>149.0</v>
      </c>
      <c r="B315" s="37">
        <v>1.0</v>
      </c>
      <c r="C315" s="37" t="s">
        <v>662</v>
      </c>
      <c r="D315" s="37" t="s">
        <v>222</v>
      </c>
      <c r="E315" s="28" t="s">
        <v>223</v>
      </c>
      <c r="F315" s="37"/>
      <c r="G315" s="34">
        <v>2.0</v>
      </c>
      <c r="H315" s="34" t="s">
        <v>56</v>
      </c>
      <c r="I315" s="34"/>
      <c r="J315" s="34"/>
      <c r="K315" s="34"/>
      <c r="L315" s="34"/>
      <c r="M315" s="34"/>
      <c r="N315" s="34"/>
      <c r="O315" s="34"/>
      <c r="P315" s="34"/>
      <c r="Q315" s="34"/>
      <c r="R315" s="34"/>
      <c r="S315" s="34"/>
      <c r="T315" s="34"/>
      <c r="U315" s="34"/>
      <c r="V315" s="34"/>
    </row>
    <row r="316">
      <c r="A316" s="37">
        <v>149.0</v>
      </c>
      <c r="B316" s="37">
        <v>2.0</v>
      </c>
      <c r="C316" s="31"/>
      <c r="D316" s="37" t="s">
        <v>663</v>
      </c>
      <c r="E316" s="37" t="s">
        <v>664</v>
      </c>
      <c r="F316" s="31"/>
      <c r="G316" s="34">
        <v>1.0</v>
      </c>
      <c r="H316" s="34">
        <v>190.0</v>
      </c>
      <c r="I316" s="34"/>
      <c r="J316" s="34"/>
      <c r="K316" s="34"/>
      <c r="L316" s="34"/>
      <c r="M316" s="34"/>
      <c r="N316" s="34"/>
      <c r="O316" s="34"/>
      <c r="P316" s="34"/>
      <c r="Q316" s="34"/>
      <c r="R316" s="34"/>
      <c r="S316" s="34"/>
      <c r="T316" s="34"/>
      <c r="U316" s="34"/>
      <c r="V316" s="34"/>
    </row>
    <row r="317">
      <c r="A317" s="37">
        <v>149.0</v>
      </c>
      <c r="B317" s="37">
        <v>3.0</v>
      </c>
      <c r="C317" s="31"/>
      <c r="D317" s="37" t="s">
        <v>665</v>
      </c>
      <c r="E317" s="37" t="s">
        <v>666</v>
      </c>
      <c r="F317" s="31"/>
      <c r="G317" s="34">
        <v>1.0</v>
      </c>
      <c r="H317" s="34">
        <v>191.0</v>
      </c>
      <c r="I317" s="34"/>
      <c r="J317" s="34"/>
      <c r="K317" s="34"/>
      <c r="L317" s="34"/>
      <c r="M317" s="34"/>
      <c r="N317" s="34"/>
      <c r="O317" s="34"/>
      <c r="P317" s="34"/>
      <c r="Q317" s="34"/>
      <c r="R317" s="34"/>
      <c r="S317" s="34"/>
      <c r="T317" s="34"/>
      <c r="U317" s="34"/>
      <c r="V317" s="34"/>
    </row>
    <row r="318">
      <c r="A318" s="37">
        <v>150.0</v>
      </c>
      <c r="B318" s="37">
        <v>1.0</v>
      </c>
      <c r="C318" s="37" t="s">
        <v>667</v>
      </c>
      <c r="D318" s="37" t="s">
        <v>668</v>
      </c>
      <c r="E318" s="37" t="s">
        <v>669</v>
      </c>
      <c r="F318" s="31"/>
      <c r="G318" s="34">
        <v>1.0</v>
      </c>
      <c r="H318" s="34">
        <v>192.0</v>
      </c>
      <c r="I318" s="34"/>
      <c r="J318" s="34"/>
      <c r="K318" s="34"/>
      <c r="L318" s="34"/>
      <c r="M318" s="34"/>
      <c r="N318" s="34"/>
      <c r="O318" s="34"/>
      <c r="P318" s="34"/>
      <c r="Q318" s="34"/>
      <c r="R318" s="34"/>
      <c r="S318" s="34"/>
      <c r="T318" s="34"/>
      <c r="U318" s="34"/>
      <c r="V318" s="34"/>
    </row>
    <row r="319">
      <c r="A319" s="37">
        <v>150.0</v>
      </c>
      <c r="B319" s="37">
        <v>2.0</v>
      </c>
      <c r="C319" s="31"/>
      <c r="D319" s="37" t="s">
        <v>670</v>
      </c>
      <c r="E319" s="28" t="s">
        <v>528</v>
      </c>
      <c r="F319" s="37"/>
      <c r="G319" s="34">
        <v>2.0</v>
      </c>
      <c r="H319" s="34" t="s">
        <v>56</v>
      </c>
      <c r="I319" s="34"/>
      <c r="J319" s="34"/>
      <c r="K319" s="34"/>
      <c r="L319" s="34"/>
      <c r="M319" s="34"/>
      <c r="N319" s="34"/>
      <c r="O319" s="34"/>
      <c r="P319" s="34"/>
      <c r="Q319" s="34"/>
      <c r="R319" s="34"/>
      <c r="S319" s="34"/>
      <c r="T319" s="34"/>
      <c r="U319" s="34"/>
      <c r="V319" s="34"/>
    </row>
    <row r="320">
      <c r="A320" s="37">
        <v>150.0</v>
      </c>
      <c r="B320" s="37">
        <v>3.0</v>
      </c>
      <c r="C320" s="31"/>
      <c r="D320" s="37" t="s">
        <v>671</v>
      </c>
      <c r="E320" s="37" t="s">
        <v>672</v>
      </c>
      <c r="F320" s="31"/>
      <c r="G320" s="34">
        <v>1.0</v>
      </c>
      <c r="H320" s="34">
        <v>193.0</v>
      </c>
      <c r="I320" s="34"/>
      <c r="J320" s="34"/>
      <c r="K320" s="34"/>
      <c r="L320" s="34"/>
      <c r="M320" s="34"/>
      <c r="N320" s="34"/>
      <c r="O320" s="34"/>
      <c r="P320" s="34"/>
      <c r="Q320" s="34"/>
      <c r="R320" s="34"/>
      <c r="S320" s="34"/>
      <c r="T320" s="34"/>
      <c r="U320" s="34"/>
      <c r="V320" s="34"/>
    </row>
    <row r="321">
      <c r="A321" s="37">
        <v>150.0</v>
      </c>
      <c r="B321" s="37">
        <v>4.0</v>
      </c>
      <c r="C321" s="31"/>
      <c r="D321" s="37" t="s">
        <v>673</v>
      </c>
      <c r="E321" s="37" t="s">
        <v>674</v>
      </c>
      <c r="F321" s="31"/>
      <c r="G321" s="34">
        <v>1.0</v>
      </c>
      <c r="H321" s="34">
        <v>194.0</v>
      </c>
      <c r="I321" s="34"/>
      <c r="J321" s="34"/>
      <c r="K321" s="34"/>
      <c r="L321" s="34"/>
      <c r="M321" s="34"/>
      <c r="N321" s="34"/>
      <c r="O321" s="34"/>
      <c r="P321" s="34"/>
      <c r="Q321" s="34"/>
      <c r="R321" s="34"/>
      <c r="S321" s="34"/>
      <c r="T321" s="34"/>
      <c r="U321" s="34"/>
      <c r="V321" s="34"/>
    </row>
    <row r="322">
      <c r="A322" s="37">
        <v>151.0</v>
      </c>
      <c r="B322" s="37">
        <v>1.0</v>
      </c>
      <c r="C322" s="37" t="s">
        <v>675</v>
      </c>
      <c r="D322" s="37" t="s">
        <v>676</v>
      </c>
      <c r="E322" s="37" t="s">
        <v>677</v>
      </c>
      <c r="F322" s="31"/>
      <c r="G322" s="34">
        <v>1.0</v>
      </c>
      <c r="H322" s="34">
        <v>195.0</v>
      </c>
      <c r="I322" s="34"/>
      <c r="J322" s="34"/>
      <c r="K322" s="34"/>
      <c r="L322" s="34"/>
      <c r="M322" s="34"/>
      <c r="N322" s="34"/>
      <c r="O322" s="34"/>
      <c r="P322" s="34"/>
      <c r="Q322" s="34"/>
      <c r="R322" s="34"/>
      <c r="S322" s="34"/>
      <c r="T322" s="34"/>
      <c r="U322" s="34"/>
      <c r="V322" s="34"/>
    </row>
    <row r="323">
      <c r="A323" s="37">
        <v>152.0</v>
      </c>
      <c r="B323" s="37">
        <v>1.0</v>
      </c>
      <c r="C323" s="37" t="s">
        <v>678</v>
      </c>
      <c r="D323" s="37" t="s">
        <v>679</v>
      </c>
      <c r="E323" s="37" t="s">
        <v>680</v>
      </c>
      <c r="F323" s="31"/>
      <c r="G323" s="34">
        <v>1.0</v>
      </c>
      <c r="H323" s="34">
        <v>196.0</v>
      </c>
      <c r="I323" s="34"/>
      <c r="J323" s="34"/>
      <c r="K323" s="34"/>
      <c r="L323" s="34"/>
      <c r="M323" s="34"/>
      <c r="N323" s="34"/>
      <c r="O323" s="34"/>
      <c r="P323" s="34"/>
      <c r="Q323" s="34"/>
      <c r="R323" s="34"/>
      <c r="S323" s="34"/>
      <c r="T323" s="34"/>
      <c r="U323" s="34"/>
      <c r="V323" s="34"/>
    </row>
    <row r="324">
      <c r="A324" s="37">
        <v>153.0</v>
      </c>
      <c r="B324" s="37">
        <v>1.0</v>
      </c>
      <c r="C324" s="37" t="s">
        <v>681</v>
      </c>
      <c r="D324" s="37" t="s">
        <v>682</v>
      </c>
      <c r="E324" s="37" t="s">
        <v>683</v>
      </c>
      <c r="F324" s="31"/>
      <c r="G324" s="34">
        <v>1.0</v>
      </c>
      <c r="H324" s="34">
        <v>197.0</v>
      </c>
      <c r="I324" s="34"/>
      <c r="J324" s="34"/>
      <c r="K324" s="34"/>
      <c r="L324" s="34"/>
      <c r="M324" s="34"/>
      <c r="N324" s="34"/>
      <c r="O324" s="34"/>
      <c r="P324" s="34"/>
      <c r="Q324" s="34"/>
      <c r="R324" s="34"/>
      <c r="S324" s="34"/>
      <c r="T324" s="34"/>
      <c r="U324" s="34"/>
      <c r="V324" s="34"/>
    </row>
    <row r="325">
      <c r="A325" s="37">
        <v>154.0</v>
      </c>
      <c r="B325" s="37">
        <v>1.0</v>
      </c>
      <c r="C325" s="37" t="s">
        <v>684</v>
      </c>
      <c r="D325" s="37" t="s">
        <v>685</v>
      </c>
      <c r="E325" s="37" t="s">
        <v>686</v>
      </c>
      <c r="F325" s="31"/>
      <c r="G325" s="34">
        <v>1.0</v>
      </c>
      <c r="H325" s="34">
        <v>198.0</v>
      </c>
      <c r="I325" s="34"/>
      <c r="J325" s="34"/>
      <c r="K325" s="34"/>
      <c r="L325" s="34"/>
      <c r="M325" s="34"/>
      <c r="N325" s="34"/>
      <c r="O325" s="34"/>
      <c r="P325" s="34"/>
      <c r="Q325" s="34"/>
      <c r="R325" s="34"/>
      <c r="S325" s="34"/>
      <c r="T325" s="34"/>
      <c r="U325" s="34"/>
      <c r="V325" s="34"/>
    </row>
    <row r="326">
      <c r="A326" s="37">
        <v>154.0</v>
      </c>
      <c r="B326" s="37">
        <v>2.0</v>
      </c>
      <c r="C326" s="31"/>
      <c r="D326" s="37" t="s">
        <v>687</v>
      </c>
      <c r="E326" s="37" t="s">
        <v>176</v>
      </c>
      <c r="F326" s="37"/>
      <c r="G326" s="34">
        <v>2.0</v>
      </c>
      <c r="H326" s="34" t="s">
        <v>56</v>
      </c>
      <c r="I326" s="34"/>
      <c r="J326" s="34"/>
      <c r="K326" s="34"/>
      <c r="L326" s="34"/>
      <c r="M326" s="34"/>
      <c r="N326" s="34"/>
      <c r="O326" s="34"/>
      <c r="P326" s="34"/>
      <c r="Q326" s="34"/>
      <c r="R326" s="34"/>
      <c r="S326" s="34"/>
      <c r="T326" s="34"/>
      <c r="U326" s="34"/>
      <c r="V326" s="34"/>
    </row>
    <row r="327">
      <c r="A327" s="37">
        <v>155.0</v>
      </c>
      <c r="B327" s="37">
        <v>1.0</v>
      </c>
      <c r="C327" s="37" t="s">
        <v>688</v>
      </c>
      <c r="D327" s="37" t="s">
        <v>689</v>
      </c>
      <c r="E327" s="37" t="s">
        <v>683</v>
      </c>
      <c r="F327" s="31"/>
      <c r="G327" s="34">
        <v>2.0</v>
      </c>
      <c r="H327" s="34" t="s">
        <v>56</v>
      </c>
      <c r="I327" s="34"/>
      <c r="J327" s="34"/>
      <c r="K327" s="34"/>
      <c r="L327" s="34"/>
      <c r="M327" s="34"/>
      <c r="N327" s="34"/>
      <c r="O327" s="34"/>
      <c r="P327" s="34"/>
      <c r="Q327" s="34"/>
      <c r="R327" s="34"/>
      <c r="S327" s="34"/>
      <c r="T327" s="34"/>
      <c r="U327" s="34"/>
      <c r="V327" s="34"/>
    </row>
    <row r="328">
      <c r="A328" s="37">
        <v>155.0</v>
      </c>
      <c r="B328" s="37">
        <v>2.0</v>
      </c>
      <c r="C328" s="31"/>
      <c r="D328" s="37" t="s">
        <v>690</v>
      </c>
      <c r="E328" s="37" t="s">
        <v>677</v>
      </c>
      <c r="F328" s="31"/>
      <c r="G328" s="34">
        <v>2.0</v>
      </c>
      <c r="H328" s="34" t="s">
        <v>56</v>
      </c>
      <c r="I328" s="34"/>
      <c r="J328" s="34"/>
      <c r="K328" s="34"/>
      <c r="L328" s="34"/>
      <c r="M328" s="34"/>
      <c r="N328" s="34"/>
      <c r="O328" s="34"/>
      <c r="P328" s="34"/>
      <c r="Q328" s="34"/>
      <c r="R328" s="34"/>
      <c r="S328" s="34"/>
      <c r="T328" s="34"/>
      <c r="U328" s="34"/>
      <c r="V328" s="34"/>
    </row>
    <row r="329">
      <c r="A329" s="37">
        <v>156.0</v>
      </c>
      <c r="B329" s="37">
        <v>1.0</v>
      </c>
      <c r="C329" s="37" t="s">
        <v>691</v>
      </c>
      <c r="D329" s="37" t="s">
        <v>692</v>
      </c>
      <c r="E329" s="37" t="s">
        <v>693</v>
      </c>
      <c r="F329" s="31"/>
      <c r="G329" s="34">
        <v>1.0</v>
      </c>
      <c r="H329" s="34">
        <v>199.0</v>
      </c>
      <c r="I329" s="34"/>
      <c r="J329" s="34"/>
      <c r="K329" s="34"/>
      <c r="L329" s="34"/>
      <c r="M329" s="34"/>
      <c r="N329" s="34"/>
      <c r="O329" s="34"/>
      <c r="P329" s="34"/>
      <c r="Q329" s="34"/>
      <c r="R329" s="34"/>
      <c r="S329" s="34"/>
      <c r="T329" s="34"/>
      <c r="U329" s="34"/>
      <c r="V329" s="34"/>
    </row>
    <row r="330">
      <c r="A330" s="37">
        <v>157.0</v>
      </c>
      <c r="B330" s="37">
        <v>1.0</v>
      </c>
      <c r="C330" s="37" t="s">
        <v>694</v>
      </c>
      <c r="D330" s="28" t="s">
        <v>695</v>
      </c>
      <c r="E330" s="37" t="s">
        <v>696</v>
      </c>
      <c r="F330" s="31"/>
      <c r="G330" s="34">
        <v>1.0</v>
      </c>
      <c r="H330" s="34">
        <v>200.0</v>
      </c>
      <c r="I330" s="34"/>
      <c r="J330" s="34"/>
      <c r="K330" s="34"/>
      <c r="L330" s="34"/>
      <c r="M330" s="34"/>
      <c r="N330" s="34"/>
      <c r="O330" s="34"/>
      <c r="P330" s="34"/>
      <c r="Q330" s="34"/>
      <c r="R330" s="34"/>
      <c r="S330" s="34"/>
      <c r="T330" s="34"/>
      <c r="U330" s="34"/>
      <c r="V330" s="34"/>
    </row>
    <row r="331">
      <c r="A331" s="37">
        <v>157.0</v>
      </c>
      <c r="B331" s="37">
        <v>2.0</v>
      </c>
      <c r="C331" s="31"/>
      <c r="D331" s="37" t="s">
        <v>697</v>
      </c>
      <c r="E331" s="37" t="s">
        <v>698</v>
      </c>
      <c r="F331" s="31"/>
      <c r="G331" s="34">
        <v>1.0</v>
      </c>
      <c r="H331" s="34">
        <v>201.0</v>
      </c>
      <c r="I331" s="34"/>
      <c r="J331" s="34"/>
      <c r="K331" s="34"/>
      <c r="L331" s="34"/>
      <c r="M331" s="34"/>
      <c r="N331" s="34"/>
      <c r="O331" s="34"/>
      <c r="P331" s="34"/>
      <c r="Q331" s="34"/>
      <c r="R331" s="34"/>
      <c r="S331" s="34"/>
      <c r="T331" s="34"/>
      <c r="U331" s="34"/>
      <c r="V331" s="34"/>
    </row>
    <row r="332">
      <c r="A332" s="37">
        <v>158.0</v>
      </c>
      <c r="B332" s="37">
        <v>1.0</v>
      </c>
      <c r="C332" s="37" t="s">
        <v>699</v>
      </c>
      <c r="D332" s="37" t="s">
        <v>700</v>
      </c>
      <c r="E332" s="37" t="s">
        <v>696</v>
      </c>
      <c r="F332" s="31"/>
      <c r="G332" s="34">
        <v>2.0</v>
      </c>
      <c r="H332" s="34" t="s">
        <v>56</v>
      </c>
      <c r="I332" s="34"/>
      <c r="J332" s="34"/>
      <c r="K332" s="34"/>
      <c r="L332" s="34"/>
      <c r="M332" s="34"/>
      <c r="N332" s="34"/>
      <c r="O332" s="34"/>
      <c r="P332" s="34"/>
      <c r="Q332" s="34"/>
      <c r="R332" s="34"/>
      <c r="S332" s="34"/>
      <c r="T332" s="34"/>
      <c r="U332" s="34"/>
      <c r="V332" s="34"/>
    </row>
    <row r="333">
      <c r="A333" s="37">
        <v>158.0</v>
      </c>
      <c r="B333" s="37">
        <v>2.0</v>
      </c>
      <c r="C333" s="31"/>
      <c r="D333" s="37" t="s">
        <v>701</v>
      </c>
      <c r="E333" s="37" t="s">
        <v>693</v>
      </c>
      <c r="F333" s="31"/>
      <c r="G333" s="34">
        <v>2.0</v>
      </c>
      <c r="H333" s="34" t="s">
        <v>56</v>
      </c>
      <c r="I333" s="34"/>
      <c r="J333" s="34"/>
      <c r="K333" s="34"/>
      <c r="L333" s="34"/>
      <c r="M333" s="34"/>
      <c r="N333" s="34"/>
      <c r="O333" s="34"/>
      <c r="P333" s="34"/>
      <c r="Q333" s="34"/>
      <c r="R333" s="34"/>
      <c r="S333" s="34"/>
      <c r="T333" s="34"/>
      <c r="U333" s="34"/>
      <c r="V333" s="34"/>
    </row>
    <row r="334">
      <c r="A334" s="37">
        <v>158.0</v>
      </c>
      <c r="B334" s="37">
        <v>3.0</v>
      </c>
      <c r="C334" s="31"/>
      <c r="D334" s="37" t="s">
        <v>702</v>
      </c>
      <c r="E334" s="28" t="s">
        <v>504</v>
      </c>
      <c r="F334" s="37"/>
      <c r="G334" s="34">
        <v>2.0</v>
      </c>
      <c r="H334" s="34" t="s">
        <v>56</v>
      </c>
      <c r="I334" s="34"/>
      <c r="J334" s="34"/>
      <c r="K334" s="34"/>
      <c r="L334" s="34"/>
      <c r="M334" s="34"/>
      <c r="N334" s="34"/>
      <c r="O334" s="34"/>
      <c r="P334" s="34"/>
      <c r="Q334" s="34"/>
      <c r="R334" s="34"/>
      <c r="S334" s="34"/>
      <c r="T334" s="34"/>
      <c r="U334" s="34"/>
      <c r="V334" s="34"/>
    </row>
    <row r="335">
      <c r="A335" s="37">
        <v>159.0</v>
      </c>
      <c r="B335" s="37">
        <v>1.0</v>
      </c>
      <c r="C335" s="37" t="s">
        <v>703</v>
      </c>
      <c r="D335" s="37" t="s">
        <v>71</v>
      </c>
      <c r="E335" s="37" t="s">
        <v>69</v>
      </c>
      <c r="F335" s="37"/>
      <c r="G335" s="34">
        <v>4.0</v>
      </c>
      <c r="H335" s="34" t="s">
        <v>56</v>
      </c>
      <c r="I335" s="34"/>
      <c r="J335" s="34"/>
      <c r="K335" s="34"/>
      <c r="L335" s="34"/>
      <c r="M335" s="34"/>
      <c r="N335" s="34"/>
      <c r="O335" s="34"/>
      <c r="P335" s="34"/>
      <c r="Q335" s="34"/>
      <c r="R335" s="34"/>
      <c r="S335" s="34"/>
      <c r="T335" s="34"/>
      <c r="U335" s="34"/>
      <c r="V335" s="34"/>
    </row>
    <row r="336">
      <c r="A336" s="37">
        <v>159.0</v>
      </c>
      <c r="B336" s="37">
        <v>2.0</v>
      </c>
      <c r="C336" s="31"/>
      <c r="D336" s="37" t="s">
        <v>704</v>
      </c>
      <c r="E336" s="37" t="s">
        <v>170</v>
      </c>
      <c r="F336" s="37"/>
      <c r="G336" s="34">
        <v>2.0</v>
      </c>
      <c r="H336" s="34" t="s">
        <v>56</v>
      </c>
      <c r="I336" s="34"/>
      <c r="J336" s="34"/>
      <c r="K336" s="34"/>
      <c r="L336" s="34"/>
      <c r="M336" s="34"/>
      <c r="N336" s="34"/>
      <c r="O336" s="34"/>
      <c r="P336" s="34"/>
      <c r="Q336" s="34"/>
      <c r="R336" s="34"/>
      <c r="S336" s="34"/>
      <c r="T336" s="34"/>
      <c r="U336" s="34"/>
      <c r="V336" s="34"/>
    </row>
    <row r="337">
      <c r="A337" s="37">
        <v>160.0</v>
      </c>
      <c r="B337" s="37">
        <v>1.0</v>
      </c>
      <c r="C337" s="37" t="s">
        <v>705</v>
      </c>
      <c r="D337" s="37" t="s">
        <v>706</v>
      </c>
      <c r="E337" s="37" t="s">
        <v>707</v>
      </c>
      <c r="F337" s="31"/>
      <c r="G337" s="34">
        <v>1.0</v>
      </c>
      <c r="H337" s="34">
        <v>202.0</v>
      </c>
      <c r="I337" s="34"/>
      <c r="J337" s="34"/>
      <c r="K337" s="34"/>
      <c r="L337" s="34"/>
      <c r="M337" s="34"/>
      <c r="N337" s="34"/>
      <c r="O337" s="34"/>
      <c r="P337" s="34"/>
      <c r="Q337" s="34"/>
      <c r="R337" s="34"/>
      <c r="S337" s="34"/>
      <c r="T337" s="34"/>
      <c r="U337" s="34"/>
      <c r="V337" s="34"/>
    </row>
    <row r="338">
      <c r="A338" s="37">
        <v>160.0</v>
      </c>
      <c r="B338" s="37">
        <v>2.0</v>
      </c>
      <c r="C338" s="31"/>
      <c r="D338" s="37" t="s">
        <v>708</v>
      </c>
      <c r="E338" s="37" t="s">
        <v>709</v>
      </c>
      <c r="F338" s="31"/>
      <c r="G338" s="34">
        <v>1.0</v>
      </c>
      <c r="H338" s="34">
        <v>203.0</v>
      </c>
      <c r="I338" s="34"/>
      <c r="J338" s="34"/>
      <c r="K338" s="34"/>
      <c r="L338" s="34"/>
      <c r="M338" s="34"/>
      <c r="N338" s="34"/>
      <c r="O338" s="34"/>
      <c r="P338" s="34"/>
      <c r="Q338" s="34"/>
      <c r="R338" s="34"/>
      <c r="S338" s="34"/>
      <c r="T338" s="34"/>
      <c r="U338" s="34"/>
      <c r="V338" s="34"/>
    </row>
    <row r="339">
      <c r="A339" s="37">
        <v>161.0</v>
      </c>
      <c r="B339" s="37">
        <v>1.0</v>
      </c>
      <c r="C339" s="37" t="s">
        <v>710</v>
      </c>
      <c r="D339" s="37" t="s">
        <v>711</v>
      </c>
      <c r="E339" s="37" t="s">
        <v>129</v>
      </c>
      <c r="F339" s="37"/>
      <c r="G339" s="34">
        <v>2.0</v>
      </c>
      <c r="H339" s="34" t="s">
        <v>56</v>
      </c>
      <c r="I339" s="34"/>
      <c r="J339" s="34"/>
      <c r="K339" s="34"/>
      <c r="L339" s="34"/>
      <c r="M339" s="34"/>
      <c r="N339" s="34"/>
      <c r="O339" s="34"/>
      <c r="P339" s="34"/>
      <c r="Q339" s="34"/>
      <c r="R339" s="34"/>
      <c r="S339" s="34"/>
      <c r="T339" s="34"/>
      <c r="U339" s="34"/>
      <c r="V339" s="34"/>
    </row>
    <row r="340">
      <c r="A340" s="37">
        <v>161.0</v>
      </c>
      <c r="B340" s="37">
        <v>2.0</v>
      </c>
      <c r="C340" s="31"/>
      <c r="D340" s="37" t="s">
        <v>71</v>
      </c>
      <c r="E340" s="37" t="s">
        <v>69</v>
      </c>
      <c r="F340" s="37"/>
      <c r="G340" s="34">
        <v>5.0</v>
      </c>
      <c r="H340" s="34" t="s">
        <v>56</v>
      </c>
      <c r="I340" s="34"/>
      <c r="J340" s="34"/>
      <c r="K340" s="34"/>
      <c r="L340" s="34"/>
      <c r="M340" s="34"/>
      <c r="N340" s="34"/>
      <c r="O340" s="34"/>
      <c r="P340" s="34"/>
      <c r="Q340" s="34"/>
      <c r="R340" s="34"/>
      <c r="S340" s="34"/>
      <c r="T340" s="34"/>
      <c r="U340" s="34"/>
      <c r="V340" s="34"/>
    </row>
    <row r="341">
      <c r="A341" s="37">
        <v>162.0</v>
      </c>
      <c r="B341" s="37">
        <v>1.0</v>
      </c>
      <c r="C341" s="37" t="s">
        <v>712</v>
      </c>
      <c r="D341" s="37" t="s">
        <v>713</v>
      </c>
      <c r="E341" s="28" t="s">
        <v>184</v>
      </c>
      <c r="F341" s="37"/>
      <c r="G341" s="34">
        <v>5.0</v>
      </c>
      <c r="H341" s="34" t="s">
        <v>56</v>
      </c>
      <c r="I341" s="34"/>
      <c r="J341" s="34"/>
      <c r="K341" s="34"/>
      <c r="L341" s="34"/>
      <c r="M341" s="34"/>
      <c r="N341" s="34"/>
      <c r="O341" s="34"/>
      <c r="P341" s="34"/>
      <c r="Q341" s="34"/>
      <c r="R341" s="34"/>
      <c r="S341" s="34"/>
      <c r="T341" s="34"/>
      <c r="U341" s="34"/>
      <c r="V341" s="34"/>
    </row>
    <row r="342">
      <c r="A342" s="37">
        <v>163.0</v>
      </c>
      <c r="B342" s="37">
        <v>1.0</v>
      </c>
      <c r="C342" s="28" t="s">
        <v>714</v>
      </c>
      <c r="D342" s="37" t="s">
        <v>71</v>
      </c>
      <c r="E342" s="37" t="s">
        <v>69</v>
      </c>
      <c r="F342" s="37"/>
      <c r="G342" s="34">
        <v>6.0</v>
      </c>
      <c r="H342" s="34" t="s">
        <v>56</v>
      </c>
      <c r="I342" s="34"/>
      <c r="J342" s="34"/>
      <c r="K342" s="34"/>
      <c r="L342" s="34"/>
      <c r="M342" s="34"/>
      <c r="N342" s="34"/>
      <c r="O342" s="34"/>
      <c r="P342" s="34"/>
      <c r="Q342" s="34"/>
      <c r="R342" s="34"/>
      <c r="S342" s="34"/>
      <c r="T342" s="34"/>
      <c r="U342" s="34"/>
      <c r="V342" s="34"/>
    </row>
    <row r="343">
      <c r="A343" s="37">
        <v>163.0</v>
      </c>
      <c r="B343" s="37">
        <v>2.0</v>
      </c>
      <c r="C343" s="31"/>
      <c r="D343" s="37" t="s">
        <v>704</v>
      </c>
      <c r="E343" s="37" t="s">
        <v>170</v>
      </c>
      <c r="F343" s="37"/>
      <c r="G343" s="34">
        <v>3.0</v>
      </c>
      <c r="H343" s="34" t="s">
        <v>56</v>
      </c>
      <c r="I343" s="34"/>
      <c r="J343" s="34"/>
      <c r="K343" s="34"/>
      <c r="L343" s="34"/>
      <c r="M343" s="34"/>
      <c r="N343" s="34"/>
      <c r="O343" s="34"/>
      <c r="P343" s="34"/>
      <c r="Q343" s="34"/>
      <c r="R343" s="34"/>
      <c r="S343" s="34"/>
      <c r="T343" s="34"/>
      <c r="U343" s="34"/>
      <c r="V343" s="34"/>
    </row>
    <row r="344">
      <c r="A344" s="37">
        <v>163.0</v>
      </c>
      <c r="B344" s="37">
        <v>3.0</v>
      </c>
      <c r="C344" s="31"/>
      <c r="D344" s="37" t="s">
        <v>552</v>
      </c>
      <c r="E344" s="37" t="s">
        <v>488</v>
      </c>
      <c r="F344" s="37"/>
      <c r="G344" s="34">
        <v>4.0</v>
      </c>
      <c r="H344" s="34" t="s">
        <v>56</v>
      </c>
      <c r="I344" s="34"/>
      <c r="J344" s="34"/>
      <c r="K344" s="34"/>
      <c r="L344" s="34"/>
      <c r="M344" s="34"/>
      <c r="N344" s="34"/>
      <c r="O344" s="34"/>
      <c r="P344" s="34"/>
      <c r="Q344" s="34"/>
      <c r="R344" s="34"/>
      <c r="S344" s="34"/>
      <c r="T344" s="34"/>
      <c r="U344" s="34"/>
      <c r="V344" s="34"/>
    </row>
    <row r="345">
      <c r="A345" s="37">
        <v>164.0</v>
      </c>
      <c r="B345" s="37">
        <v>1.0</v>
      </c>
      <c r="C345" s="37" t="s">
        <v>715</v>
      </c>
      <c r="D345" s="37" t="s">
        <v>716</v>
      </c>
      <c r="E345" s="37" t="s">
        <v>717</v>
      </c>
      <c r="F345" s="31"/>
      <c r="G345" s="34">
        <v>1.0</v>
      </c>
      <c r="H345" s="34">
        <v>204.0</v>
      </c>
      <c r="I345" s="34"/>
      <c r="J345" s="34"/>
      <c r="K345" s="34"/>
      <c r="L345" s="34"/>
      <c r="M345" s="34"/>
      <c r="N345" s="34"/>
      <c r="O345" s="34"/>
      <c r="P345" s="34"/>
      <c r="Q345" s="34"/>
      <c r="R345" s="34"/>
      <c r="S345" s="34"/>
      <c r="T345" s="34"/>
      <c r="U345" s="34"/>
      <c r="V345" s="34"/>
    </row>
    <row r="346">
      <c r="A346" s="37">
        <v>164.0</v>
      </c>
      <c r="B346" s="37">
        <v>2.0</v>
      </c>
      <c r="C346" s="31"/>
      <c r="D346" s="37" t="s">
        <v>718</v>
      </c>
      <c r="E346" s="37" t="s">
        <v>719</v>
      </c>
      <c r="F346" s="31"/>
      <c r="G346" s="34">
        <v>1.0</v>
      </c>
      <c r="H346" s="34">
        <v>205.0</v>
      </c>
      <c r="I346" s="34"/>
      <c r="J346" s="34"/>
      <c r="K346" s="34"/>
      <c r="L346" s="34"/>
      <c r="M346" s="34"/>
      <c r="N346" s="34"/>
      <c r="O346" s="34"/>
      <c r="P346" s="34"/>
      <c r="Q346" s="34"/>
      <c r="R346" s="34"/>
      <c r="S346" s="34"/>
      <c r="T346" s="34"/>
      <c r="U346" s="34"/>
      <c r="V346" s="34"/>
    </row>
    <row r="347">
      <c r="A347" s="37">
        <v>164.0</v>
      </c>
      <c r="B347" s="37">
        <v>3.0</v>
      </c>
      <c r="C347" s="31"/>
      <c r="D347" s="37" t="s">
        <v>720</v>
      </c>
      <c r="E347" s="37" t="s">
        <v>721</v>
      </c>
      <c r="F347" s="31"/>
      <c r="G347" s="34">
        <v>1.0</v>
      </c>
      <c r="H347" s="34">
        <v>206.0</v>
      </c>
      <c r="I347" s="34"/>
      <c r="J347" s="34"/>
      <c r="K347" s="34"/>
      <c r="L347" s="34"/>
      <c r="M347" s="34"/>
      <c r="N347" s="34"/>
      <c r="O347" s="34"/>
      <c r="P347" s="34"/>
      <c r="Q347" s="34"/>
      <c r="R347" s="34"/>
      <c r="S347" s="34"/>
      <c r="T347" s="34"/>
      <c r="U347" s="34"/>
      <c r="V347" s="34"/>
    </row>
    <row r="348">
      <c r="A348" s="37">
        <v>164.0</v>
      </c>
      <c r="B348" s="37">
        <v>4.0</v>
      </c>
      <c r="C348" s="31"/>
      <c r="D348" s="37" t="s">
        <v>722</v>
      </c>
      <c r="E348" s="37" t="s">
        <v>723</v>
      </c>
      <c r="F348" s="31"/>
      <c r="G348" s="34">
        <v>1.0</v>
      </c>
      <c r="H348" s="34">
        <v>207.0</v>
      </c>
      <c r="I348" s="34"/>
      <c r="J348" s="34"/>
      <c r="K348" s="34"/>
      <c r="L348" s="34"/>
      <c r="M348" s="34"/>
      <c r="N348" s="34"/>
      <c r="O348" s="34"/>
      <c r="P348" s="34"/>
      <c r="Q348" s="34"/>
      <c r="R348" s="34"/>
      <c r="S348" s="34"/>
      <c r="T348" s="34"/>
      <c r="U348" s="34"/>
      <c r="V348" s="34"/>
    </row>
    <row r="349">
      <c r="A349" s="37">
        <v>165.0</v>
      </c>
      <c r="B349" s="37">
        <v>1.0</v>
      </c>
      <c r="C349" s="37" t="s">
        <v>724</v>
      </c>
      <c r="D349" s="37" t="s">
        <v>725</v>
      </c>
      <c r="E349" s="37" t="s">
        <v>726</v>
      </c>
      <c r="F349" s="31"/>
      <c r="G349" s="34">
        <v>1.0</v>
      </c>
      <c r="H349" s="34">
        <v>208.0</v>
      </c>
      <c r="I349" s="34"/>
      <c r="J349" s="34"/>
      <c r="K349" s="34"/>
      <c r="L349" s="34"/>
      <c r="M349" s="34"/>
      <c r="N349" s="34"/>
      <c r="O349" s="34"/>
      <c r="P349" s="34"/>
      <c r="Q349" s="34"/>
      <c r="R349" s="34"/>
      <c r="S349" s="34"/>
      <c r="T349" s="34"/>
      <c r="U349" s="34"/>
      <c r="V349" s="34"/>
    </row>
    <row r="350">
      <c r="A350" s="37">
        <v>165.0</v>
      </c>
      <c r="B350" s="28">
        <v>2.0</v>
      </c>
      <c r="C350" s="31"/>
      <c r="D350" s="37" t="s">
        <v>727</v>
      </c>
      <c r="E350" s="37" t="s">
        <v>728</v>
      </c>
      <c r="F350" s="31"/>
      <c r="G350" s="34">
        <v>1.0</v>
      </c>
      <c r="H350" s="34">
        <v>209.0</v>
      </c>
      <c r="I350" s="34"/>
      <c r="J350" s="34"/>
      <c r="K350" s="34"/>
      <c r="L350" s="34"/>
      <c r="M350" s="34"/>
      <c r="N350" s="34"/>
      <c r="O350" s="34"/>
      <c r="P350" s="34"/>
      <c r="Q350" s="34"/>
      <c r="R350" s="34"/>
      <c r="S350" s="34"/>
      <c r="T350" s="34"/>
      <c r="U350" s="34"/>
      <c r="V350" s="34"/>
    </row>
    <row r="351">
      <c r="A351" s="37">
        <v>165.0</v>
      </c>
      <c r="B351" s="28">
        <v>3.0</v>
      </c>
      <c r="C351" s="31"/>
      <c r="D351" s="37" t="s">
        <v>71</v>
      </c>
      <c r="E351" s="37" t="s">
        <v>69</v>
      </c>
      <c r="F351" s="37"/>
      <c r="G351" s="34">
        <v>7.0</v>
      </c>
      <c r="H351" s="34" t="s">
        <v>56</v>
      </c>
      <c r="I351" s="34"/>
      <c r="J351" s="34"/>
      <c r="K351" s="34"/>
      <c r="L351" s="34"/>
      <c r="M351" s="34"/>
      <c r="N351" s="34"/>
      <c r="O351" s="34"/>
      <c r="P351" s="34"/>
      <c r="Q351" s="34"/>
      <c r="R351" s="34"/>
      <c r="S351" s="34"/>
      <c r="T351" s="34"/>
      <c r="U351" s="34"/>
      <c r="V351" s="34"/>
    </row>
    <row r="352">
      <c r="A352" s="37">
        <v>166.0</v>
      </c>
      <c r="B352" s="37">
        <v>1.0</v>
      </c>
      <c r="C352" s="37" t="s">
        <v>729</v>
      </c>
      <c r="D352" s="37" t="s">
        <v>730</v>
      </c>
      <c r="E352" s="37" t="s">
        <v>731</v>
      </c>
      <c r="F352" s="31"/>
      <c r="G352" s="34">
        <v>1.0</v>
      </c>
      <c r="H352" s="34">
        <v>210.0</v>
      </c>
      <c r="I352" s="34"/>
      <c r="J352" s="34"/>
      <c r="K352" s="34"/>
      <c r="L352" s="34"/>
      <c r="M352" s="34"/>
      <c r="N352" s="34"/>
      <c r="O352" s="34"/>
      <c r="P352" s="34"/>
      <c r="Q352" s="34"/>
      <c r="R352" s="34"/>
      <c r="S352" s="34"/>
      <c r="T352" s="34"/>
      <c r="U352" s="34"/>
      <c r="V352" s="34"/>
    </row>
    <row r="353">
      <c r="A353" s="37">
        <v>166.0</v>
      </c>
      <c r="B353" s="37">
        <v>2.0</v>
      </c>
      <c r="C353" s="31"/>
      <c r="D353" s="37" t="s">
        <v>732</v>
      </c>
      <c r="E353" s="37" t="s">
        <v>719</v>
      </c>
      <c r="F353" s="31"/>
      <c r="G353" s="34">
        <v>2.0</v>
      </c>
      <c r="H353" s="34" t="s">
        <v>56</v>
      </c>
      <c r="I353" s="34"/>
      <c r="J353" s="34"/>
      <c r="K353" s="34"/>
      <c r="L353" s="34"/>
      <c r="M353" s="34"/>
      <c r="N353" s="34"/>
      <c r="O353" s="34"/>
      <c r="P353" s="34"/>
      <c r="Q353" s="34"/>
      <c r="R353" s="34"/>
      <c r="S353" s="34"/>
      <c r="T353" s="34"/>
      <c r="U353" s="34"/>
      <c r="V353" s="34"/>
    </row>
    <row r="354">
      <c r="A354" s="37">
        <v>166.0</v>
      </c>
      <c r="B354" s="37">
        <v>3.0</v>
      </c>
      <c r="C354" s="31"/>
      <c r="D354" s="37" t="s">
        <v>733</v>
      </c>
      <c r="E354" s="37" t="s">
        <v>717</v>
      </c>
      <c r="F354" s="31"/>
      <c r="G354" s="34">
        <v>2.0</v>
      </c>
      <c r="H354" s="34" t="s">
        <v>56</v>
      </c>
      <c r="I354" s="34"/>
      <c r="J354" s="34"/>
      <c r="K354" s="34"/>
      <c r="L354" s="34"/>
      <c r="M354" s="34"/>
      <c r="N354" s="34"/>
      <c r="O354" s="34"/>
      <c r="P354" s="34"/>
      <c r="Q354" s="34"/>
      <c r="R354" s="34"/>
      <c r="S354" s="34"/>
      <c r="T354" s="34"/>
      <c r="U354" s="34"/>
      <c r="V354" s="34"/>
    </row>
    <row r="355">
      <c r="A355" s="37">
        <v>166.0</v>
      </c>
      <c r="B355" s="37">
        <v>4.0</v>
      </c>
      <c r="C355" s="31"/>
      <c r="D355" s="37" t="s">
        <v>734</v>
      </c>
      <c r="E355" s="37" t="s">
        <v>220</v>
      </c>
      <c r="F355" s="37"/>
      <c r="G355" s="34">
        <v>2.0</v>
      </c>
      <c r="H355" s="34" t="s">
        <v>56</v>
      </c>
      <c r="I355" s="34"/>
      <c r="J355" s="34"/>
      <c r="K355" s="34"/>
      <c r="L355" s="34"/>
      <c r="M355" s="34"/>
      <c r="N355" s="34"/>
      <c r="O355" s="34"/>
      <c r="P355" s="34"/>
      <c r="Q355" s="34"/>
      <c r="R355" s="34"/>
      <c r="S355" s="34"/>
      <c r="T355" s="34"/>
      <c r="U355" s="34"/>
      <c r="V355" s="34"/>
    </row>
    <row r="356">
      <c r="A356" s="37">
        <v>166.0</v>
      </c>
      <c r="B356" s="37">
        <v>5.0</v>
      </c>
      <c r="C356" s="31"/>
      <c r="D356" s="37" t="s">
        <v>735</v>
      </c>
      <c r="E356" s="28" t="s">
        <v>736</v>
      </c>
      <c r="F356" s="37"/>
      <c r="G356" s="34">
        <v>1.0</v>
      </c>
      <c r="H356" s="34">
        <v>211.0</v>
      </c>
      <c r="I356" s="34"/>
      <c r="J356" s="34"/>
      <c r="K356" s="34"/>
      <c r="L356" s="34"/>
      <c r="M356" s="34"/>
      <c r="N356" s="34"/>
      <c r="O356" s="34"/>
      <c r="P356" s="34"/>
      <c r="Q356" s="34"/>
      <c r="R356" s="34"/>
      <c r="S356" s="34"/>
      <c r="T356" s="34"/>
      <c r="U356" s="34"/>
      <c r="V356" s="34"/>
    </row>
    <row r="357">
      <c r="A357" s="37">
        <v>166.0</v>
      </c>
      <c r="B357" s="37">
        <v>6.0</v>
      </c>
      <c r="C357" s="31"/>
      <c r="D357" s="37" t="s">
        <v>737</v>
      </c>
      <c r="E357" s="37" t="s">
        <v>738</v>
      </c>
      <c r="F357" s="31"/>
      <c r="G357" s="34">
        <v>1.0</v>
      </c>
      <c r="H357" s="34">
        <v>212.0</v>
      </c>
      <c r="I357" s="34"/>
      <c r="J357" s="34"/>
      <c r="K357" s="34"/>
      <c r="L357" s="34"/>
      <c r="M357" s="34"/>
      <c r="N357" s="34"/>
      <c r="O357" s="34"/>
      <c r="P357" s="34"/>
      <c r="Q357" s="34"/>
      <c r="R357" s="34"/>
      <c r="S357" s="34"/>
      <c r="T357" s="34"/>
      <c r="U357" s="34"/>
      <c r="V357" s="34"/>
    </row>
    <row r="358">
      <c r="A358" s="37">
        <v>167.0</v>
      </c>
      <c r="B358" s="37">
        <v>1.0</v>
      </c>
      <c r="C358" s="37" t="s">
        <v>739</v>
      </c>
      <c r="D358" s="37" t="s">
        <v>740</v>
      </c>
      <c r="E358" s="37" t="s">
        <v>129</v>
      </c>
      <c r="F358" s="37"/>
      <c r="G358" s="34">
        <v>3.0</v>
      </c>
      <c r="H358" s="34" t="s">
        <v>56</v>
      </c>
      <c r="I358" s="34"/>
      <c r="J358" s="34"/>
      <c r="K358" s="34"/>
      <c r="L358" s="34"/>
      <c r="M358" s="34"/>
      <c r="N358" s="34"/>
      <c r="O358" s="34"/>
      <c r="P358" s="34"/>
      <c r="Q358" s="34"/>
      <c r="R358" s="34"/>
      <c r="S358" s="34"/>
      <c r="T358" s="34"/>
      <c r="U358" s="34"/>
      <c r="V358" s="34"/>
    </row>
    <row r="359">
      <c r="A359" s="37">
        <v>167.0</v>
      </c>
      <c r="B359" s="37">
        <v>2.0</v>
      </c>
      <c r="C359" s="31"/>
      <c r="D359" s="37" t="s">
        <v>741</v>
      </c>
      <c r="E359" s="37" t="s">
        <v>742</v>
      </c>
      <c r="F359" s="31"/>
      <c r="G359" s="34">
        <v>1.0</v>
      </c>
      <c r="H359" s="34">
        <v>213.0</v>
      </c>
      <c r="I359" s="34"/>
      <c r="J359" s="34"/>
      <c r="K359" s="34"/>
      <c r="L359" s="34"/>
      <c r="M359" s="34"/>
      <c r="N359" s="34"/>
      <c r="O359" s="34"/>
      <c r="P359" s="34"/>
      <c r="Q359" s="34"/>
      <c r="R359" s="34"/>
      <c r="S359" s="34"/>
      <c r="T359" s="34"/>
      <c r="U359" s="34"/>
      <c r="V359" s="34"/>
    </row>
    <row r="360">
      <c r="A360" s="37">
        <v>167.0</v>
      </c>
      <c r="B360" s="37">
        <v>3.0</v>
      </c>
      <c r="C360" s="31"/>
      <c r="D360" s="37" t="s">
        <v>743</v>
      </c>
      <c r="E360" s="37" t="s">
        <v>726</v>
      </c>
      <c r="F360" s="31"/>
      <c r="G360" s="34">
        <v>2.0</v>
      </c>
      <c r="H360" s="34" t="s">
        <v>56</v>
      </c>
      <c r="I360" s="34"/>
      <c r="J360" s="34"/>
      <c r="K360" s="34"/>
      <c r="L360" s="34"/>
      <c r="M360" s="34"/>
      <c r="N360" s="34"/>
      <c r="O360" s="34"/>
      <c r="P360" s="34"/>
      <c r="Q360" s="34"/>
      <c r="R360" s="34"/>
      <c r="S360" s="34"/>
      <c r="T360" s="34"/>
      <c r="U360" s="34"/>
      <c r="V360" s="34"/>
    </row>
    <row r="361">
      <c r="A361" s="37">
        <v>167.0</v>
      </c>
      <c r="B361" s="37">
        <v>4.0</v>
      </c>
      <c r="C361" s="31"/>
      <c r="D361" s="37" t="s">
        <v>744</v>
      </c>
      <c r="E361" s="37" t="s">
        <v>745</v>
      </c>
      <c r="F361" s="31"/>
      <c r="G361" s="34">
        <v>1.0</v>
      </c>
      <c r="H361" s="34">
        <v>214.0</v>
      </c>
      <c r="I361" s="34"/>
      <c r="J361" s="34"/>
      <c r="K361" s="34"/>
      <c r="L361" s="34"/>
      <c r="M361" s="34"/>
      <c r="N361" s="34"/>
      <c r="O361" s="34"/>
      <c r="P361" s="34"/>
      <c r="Q361" s="34"/>
      <c r="R361" s="34"/>
      <c r="S361" s="34"/>
      <c r="T361" s="34"/>
      <c r="U361" s="34"/>
      <c r="V361" s="34"/>
    </row>
    <row r="362">
      <c r="A362" s="37">
        <v>167.0</v>
      </c>
      <c r="B362" s="37">
        <v>5.0</v>
      </c>
      <c r="C362" s="31"/>
      <c r="D362" s="37" t="s">
        <v>746</v>
      </c>
      <c r="E362" s="28" t="s">
        <v>80</v>
      </c>
      <c r="F362" s="37"/>
      <c r="G362" s="34">
        <v>2.0</v>
      </c>
      <c r="H362" s="34" t="s">
        <v>56</v>
      </c>
      <c r="I362" s="34"/>
      <c r="J362" s="34"/>
      <c r="K362" s="34"/>
      <c r="L362" s="34"/>
      <c r="M362" s="34"/>
      <c r="N362" s="34"/>
      <c r="O362" s="34"/>
      <c r="P362" s="34"/>
      <c r="Q362" s="34"/>
      <c r="R362" s="34"/>
      <c r="S362" s="34"/>
      <c r="T362" s="34"/>
      <c r="U362" s="34"/>
      <c r="V362" s="34"/>
    </row>
    <row r="363">
      <c r="A363" s="37">
        <v>168.0</v>
      </c>
      <c r="B363" s="37">
        <v>1.0</v>
      </c>
      <c r="C363" s="37" t="s">
        <v>747</v>
      </c>
      <c r="D363" s="37" t="s">
        <v>743</v>
      </c>
      <c r="E363" s="37" t="s">
        <v>726</v>
      </c>
      <c r="F363" s="31"/>
      <c r="G363" s="34">
        <v>3.0</v>
      </c>
      <c r="H363" s="34" t="s">
        <v>56</v>
      </c>
      <c r="I363" s="34"/>
      <c r="J363" s="34"/>
      <c r="K363" s="34"/>
      <c r="L363" s="34"/>
      <c r="M363" s="34"/>
      <c r="N363" s="34"/>
      <c r="O363" s="34"/>
      <c r="P363" s="34"/>
      <c r="Q363" s="34"/>
      <c r="R363" s="34"/>
      <c r="S363" s="34"/>
      <c r="T363" s="34"/>
      <c r="U363" s="34"/>
      <c r="V363" s="34"/>
    </row>
    <row r="364">
      <c r="A364" s="37">
        <v>168.0</v>
      </c>
      <c r="B364" s="37">
        <v>2.0</v>
      </c>
      <c r="C364" s="31"/>
      <c r="D364" s="37" t="s">
        <v>733</v>
      </c>
      <c r="E364" s="37" t="s">
        <v>717</v>
      </c>
      <c r="F364" s="31"/>
      <c r="G364" s="34">
        <v>3.0</v>
      </c>
      <c r="H364" s="34" t="s">
        <v>56</v>
      </c>
      <c r="I364" s="34"/>
      <c r="J364" s="34"/>
      <c r="K364" s="34"/>
      <c r="L364" s="34"/>
      <c r="M364" s="34"/>
      <c r="N364" s="34"/>
      <c r="O364" s="34"/>
      <c r="P364" s="34"/>
      <c r="Q364" s="34"/>
      <c r="R364" s="34"/>
      <c r="S364" s="34"/>
      <c r="T364" s="34"/>
      <c r="U364" s="34"/>
      <c r="V364" s="34"/>
    </row>
    <row r="365">
      <c r="A365" s="37">
        <v>169.0</v>
      </c>
      <c r="B365" s="37">
        <v>1.0</v>
      </c>
      <c r="C365" s="37" t="s">
        <v>748</v>
      </c>
      <c r="D365" s="37" t="s">
        <v>61</v>
      </c>
      <c r="E365" s="37" t="s">
        <v>717</v>
      </c>
      <c r="F365" s="31"/>
      <c r="G365" s="34">
        <v>4.0</v>
      </c>
      <c r="H365" s="34" t="s">
        <v>56</v>
      </c>
      <c r="I365" s="34"/>
      <c r="J365" s="34"/>
      <c r="K365" s="34"/>
      <c r="L365" s="34"/>
      <c r="M365" s="34"/>
      <c r="N365" s="34"/>
      <c r="O365" s="34"/>
      <c r="P365" s="34"/>
      <c r="Q365" s="34"/>
      <c r="R365" s="34"/>
      <c r="S365" s="34"/>
      <c r="T365" s="34"/>
      <c r="U365" s="34"/>
      <c r="V365" s="34"/>
    </row>
    <row r="366">
      <c r="A366" s="37">
        <v>169.0</v>
      </c>
      <c r="B366" s="37">
        <v>2.0</v>
      </c>
      <c r="C366" s="31"/>
      <c r="D366" s="37" t="s">
        <v>734</v>
      </c>
      <c r="E366" s="37" t="s">
        <v>220</v>
      </c>
      <c r="F366" s="37"/>
      <c r="G366" s="34">
        <v>3.0</v>
      </c>
      <c r="H366" s="34" t="s">
        <v>56</v>
      </c>
      <c r="I366" s="34"/>
      <c r="J366" s="34"/>
      <c r="K366" s="34"/>
      <c r="L366" s="34"/>
      <c r="M366" s="34"/>
      <c r="N366" s="34"/>
      <c r="O366" s="34"/>
      <c r="P366" s="34"/>
      <c r="Q366" s="34"/>
      <c r="R366" s="34"/>
      <c r="S366" s="34"/>
      <c r="T366" s="34"/>
      <c r="U366" s="34"/>
      <c r="V366" s="34"/>
    </row>
    <row r="367">
      <c r="A367" s="37">
        <v>170.0</v>
      </c>
      <c r="B367" s="37">
        <v>1.0</v>
      </c>
      <c r="C367" s="37" t="s">
        <v>749</v>
      </c>
      <c r="D367" s="37" t="s">
        <v>750</v>
      </c>
      <c r="E367" s="37" t="s">
        <v>751</v>
      </c>
      <c r="F367" s="31"/>
      <c r="G367" s="34">
        <v>1.0</v>
      </c>
      <c r="H367" s="34">
        <v>215.0</v>
      </c>
      <c r="I367" s="34"/>
      <c r="J367" s="34"/>
      <c r="K367" s="34"/>
      <c r="L367" s="34"/>
      <c r="M367" s="34"/>
      <c r="N367" s="34"/>
      <c r="O367" s="34"/>
      <c r="P367" s="34"/>
      <c r="Q367" s="34"/>
      <c r="R367" s="34"/>
      <c r="S367" s="34"/>
      <c r="T367" s="34"/>
      <c r="U367" s="34"/>
      <c r="V367" s="34"/>
    </row>
    <row r="368">
      <c r="A368" s="37">
        <v>170.0</v>
      </c>
      <c r="B368" s="37">
        <v>2.0</v>
      </c>
      <c r="C368" s="31"/>
      <c r="D368" s="37" t="s">
        <v>752</v>
      </c>
      <c r="E368" s="37" t="s">
        <v>731</v>
      </c>
      <c r="F368" s="31"/>
      <c r="G368" s="34">
        <v>2.0</v>
      </c>
      <c r="H368" s="34" t="s">
        <v>56</v>
      </c>
      <c r="I368" s="34"/>
      <c r="J368" s="34"/>
      <c r="K368" s="34"/>
      <c r="L368" s="34"/>
      <c r="M368" s="34"/>
      <c r="N368" s="34"/>
      <c r="O368" s="34"/>
      <c r="P368" s="34"/>
      <c r="Q368" s="34"/>
      <c r="R368" s="34"/>
      <c r="S368" s="34"/>
      <c r="T368" s="34"/>
      <c r="U368" s="34"/>
      <c r="V368" s="34"/>
    </row>
    <row r="369">
      <c r="A369" s="37">
        <v>171.0</v>
      </c>
      <c r="B369" s="37">
        <v>1.0</v>
      </c>
      <c r="C369" s="37" t="s">
        <v>753</v>
      </c>
      <c r="D369" s="37" t="s">
        <v>752</v>
      </c>
      <c r="E369" s="37" t="s">
        <v>731</v>
      </c>
      <c r="F369" s="31"/>
      <c r="G369" s="34">
        <v>3.0</v>
      </c>
      <c r="H369" s="34" t="s">
        <v>56</v>
      </c>
      <c r="I369" s="34"/>
      <c r="J369" s="34"/>
      <c r="K369" s="34"/>
      <c r="L369" s="34"/>
      <c r="M369" s="34"/>
      <c r="N369" s="34"/>
      <c r="O369" s="34"/>
      <c r="P369" s="34"/>
      <c r="Q369" s="34"/>
      <c r="R369" s="34"/>
      <c r="S369" s="34"/>
      <c r="T369" s="34"/>
      <c r="U369" s="34"/>
      <c r="V369" s="34"/>
    </row>
    <row r="370">
      <c r="A370" s="37">
        <v>172.0</v>
      </c>
      <c r="B370" s="37">
        <v>1.0</v>
      </c>
      <c r="C370" s="37" t="s">
        <v>754</v>
      </c>
      <c r="D370" s="37" t="s">
        <v>755</v>
      </c>
      <c r="E370" s="28" t="s">
        <v>756</v>
      </c>
      <c r="F370" s="37"/>
      <c r="G370" s="34">
        <v>1.0</v>
      </c>
      <c r="H370" s="34">
        <v>216.0</v>
      </c>
      <c r="I370" s="34"/>
      <c r="J370" s="34"/>
      <c r="K370" s="34"/>
      <c r="L370" s="34"/>
      <c r="M370" s="34"/>
      <c r="N370" s="34"/>
      <c r="O370" s="34"/>
      <c r="P370" s="34"/>
      <c r="Q370" s="34"/>
      <c r="R370" s="34"/>
      <c r="S370" s="34"/>
      <c r="T370" s="34"/>
      <c r="U370" s="34"/>
      <c r="V370" s="34"/>
    </row>
    <row r="371">
      <c r="A371" s="37">
        <v>172.0</v>
      </c>
      <c r="B371" s="37">
        <v>2.0</v>
      </c>
      <c r="C371" s="31"/>
      <c r="D371" s="37" t="s">
        <v>757</v>
      </c>
      <c r="E371" s="28" t="s">
        <v>758</v>
      </c>
      <c r="F371" s="37"/>
      <c r="G371" s="34">
        <v>1.0</v>
      </c>
      <c r="H371" s="34">
        <v>217.0</v>
      </c>
      <c r="I371" s="34"/>
      <c r="J371" s="34"/>
      <c r="K371" s="34"/>
      <c r="L371" s="34"/>
      <c r="M371" s="34"/>
      <c r="N371" s="34"/>
      <c r="O371" s="34"/>
      <c r="P371" s="34"/>
      <c r="Q371" s="34"/>
      <c r="R371" s="34"/>
      <c r="S371" s="34"/>
      <c r="T371" s="34"/>
      <c r="U371" s="34"/>
      <c r="V371" s="34"/>
    </row>
    <row r="372">
      <c r="A372" s="37">
        <v>172.0</v>
      </c>
      <c r="B372" s="37">
        <v>3.0</v>
      </c>
      <c r="C372" s="31"/>
      <c r="D372" s="37" t="s">
        <v>759</v>
      </c>
      <c r="E372" s="37" t="s">
        <v>486</v>
      </c>
      <c r="F372" s="37"/>
      <c r="G372" s="34">
        <v>4.0</v>
      </c>
      <c r="H372" s="34" t="s">
        <v>56</v>
      </c>
      <c r="I372" s="34"/>
      <c r="J372" s="34"/>
      <c r="K372" s="34"/>
      <c r="L372" s="34"/>
      <c r="M372" s="34"/>
      <c r="N372" s="34"/>
      <c r="O372" s="34"/>
      <c r="P372" s="34"/>
      <c r="Q372" s="34"/>
      <c r="R372" s="34"/>
      <c r="S372" s="34"/>
      <c r="T372" s="34"/>
      <c r="U372" s="34"/>
      <c r="V372" s="34"/>
    </row>
    <row r="373">
      <c r="A373" s="37">
        <v>173.0</v>
      </c>
      <c r="B373" s="37">
        <v>1.0</v>
      </c>
      <c r="C373" s="37" t="s">
        <v>760</v>
      </c>
      <c r="D373" s="37" t="s">
        <v>559</v>
      </c>
      <c r="E373" s="37" t="s">
        <v>486</v>
      </c>
      <c r="F373" s="37"/>
      <c r="G373" s="34">
        <v>5.0</v>
      </c>
      <c r="H373" s="34" t="s">
        <v>56</v>
      </c>
      <c r="I373" s="34"/>
      <c r="J373" s="34"/>
      <c r="K373" s="34"/>
      <c r="L373" s="34"/>
      <c r="M373" s="34"/>
      <c r="N373" s="34"/>
      <c r="O373" s="34"/>
      <c r="P373" s="34"/>
      <c r="Q373" s="34"/>
      <c r="R373" s="34"/>
      <c r="S373" s="34"/>
      <c r="T373" s="34"/>
      <c r="U373" s="34"/>
      <c r="V373" s="34"/>
    </row>
    <row r="374">
      <c r="A374" s="37">
        <v>174.0</v>
      </c>
      <c r="B374" s="37">
        <v>1.0</v>
      </c>
      <c r="C374" s="37" t="s">
        <v>761</v>
      </c>
      <c r="D374" s="37" t="s">
        <v>762</v>
      </c>
      <c r="E374" s="37" t="s">
        <v>763</v>
      </c>
      <c r="F374" s="31"/>
      <c r="G374" s="34">
        <v>1.0</v>
      </c>
      <c r="H374" s="34">
        <v>218.0</v>
      </c>
      <c r="I374" s="34"/>
      <c r="J374" s="34"/>
      <c r="K374" s="34"/>
      <c r="L374" s="34"/>
      <c r="M374" s="34"/>
      <c r="N374" s="34"/>
      <c r="O374" s="34"/>
      <c r="P374" s="34"/>
      <c r="Q374" s="34"/>
      <c r="R374" s="34"/>
      <c r="S374" s="34"/>
      <c r="T374" s="34"/>
      <c r="U374" s="34"/>
      <c r="V374" s="34"/>
    </row>
    <row r="375">
      <c r="A375" s="37">
        <v>175.0</v>
      </c>
      <c r="B375" s="37">
        <v>1.0</v>
      </c>
      <c r="C375" s="37" t="s">
        <v>764</v>
      </c>
      <c r="D375" s="37" t="s">
        <v>765</v>
      </c>
      <c r="E375" s="37" t="s">
        <v>766</v>
      </c>
      <c r="F375" s="31"/>
      <c r="G375" s="34">
        <v>1.0</v>
      </c>
      <c r="H375" s="34">
        <v>219.0</v>
      </c>
      <c r="I375" s="34"/>
      <c r="J375" s="34"/>
      <c r="K375" s="34"/>
      <c r="L375" s="34"/>
      <c r="M375" s="34"/>
      <c r="N375" s="34"/>
      <c r="O375" s="34"/>
      <c r="P375" s="34"/>
      <c r="Q375" s="34"/>
      <c r="R375" s="34"/>
      <c r="S375" s="34"/>
      <c r="T375" s="34"/>
      <c r="U375" s="34"/>
      <c r="V375" s="34"/>
    </row>
    <row r="376">
      <c r="A376" s="37">
        <v>175.0</v>
      </c>
      <c r="B376" s="37">
        <v>2.0</v>
      </c>
      <c r="C376" s="31"/>
      <c r="D376" s="37" t="s">
        <v>767</v>
      </c>
      <c r="E376" s="28" t="s">
        <v>756</v>
      </c>
      <c r="F376" s="37"/>
      <c r="G376" s="34">
        <v>2.0</v>
      </c>
      <c r="H376" s="34" t="s">
        <v>56</v>
      </c>
      <c r="I376" s="34"/>
      <c r="J376" s="34"/>
      <c r="K376" s="34"/>
      <c r="L376" s="34"/>
      <c r="M376" s="34"/>
      <c r="N376" s="34"/>
      <c r="O376" s="34"/>
      <c r="P376" s="34"/>
      <c r="Q376" s="34"/>
      <c r="R376" s="34"/>
      <c r="S376" s="34"/>
      <c r="T376" s="34"/>
      <c r="U376" s="34"/>
      <c r="V376" s="34"/>
    </row>
    <row r="377">
      <c r="A377" s="37">
        <v>176.0</v>
      </c>
      <c r="B377" s="37">
        <v>1.0</v>
      </c>
      <c r="C377" s="37" t="s">
        <v>768</v>
      </c>
      <c r="D377" s="28" t="s">
        <v>769</v>
      </c>
      <c r="E377" s="28" t="s">
        <v>769</v>
      </c>
      <c r="F377" s="31"/>
      <c r="G377" s="34">
        <v>1.0</v>
      </c>
      <c r="H377" s="34">
        <v>220.0</v>
      </c>
      <c r="I377" s="34"/>
      <c r="J377" s="34"/>
      <c r="K377" s="34"/>
      <c r="L377" s="34"/>
      <c r="M377" s="34"/>
      <c r="N377" s="34"/>
      <c r="O377" s="34"/>
      <c r="P377" s="34"/>
      <c r="Q377" s="34"/>
      <c r="R377" s="34"/>
      <c r="S377" s="34"/>
      <c r="T377" s="34"/>
      <c r="U377" s="34"/>
      <c r="V377" s="34"/>
    </row>
    <row r="378">
      <c r="A378" s="37">
        <v>176.0</v>
      </c>
      <c r="B378" s="37">
        <v>2.0</v>
      </c>
      <c r="C378" s="31"/>
      <c r="D378" s="37" t="s">
        <v>770</v>
      </c>
      <c r="E378" s="37" t="s">
        <v>766</v>
      </c>
      <c r="F378" s="31"/>
      <c r="G378" s="34">
        <v>2.0</v>
      </c>
      <c r="H378" s="34" t="s">
        <v>56</v>
      </c>
      <c r="I378" s="34"/>
      <c r="J378" s="34"/>
      <c r="K378" s="34"/>
      <c r="L378" s="34"/>
      <c r="M378" s="34"/>
      <c r="N378" s="34"/>
      <c r="O378" s="34"/>
      <c r="P378" s="34"/>
      <c r="Q378" s="34"/>
      <c r="R378" s="34"/>
      <c r="S378" s="34"/>
      <c r="T378" s="34"/>
      <c r="U378" s="34"/>
      <c r="V378" s="34"/>
    </row>
    <row r="379">
      <c r="A379" s="37">
        <v>176.0</v>
      </c>
      <c r="B379" s="37">
        <v>3.0</v>
      </c>
      <c r="C379" s="31"/>
      <c r="D379" s="37" t="s">
        <v>771</v>
      </c>
      <c r="E379" s="28" t="s">
        <v>526</v>
      </c>
      <c r="F379" s="37"/>
      <c r="G379" s="34">
        <v>2.0</v>
      </c>
      <c r="H379" s="34" t="s">
        <v>56</v>
      </c>
      <c r="I379" s="34"/>
      <c r="J379" s="34"/>
      <c r="K379" s="34"/>
      <c r="L379" s="34"/>
      <c r="M379" s="34"/>
      <c r="N379" s="34"/>
      <c r="O379" s="34"/>
      <c r="P379" s="34"/>
      <c r="Q379" s="34"/>
      <c r="R379" s="34"/>
      <c r="S379" s="34"/>
      <c r="T379" s="34"/>
      <c r="U379" s="34"/>
      <c r="V379" s="34"/>
    </row>
    <row r="380">
      <c r="A380" s="37">
        <v>176.0</v>
      </c>
      <c r="B380" s="37">
        <v>4.0</v>
      </c>
      <c r="C380" s="31"/>
      <c r="D380" s="37" t="s">
        <v>772</v>
      </c>
      <c r="E380" s="37" t="s">
        <v>773</v>
      </c>
      <c r="F380" s="31"/>
      <c r="G380" s="34">
        <v>1.0</v>
      </c>
      <c r="H380" s="34">
        <v>221.0</v>
      </c>
      <c r="I380" s="34"/>
      <c r="J380" s="34"/>
      <c r="K380" s="34"/>
      <c r="L380" s="34"/>
      <c r="M380" s="34"/>
      <c r="N380" s="34"/>
      <c r="O380" s="34"/>
      <c r="P380" s="34"/>
      <c r="Q380" s="34"/>
      <c r="R380" s="34"/>
      <c r="S380" s="34"/>
      <c r="T380" s="34"/>
      <c r="U380" s="34"/>
      <c r="V380" s="34"/>
    </row>
    <row r="381">
      <c r="A381" s="37">
        <v>176.0</v>
      </c>
      <c r="B381" s="37">
        <v>5.0</v>
      </c>
      <c r="C381" s="31"/>
      <c r="D381" s="37" t="s">
        <v>774</v>
      </c>
      <c r="E381" s="37" t="s">
        <v>421</v>
      </c>
      <c r="F381" s="37"/>
      <c r="G381" s="34">
        <v>2.0</v>
      </c>
      <c r="H381" s="34" t="s">
        <v>56</v>
      </c>
      <c r="I381" s="34"/>
      <c r="J381" s="34"/>
      <c r="K381" s="34"/>
      <c r="L381" s="34"/>
      <c r="M381" s="34"/>
      <c r="N381" s="34"/>
      <c r="O381" s="34"/>
      <c r="P381" s="34"/>
      <c r="Q381" s="34"/>
      <c r="R381" s="34"/>
      <c r="S381" s="34"/>
      <c r="T381" s="34"/>
      <c r="U381" s="34"/>
      <c r="V381" s="34"/>
    </row>
    <row r="382">
      <c r="A382" s="37">
        <v>177.0</v>
      </c>
      <c r="B382" s="37">
        <v>1.0</v>
      </c>
      <c r="C382" s="37" t="s">
        <v>775</v>
      </c>
      <c r="D382" s="37" t="s">
        <v>776</v>
      </c>
      <c r="E382" s="37" t="s">
        <v>777</v>
      </c>
      <c r="F382" s="31"/>
      <c r="G382" s="34">
        <v>1.0</v>
      </c>
      <c r="H382" s="34">
        <v>222.0</v>
      </c>
      <c r="I382" s="34"/>
      <c r="J382" s="34"/>
      <c r="K382" s="34"/>
      <c r="L382" s="34"/>
      <c r="M382" s="34"/>
      <c r="N382" s="34"/>
      <c r="O382" s="34"/>
      <c r="P382" s="34"/>
      <c r="Q382" s="34"/>
      <c r="R382" s="34"/>
      <c r="S382" s="34"/>
      <c r="T382" s="34"/>
      <c r="U382" s="34"/>
      <c r="V382" s="34"/>
    </row>
    <row r="383">
      <c r="A383" s="37">
        <v>177.0</v>
      </c>
      <c r="B383" s="37">
        <v>2.0</v>
      </c>
      <c r="C383" s="31"/>
      <c r="D383" s="37" t="s">
        <v>778</v>
      </c>
      <c r="E383" s="37" t="s">
        <v>763</v>
      </c>
      <c r="F383" s="37"/>
      <c r="G383" s="34">
        <v>2.0</v>
      </c>
      <c r="H383" s="34" t="s">
        <v>56</v>
      </c>
      <c r="I383" s="34"/>
      <c r="J383" s="34"/>
      <c r="K383" s="34"/>
      <c r="L383" s="34"/>
      <c r="M383" s="34"/>
      <c r="N383" s="34"/>
      <c r="O383" s="34"/>
      <c r="P383" s="34"/>
      <c r="Q383" s="34"/>
      <c r="R383" s="34"/>
      <c r="S383" s="34"/>
      <c r="T383" s="34"/>
      <c r="U383" s="34"/>
      <c r="V383" s="34"/>
    </row>
    <row r="384">
      <c r="A384" s="37">
        <v>177.0</v>
      </c>
      <c r="B384" s="37">
        <v>3.0</v>
      </c>
      <c r="C384" s="31"/>
      <c r="D384" s="37" t="s">
        <v>779</v>
      </c>
      <c r="E384" s="28" t="s">
        <v>533</v>
      </c>
      <c r="F384" s="37"/>
      <c r="G384" s="34">
        <v>2.0</v>
      </c>
      <c r="H384" s="34" t="s">
        <v>56</v>
      </c>
      <c r="I384" s="34"/>
      <c r="J384" s="34"/>
      <c r="K384" s="34"/>
      <c r="L384" s="34"/>
      <c r="M384" s="34"/>
      <c r="N384" s="34"/>
      <c r="O384" s="34"/>
      <c r="P384" s="34"/>
      <c r="Q384" s="34"/>
      <c r="R384" s="34"/>
      <c r="S384" s="34"/>
      <c r="T384" s="34"/>
      <c r="U384" s="34"/>
      <c r="V384" s="34"/>
    </row>
    <row r="385">
      <c r="A385" s="37">
        <v>177.0</v>
      </c>
      <c r="B385" s="37">
        <v>4.0</v>
      </c>
      <c r="C385" s="31"/>
      <c r="D385" s="37" t="s">
        <v>780</v>
      </c>
      <c r="E385" s="28" t="s">
        <v>756</v>
      </c>
      <c r="F385" s="31"/>
      <c r="G385" s="34">
        <v>3.0</v>
      </c>
      <c r="H385" s="34" t="s">
        <v>56</v>
      </c>
      <c r="I385" s="34"/>
      <c r="J385" s="34"/>
      <c r="K385" s="34"/>
      <c r="L385" s="34"/>
      <c r="M385" s="34"/>
      <c r="N385" s="34"/>
      <c r="O385" s="34"/>
      <c r="P385" s="34"/>
      <c r="Q385" s="34"/>
      <c r="R385" s="34"/>
      <c r="S385" s="34"/>
      <c r="T385" s="34"/>
      <c r="U385" s="34"/>
      <c r="V385" s="34"/>
    </row>
    <row r="386">
      <c r="A386" s="37">
        <v>177.0</v>
      </c>
      <c r="B386" s="37">
        <v>5.0</v>
      </c>
      <c r="C386" s="31"/>
      <c r="D386" s="37" t="s">
        <v>781</v>
      </c>
      <c r="E386" s="37" t="s">
        <v>782</v>
      </c>
      <c r="F386" s="31"/>
      <c r="G386" s="34">
        <v>1.0</v>
      </c>
      <c r="H386" s="34">
        <v>223.0</v>
      </c>
      <c r="I386" s="34"/>
      <c r="J386" s="34"/>
      <c r="K386" s="34"/>
      <c r="L386" s="34"/>
      <c r="M386" s="34"/>
      <c r="N386" s="34"/>
      <c r="O386" s="34"/>
      <c r="P386" s="34"/>
      <c r="Q386" s="34"/>
      <c r="R386" s="34"/>
      <c r="S386" s="34"/>
      <c r="T386" s="34"/>
      <c r="U386" s="34"/>
      <c r="V386" s="34"/>
    </row>
    <row r="387">
      <c r="A387" s="37">
        <v>177.0</v>
      </c>
      <c r="B387" s="37">
        <v>6.0</v>
      </c>
      <c r="C387" s="31"/>
      <c r="D387" s="37" t="s">
        <v>783</v>
      </c>
      <c r="E387" s="28" t="s">
        <v>784</v>
      </c>
      <c r="F387" s="31"/>
      <c r="G387" s="34">
        <v>1.0</v>
      </c>
      <c r="H387" s="34">
        <v>224.0</v>
      </c>
      <c r="I387" s="34"/>
      <c r="J387" s="34"/>
      <c r="K387" s="34"/>
      <c r="L387" s="34"/>
      <c r="M387" s="34"/>
      <c r="N387" s="34"/>
      <c r="O387" s="34"/>
      <c r="P387" s="34"/>
      <c r="Q387" s="34"/>
      <c r="R387" s="34"/>
      <c r="S387" s="34"/>
      <c r="T387" s="34"/>
      <c r="U387" s="34"/>
      <c r="V387" s="34"/>
    </row>
    <row r="388">
      <c r="A388" s="37">
        <v>177.0</v>
      </c>
      <c r="B388" s="37">
        <v>7.0</v>
      </c>
      <c r="C388" s="31"/>
      <c r="D388" s="37" t="s">
        <v>785</v>
      </c>
      <c r="E388" s="37" t="s">
        <v>786</v>
      </c>
      <c r="F388" s="31"/>
      <c r="G388" s="34">
        <v>1.0</v>
      </c>
      <c r="H388" s="34">
        <v>225.0</v>
      </c>
      <c r="I388" s="34"/>
      <c r="J388" s="34"/>
      <c r="K388" s="34"/>
      <c r="L388" s="34"/>
      <c r="M388" s="34"/>
      <c r="N388" s="34"/>
      <c r="O388" s="34"/>
      <c r="P388" s="34"/>
      <c r="Q388" s="34"/>
      <c r="R388" s="34"/>
      <c r="S388" s="34"/>
      <c r="T388" s="34"/>
      <c r="U388" s="34"/>
      <c r="V388" s="34"/>
    </row>
    <row r="389">
      <c r="A389" s="37">
        <v>178.0</v>
      </c>
      <c r="B389" s="37">
        <v>1.0</v>
      </c>
      <c r="C389" s="37" t="s">
        <v>787</v>
      </c>
      <c r="D389" s="37" t="s">
        <v>788</v>
      </c>
      <c r="E389" s="37" t="s">
        <v>524</v>
      </c>
      <c r="F389" s="37"/>
      <c r="G389" s="34">
        <v>2.0</v>
      </c>
      <c r="H389" s="34" t="s">
        <v>56</v>
      </c>
      <c r="I389" s="34"/>
      <c r="J389" s="34"/>
      <c r="K389" s="34"/>
      <c r="L389" s="34"/>
      <c r="M389" s="34"/>
      <c r="N389" s="34"/>
      <c r="O389" s="34"/>
      <c r="P389" s="34"/>
      <c r="Q389" s="34"/>
      <c r="R389" s="34"/>
      <c r="S389" s="34"/>
      <c r="T389" s="34"/>
      <c r="U389" s="34"/>
      <c r="V389" s="34"/>
    </row>
    <row r="390">
      <c r="A390" s="37">
        <v>178.0</v>
      </c>
      <c r="B390" s="37">
        <v>2.0</v>
      </c>
      <c r="C390" s="31"/>
      <c r="D390" s="37" t="s">
        <v>789</v>
      </c>
      <c r="E390" s="37" t="s">
        <v>790</v>
      </c>
      <c r="F390" s="31"/>
      <c r="G390" s="34">
        <v>1.0</v>
      </c>
      <c r="H390" s="34">
        <v>226.0</v>
      </c>
      <c r="I390" s="34"/>
      <c r="J390" s="34"/>
      <c r="K390" s="34"/>
      <c r="L390" s="34"/>
      <c r="M390" s="34"/>
      <c r="N390" s="34"/>
      <c r="O390" s="34"/>
      <c r="P390" s="34"/>
      <c r="Q390" s="34"/>
      <c r="R390" s="34"/>
      <c r="S390" s="34"/>
      <c r="T390" s="34"/>
      <c r="U390" s="34"/>
      <c r="V390" s="34"/>
    </row>
    <row r="391">
      <c r="A391" s="37">
        <v>178.0</v>
      </c>
      <c r="B391" s="37">
        <v>3.0</v>
      </c>
      <c r="C391" s="31"/>
      <c r="D391" s="37" t="s">
        <v>791</v>
      </c>
      <c r="E391" s="37" t="s">
        <v>476</v>
      </c>
      <c r="F391" s="37"/>
      <c r="G391" s="34">
        <v>2.0</v>
      </c>
      <c r="H391" s="34" t="s">
        <v>56</v>
      </c>
      <c r="I391" s="34"/>
      <c r="J391" s="34"/>
      <c r="K391" s="34"/>
      <c r="L391" s="34"/>
      <c r="M391" s="34"/>
      <c r="N391" s="34"/>
      <c r="O391" s="34"/>
      <c r="P391" s="34"/>
      <c r="Q391" s="34"/>
      <c r="R391" s="34"/>
      <c r="S391" s="34"/>
      <c r="T391" s="34"/>
      <c r="U391" s="34"/>
      <c r="V391" s="34"/>
    </row>
    <row r="392">
      <c r="A392" s="37">
        <v>178.0</v>
      </c>
      <c r="B392" s="37">
        <v>4.0</v>
      </c>
      <c r="C392" s="31"/>
      <c r="D392" s="37" t="s">
        <v>792</v>
      </c>
      <c r="E392" s="37" t="s">
        <v>480</v>
      </c>
      <c r="F392" s="37"/>
      <c r="G392" s="34">
        <v>2.0</v>
      </c>
      <c r="H392" s="34" t="s">
        <v>56</v>
      </c>
      <c r="I392" s="34"/>
      <c r="J392" s="34"/>
      <c r="K392" s="34"/>
      <c r="L392" s="34"/>
      <c r="M392" s="34"/>
      <c r="N392" s="34"/>
      <c r="O392" s="34"/>
      <c r="P392" s="34"/>
      <c r="Q392" s="34"/>
      <c r="R392" s="34"/>
      <c r="S392" s="34"/>
      <c r="T392" s="34"/>
      <c r="U392" s="34"/>
      <c r="V392" s="34"/>
    </row>
    <row r="393">
      <c r="A393" s="37">
        <v>179.0</v>
      </c>
      <c r="B393" s="37">
        <v>1.0</v>
      </c>
      <c r="C393" s="37" t="s">
        <v>793</v>
      </c>
      <c r="D393" s="37" t="s">
        <v>794</v>
      </c>
      <c r="E393" s="37" t="s">
        <v>795</v>
      </c>
      <c r="F393" s="31"/>
      <c r="G393" s="34">
        <v>1.0</v>
      </c>
      <c r="H393" s="34">
        <v>227.0</v>
      </c>
      <c r="I393" s="34"/>
      <c r="J393" s="34"/>
      <c r="K393" s="34"/>
      <c r="L393" s="34"/>
      <c r="M393" s="34"/>
      <c r="N393" s="34"/>
      <c r="O393" s="34"/>
      <c r="P393" s="34"/>
      <c r="Q393" s="34"/>
      <c r="R393" s="34"/>
      <c r="S393" s="34"/>
      <c r="T393" s="34"/>
      <c r="U393" s="34"/>
      <c r="V393" s="34"/>
    </row>
    <row r="394">
      <c r="A394" s="37">
        <v>180.0</v>
      </c>
      <c r="B394" s="37">
        <v>1.0</v>
      </c>
      <c r="C394" s="37" t="s">
        <v>796</v>
      </c>
      <c r="D394" s="37" t="s">
        <v>797</v>
      </c>
      <c r="E394" s="28" t="s">
        <v>790</v>
      </c>
      <c r="F394" s="31"/>
      <c r="G394" s="34">
        <v>2.0</v>
      </c>
      <c r="H394" s="34" t="s">
        <v>56</v>
      </c>
      <c r="I394" s="34"/>
      <c r="J394" s="34"/>
      <c r="K394" s="34"/>
      <c r="L394" s="34"/>
      <c r="M394" s="34"/>
      <c r="N394" s="34"/>
      <c r="O394" s="34"/>
      <c r="P394" s="34"/>
      <c r="Q394" s="34"/>
      <c r="R394" s="34"/>
      <c r="S394" s="34"/>
      <c r="T394" s="34"/>
      <c r="U394" s="34"/>
      <c r="V394" s="34"/>
    </row>
    <row r="395">
      <c r="A395" s="37">
        <v>180.0</v>
      </c>
      <c r="B395" s="37">
        <v>2.0</v>
      </c>
      <c r="C395" s="31"/>
      <c r="D395" s="37" t="s">
        <v>798</v>
      </c>
      <c r="E395" s="37" t="s">
        <v>790</v>
      </c>
      <c r="F395" s="31"/>
      <c r="G395" s="34">
        <v>3.0</v>
      </c>
      <c r="H395" s="34" t="s">
        <v>56</v>
      </c>
      <c r="I395" s="34"/>
      <c r="J395" s="34"/>
      <c r="K395" s="34"/>
      <c r="L395" s="34"/>
      <c r="M395" s="34"/>
      <c r="N395" s="34"/>
      <c r="O395" s="34"/>
      <c r="P395" s="34"/>
      <c r="Q395" s="34"/>
      <c r="R395" s="34"/>
      <c r="S395" s="34"/>
      <c r="T395" s="34"/>
      <c r="U395" s="34"/>
      <c r="V395" s="34"/>
    </row>
    <row r="396">
      <c r="A396" s="37">
        <v>181.0</v>
      </c>
      <c r="B396" s="37">
        <v>1.0</v>
      </c>
      <c r="C396" s="37" t="s">
        <v>799</v>
      </c>
      <c r="D396" s="37" t="s">
        <v>788</v>
      </c>
      <c r="E396" s="37" t="s">
        <v>524</v>
      </c>
      <c r="F396" s="37"/>
      <c r="G396" s="34">
        <v>3.0</v>
      </c>
      <c r="H396" s="34" t="s">
        <v>56</v>
      </c>
      <c r="I396" s="34"/>
      <c r="J396" s="34"/>
      <c r="K396" s="34"/>
      <c r="L396" s="34"/>
      <c r="M396" s="34"/>
      <c r="N396" s="34"/>
      <c r="O396" s="34"/>
      <c r="P396" s="34"/>
      <c r="Q396" s="34"/>
      <c r="R396" s="34"/>
      <c r="S396" s="34"/>
      <c r="T396" s="34"/>
      <c r="U396" s="34"/>
      <c r="V396" s="34"/>
    </row>
    <row r="397">
      <c r="A397" s="37">
        <v>183.0</v>
      </c>
      <c r="B397" s="37">
        <v>1.0</v>
      </c>
      <c r="C397" s="37" t="s">
        <v>800</v>
      </c>
      <c r="D397" s="37" t="s">
        <v>801</v>
      </c>
      <c r="E397" s="37" t="s">
        <v>802</v>
      </c>
      <c r="F397" s="31"/>
      <c r="G397" s="34">
        <v>1.0</v>
      </c>
      <c r="H397" s="34">
        <v>228.0</v>
      </c>
      <c r="I397" s="34"/>
      <c r="J397" s="34"/>
      <c r="K397" s="34"/>
      <c r="L397" s="34"/>
      <c r="M397" s="34"/>
      <c r="N397" s="34"/>
      <c r="O397" s="34"/>
      <c r="P397" s="34"/>
      <c r="Q397" s="34"/>
      <c r="R397" s="34"/>
      <c r="S397" s="34"/>
      <c r="T397" s="34"/>
      <c r="U397" s="34"/>
      <c r="V397" s="34"/>
    </row>
    <row r="398">
      <c r="A398" s="37">
        <v>184.0</v>
      </c>
      <c r="B398" s="37">
        <v>1.0</v>
      </c>
      <c r="C398" s="37" t="s">
        <v>803</v>
      </c>
      <c r="D398" s="37" t="s">
        <v>804</v>
      </c>
      <c r="E398" s="37" t="s">
        <v>586</v>
      </c>
      <c r="F398" s="37"/>
      <c r="G398" s="34">
        <v>3.0</v>
      </c>
      <c r="H398" s="34" t="s">
        <v>56</v>
      </c>
      <c r="I398" s="34"/>
      <c r="J398" s="34"/>
      <c r="K398" s="34"/>
      <c r="L398" s="34"/>
      <c r="M398" s="34"/>
      <c r="N398" s="34"/>
      <c r="O398" s="34"/>
      <c r="P398" s="34"/>
      <c r="Q398" s="34"/>
      <c r="R398" s="34"/>
      <c r="S398" s="34"/>
      <c r="T398" s="34"/>
      <c r="U398" s="34"/>
      <c r="V398" s="34"/>
    </row>
    <row r="399">
      <c r="A399" s="37">
        <v>184.0</v>
      </c>
      <c r="B399" s="37">
        <v>2.0</v>
      </c>
      <c r="C399" s="31"/>
      <c r="D399" s="37" t="s">
        <v>805</v>
      </c>
      <c r="E399" s="37" t="s">
        <v>693</v>
      </c>
      <c r="F399" s="37"/>
      <c r="G399" s="34">
        <v>3.0</v>
      </c>
      <c r="H399" s="34" t="s">
        <v>56</v>
      </c>
      <c r="I399" s="34"/>
      <c r="J399" s="34"/>
      <c r="K399" s="34"/>
      <c r="L399" s="34"/>
      <c r="M399" s="34"/>
      <c r="N399" s="34"/>
      <c r="O399" s="34"/>
      <c r="P399" s="34"/>
      <c r="Q399" s="34"/>
      <c r="R399" s="34"/>
      <c r="S399" s="34"/>
      <c r="T399" s="34"/>
      <c r="U399" s="34"/>
      <c r="V399" s="34"/>
    </row>
    <row r="400">
      <c r="A400" s="37">
        <v>184.0</v>
      </c>
      <c r="B400" s="37">
        <v>3.0</v>
      </c>
      <c r="C400" s="31"/>
      <c r="D400" s="37" t="s">
        <v>806</v>
      </c>
      <c r="E400" s="37" t="s">
        <v>773</v>
      </c>
      <c r="F400" s="37"/>
      <c r="G400" s="34">
        <v>2.0</v>
      </c>
      <c r="H400" s="34" t="s">
        <v>56</v>
      </c>
      <c r="I400" s="34"/>
      <c r="J400" s="34"/>
      <c r="K400" s="34"/>
      <c r="L400" s="34"/>
      <c r="M400" s="34"/>
      <c r="N400" s="34"/>
      <c r="O400" s="34"/>
      <c r="P400" s="34"/>
      <c r="Q400" s="34"/>
      <c r="R400" s="34"/>
      <c r="S400" s="34"/>
      <c r="T400" s="34"/>
      <c r="U400" s="34"/>
      <c r="V400" s="34"/>
    </row>
    <row r="401">
      <c r="A401" s="37">
        <v>185.0</v>
      </c>
      <c r="B401" s="37">
        <v>1.0</v>
      </c>
      <c r="C401" s="37" t="s">
        <v>807</v>
      </c>
      <c r="D401" s="37" t="s">
        <v>808</v>
      </c>
      <c r="E401" s="37" t="s">
        <v>809</v>
      </c>
      <c r="F401" s="31"/>
      <c r="G401" s="34">
        <v>1.0</v>
      </c>
      <c r="H401" s="34">
        <v>229.0</v>
      </c>
      <c r="I401" s="34"/>
      <c r="J401" s="34"/>
      <c r="K401" s="34"/>
      <c r="L401" s="34"/>
      <c r="M401" s="34"/>
      <c r="N401" s="34"/>
      <c r="O401" s="34"/>
      <c r="P401" s="34"/>
      <c r="Q401" s="34"/>
      <c r="R401" s="34"/>
      <c r="S401" s="34"/>
      <c r="T401" s="34"/>
      <c r="U401" s="34"/>
      <c r="V401" s="34"/>
    </row>
    <row r="402">
      <c r="A402" s="37">
        <v>185.0</v>
      </c>
      <c r="B402" s="37">
        <v>2.0</v>
      </c>
      <c r="C402" s="31"/>
      <c r="D402" s="37" t="s">
        <v>752</v>
      </c>
      <c r="E402" s="37" t="s">
        <v>731</v>
      </c>
      <c r="F402" s="37"/>
      <c r="G402" s="34">
        <v>4.0</v>
      </c>
      <c r="H402" s="34" t="s">
        <v>56</v>
      </c>
      <c r="I402" s="34"/>
      <c r="J402" s="34"/>
      <c r="K402" s="34"/>
      <c r="L402" s="34"/>
      <c r="M402" s="34"/>
      <c r="N402" s="34"/>
      <c r="O402" s="34"/>
      <c r="P402" s="34"/>
      <c r="Q402" s="34"/>
      <c r="R402" s="34"/>
      <c r="S402" s="34"/>
      <c r="T402" s="34"/>
      <c r="U402" s="34"/>
      <c r="V402" s="34"/>
    </row>
    <row r="403">
      <c r="A403" s="37">
        <v>185.0</v>
      </c>
      <c r="B403" s="37">
        <v>3.0</v>
      </c>
      <c r="C403" s="31"/>
      <c r="D403" s="37" t="s">
        <v>810</v>
      </c>
      <c r="E403" s="28" t="s">
        <v>742</v>
      </c>
      <c r="F403" s="37"/>
      <c r="G403" s="34">
        <v>2.0</v>
      </c>
      <c r="H403" s="34" t="s">
        <v>56</v>
      </c>
      <c r="I403" s="34"/>
      <c r="J403" s="34"/>
      <c r="K403" s="34"/>
      <c r="L403" s="34"/>
      <c r="M403" s="34"/>
      <c r="N403" s="34"/>
      <c r="O403" s="34"/>
      <c r="P403" s="34"/>
      <c r="Q403" s="34"/>
      <c r="R403" s="34"/>
      <c r="S403" s="34"/>
      <c r="T403" s="34"/>
      <c r="U403" s="34"/>
      <c r="V403" s="34"/>
    </row>
    <row r="404">
      <c r="A404" s="37">
        <v>186.0</v>
      </c>
      <c r="B404" s="37">
        <v>1.0</v>
      </c>
      <c r="C404" s="37" t="s">
        <v>811</v>
      </c>
      <c r="D404" s="37" t="s">
        <v>812</v>
      </c>
      <c r="E404" s="37" t="s">
        <v>813</v>
      </c>
      <c r="F404" s="31"/>
      <c r="G404" s="34">
        <v>1.0</v>
      </c>
      <c r="H404" s="34">
        <v>230.0</v>
      </c>
      <c r="I404" s="34"/>
      <c r="J404" s="34"/>
      <c r="K404" s="34"/>
      <c r="L404" s="34"/>
      <c r="M404" s="34"/>
      <c r="N404" s="34"/>
      <c r="O404" s="34"/>
      <c r="P404" s="34"/>
      <c r="Q404" s="34"/>
      <c r="R404" s="34"/>
      <c r="S404" s="34"/>
      <c r="T404" s="34"/>
      <c r="U404" s="34"/>
      <c r="V404" s="34"/>
    </row>
    <row r="405">
      <c r="A405" s="37">
        <v>187.0</v>
      </c>
      <c r="B405" s="37">
        <v>1.0</v>
      </c>
      <c r="C405" s="37" t="s">
        <v>814</v>
      </c>
      <c r="D405" s="37" t="s">
        <v>734</v>
      </c>
      <c r="E405" s="37" t="s">
        <v>220</v>
      </c>
      <c r="F405" s="37"/>
      <c r="G405" s="34">
        <v>4.0</v>
      </c>
      <c r="H405" s="34" t="s">
        <v>56</v>
      </c>
      <c r="I405" s="34"/>
      <c r="J405" s="34"/>
      <c r="K405" s="34"/>
      <c r="L405" s="34"/>
      <c r="M405" s="34"/>
      <c r="N405" s="34"/>
      <c r="O405" s="34"/>
      <c r="P405" s="34"/>
      <c r="Q405" s="34"/>
      <c r="R405" s="34"/>
      <c r="S405" s="34"/>
      <c r="T405" s="34"/>
      <c r="U405" s="34"/>
      <c r="V405" s="34"/>
    </row>
    <row r="406">
      <c r="A406" s="37">
        <v>187.0</v>
      </c>
      <c r="B406" s="37">
        <v>2.0</v>
      </c>
      <c r="C406" s="31"/>
      <c r="D406" s="37" t="s">
        <v>815</v>
      </c>
      <c r="E406" s="37" t="s">
        <v>610</v>
      </c>
      <c r="F406" s="37"/>
      <c r="G406" s="34">
        <v>2.0</v>
      </c>
      <c r="H406" s="34" t="s">
        <v>56</v>
      </c>
      <c r="I406" s="34"/>
      <c r="J406" s="34"/>
      <c r="K406" s="34"/>
      <c r="L406" s="34"/>
      <c r="M406" s="34"/>
      <c r="N406" s="34"/>
      <c r="O406" s="34"/>
      <c r="P406" s="34"/>
      <c r="Q406" s="34"/>
      <c r="R406" s="34"/>
      <c r="S406" s="34"/>
      <c r="T406" s="34"/>
      <c r="U406" s="34"/>
      <c r="V406" s="34"/>
    </row>
    <row r="407">
      <c r="A407" s="37">
        <v>187.0</v>
      </c>
      <c r="B407" s="37">
        <v>3.0</v>
      </c>
      <c r="C407" s="31"/>
      <c r="D407" s="37" t="s">
        <v>177</v>
      </c>
      <c r="E407" s="37" t="s">
        <v>111</v>
      </c>
      <c r="F407" s="37"/>
      <c r="G407" s="34">
        <v>4.0</v>
      </c>
      <c r="H407" s="34" t="s">
        <v>56</v>
      </c>
      <c r="I407" s="34"/>
      <c r="J407" s="34"/>
      <c r="K407" s="34"/>
      <c r="L407" s="34"/>
      <c r="M407" s="34"/>
      <c r="N407" s="34"/>
      <c r="O407" s="34"/>
      <c r="P407" s="34"/>
      <c r="Q407" s="34"/>
      <c r="R407" s="34"/>
      <c r="S407" s="34"/>
      <c r="T407" s="34"/>
      <c r="U407" s="34"/>
      <c r="V407" s="34"/>
    </row>
    <row r="408">
      <c r="A408" s="37">
        <v>188.0</v>
      </c>
      <c r="B408" s="37">
        <v>1.0</v>
      </c>
      <c r="C408" s="37" t="s">
        <v>816</v>
      </c>
      <c r="D408" s="37" t="s">
        <v>817</v>
      </c>
      <c r="E408" s="37" t="s">
        <v>818</v>
      </c>
      <c r="F408" s="31"/>
      <c r="G408" s="34">
        <v>1.0</v>
      </c>
      <c r="H408" s="34">
        <v>231.0</v>
      </c>
      <c r="I408" s="34"/>
      <c r="J408" s="34"/>
      <c r="K408" s="34"/>
      <c r="L408" s="34"/>
      <c r="M408" s="34"/>
      <c r="N408" s="34"/>
      <c r="O408" s="34"/>
      <c r="P408" s="34"/>
      <c r="Q408" s="34"/>
      <c r="R408" s="34"/>
      <c r="S408" s="34"/>
      <c r="T408" s="34"/>
      <c r="U408" s="34"/>
      <c r="V408" s="34"/>
    </row>
    <row r="409">
      <c r="A409" s="37">
        <v>189.0</v>
      </c>
      <c r="B409" s="37">
        <v>1.0</v>
      </c>
      <c r="C409" s="37" t="s">
        <v>819</v>
      </c>
      <c r="D409" s="37" t="s">
        <v>734</v>
      </c>
      <c r="E409" s="37" t="s">
        <v>220</v>
      </c>
      <c r="F409" s="37"/>
      <c r="G409" s="34">
        <v>5.0</v>
      </c>
      <c r="H409" s="34" t="s">
        <v>56</v>
      </c>
      <c r="I409" s="34"/>
      <c r="J409" s="34"/>
      <c r="K409" s="34"/>
      <c r="L409" s="34"/>
      <c r="M409" s="34"/>
      <c r="N409" s="34"/>
      <c r="O409" s="34"/>
      <c r="P409" s="34"/>
      <c r="Q409" s="34"/>
      <c r="R409" s="34"/>
      <c r="S409" s="34"/>
      <c r="T409" s="34"/>
      <c r="U409" s="34"/>
      <c r="V409" s="34"/>
    </row>
    <row r="410">
      <c r="A410" s="37">
        <v>189.0</v>
      </c>
      <c r="B410" s="37">
        <v>2.0</v>
      </c>
      <c r="C410" s="31"/>
      <c r="D410" s="37" t="s">
        <v>820</v>
      </c>
      <c r="E410" s="37" t="s">
        <v>821</v>
      </c>
      <c r="F410" s="31"/>
      <c r="G410" s="34">
        <v>1.0</v>
      </c>
      <c r="H410" s="34">
        <v>232.0</v>
      </c>
      <c r="I410" s="34"/>
      <c r="J410" s="34"/>
      <c r="K410" s="34"/>
      <c r="L410" s="34"/>
      <c r="M410" s="34"/>
      <c r="N410" s="34"/>
      <c r="O410" s="34"/>
      <c r="P410" s="34"/>
      <c r="Q410" s="34"/>
      <c r="R410" s="34"/>
      <c r="S410" s="34"/>
      <c r="T410" s="34"/>
      <c r="U410" s="34"/>
      <c r="V410" s="34"/>
    </row>
    <row r="411">
      <c r="A411" s="37">
        <v>189.0</v>
      </c>
      <c r="B411" s="37">
        <v>3.0</v>
      </c>
      <c r="C411" s="31"/>
      <c r="D411" s="37" t="s">
        <v>735</v>
      </c>
      <c r="E411" s="37" t="s">
        <v>736</v>
      </c>
      <c r="F411" s="37"/>
      <c r="G411" s="34">
        <v>2.0</v>
      </c>
      <c r="H411" s="34" t="s">
        <v>56</v>
      </c>
      <c r="I411" s="34"/>
      <c r="J411" s="34"/>
      <c r="K411" s="34"/>
      <c r="L411" s="34"/>
      <c r="M411" s="34"/>
      <c r="N411" s="34"/>
      <c r="O411" s="34"/>
      <c r="P411" s="34"/>
      <c r="Q411" s="34"/>
      <c r="R411" s="34"/>
      <c r="S411" s="34"/>
      <c r="T411" s="34"/>
      <c r="U411" s="34"/>
      <c r="V411" s="34"/>
    </row>
    <row r="412">
      <c r="A412" s="37">
        <v>190.0</v>
      </c>
      <c r="B412" s="37">
        <v>1.0</v>
      </c>
      <c r="C412" s="37" t="s">
        <v>822</v>
      </c>
      <c r="D412" s="37" t="s">
        <v>823</v>
      </c>
      <c r="E412" s="37" t="s">
        <v>717</v>
      </c>
      <c r="F412" s="37"/>
      <c r="G412" s="34">
        <v>5.0</v>
      </c>
      <c r="H412" s="34" t="s">
        <v>56</v>
      </c>
      <c r="I412" s="34"/>
      <c r="J412" s="34"/>
      <c r="K412" s="34"/>
      <c r="L412" s="34"/>
      <c r="M412" s="34"/>
      <c r="N412" s="34"/>
      <c r="O412" s="34"/>
      <c r="P412" s="34"/>
      <c r="Q412" s="34"/>
      <c r="R412" s="34"/>
      <c r="S412" s="34"/>
      <c r="T412" s="34"/>
      <c r="U412" s="34"/>
      <c r="V412" s="34"/>
    </row>
    <row r="413">
      <c r="A413" s="37">
        <v>191.0</v>
      </c>
      <c r="B413" s="37">
        <v>1.0</v>
      </c>
      <c r="C413" s="37" t="s">
        <v>824</v>
      </c>
      <c r="D413" s="37" t="s">
        <v>825</v>
      </c>
      <c r="E413" s="37" t="s">
        <v>101</v>
      </c>
      <c r="F413" s="37"/>
      <c r="G413" s="34">
        <v>6.0</v>
      </c>
      <c r="H413" s="34" t="s">
        <v>56</v>
      </c>
      <c r="I413" s="34"/>
      <c r="J413" s="34"/>
      <c r="K413" s="34"/>
      <c r="L413" s="34"/>
      <c r="M413" s="34"/>
      <c r="N413" s="34"/>
      <c r="O413" s="34"/>
      <c r="P413" s="34"/>
      <c r="Q413" s="34"/>
      <c r="R413" s="34"/>
      <c r="S413" s="34"/>
      <c r="T413" s="34"/>
      <c r="U413" s="34"/>
      <c r="V413" s="34"/>
    </row>
    <row r="414">
      <c r="A414" s="37">
        <v>192.0</v>
      </c>
      <c r="B414" s="37">
        <v>1.0</v>
      </c>
      <c r="C414" s="37" t="s">
        <v>61</v>
      </c>
      <c r="D414" s="37" t="s">
        <v>61</v>
      </c>
      <c r="E414" s="37" t="s">
        <v>101</v>
      </c>
      <c r="F414" s="31"/>
      <c r="G414" s="34">
        <v>7.0</v>
      </c>
      <c r="H414" s="34" t="s">
        <v>56</v>
      </c>
      <c r="I414" s="34"/>
      <c r="J414" s="34"/>
      <c r="K414" s="34"/>
      <c r="L414" s="34"/>
      <c r="M414" s="34"/>
      <c r="N414" s="34"/>
      <c r="O414" s="34"/>
      <c r="P414" s="34"/>
      <c r="Q414" s="34"/>
      <c r="R414" s="34"/>
      <c r="S414" s="34"/>
      <c r="T414" s="34"/>
      <c r="U414" s="34"/>
      <c r="V414" s="34"/>
    </row>
    <row r="415">
      <c r="A415" s="37">
        <v>193.0</v>
      </c>
      <c r="B415" s="37">
        <v>1.0</v>
      </c>
      <c r="C415" s="37" t="s">
        <v>826</v>
      </c>
      <c r="D415" s="37" t="s">
        <v>67</v>
      </c>
      <c r="E415" s="37" t="s">
        <v>59</v>
      </c>
      <c r="F415" s="37"/>
      <c r="G415" s="34">
        <v>4.0</v>
      </c>
      <c r="H415" s="34" t="s">
        <v>56</v>
      </c>
      <c r="I415" s="34"/>
      <c r="J415" s="34"/>
      <c r="K415" s="34"/>
      <c r="L415" s="34"/>
      <c r="M415" s="34"/>
      <c r="N415" s="34"/>
      <c r="O415" s="34"/>
      <c r="P415" s="34"/>
      <c r="Q415" s="34"/>
      <c r="R415" s="34"/>
      <c r="S415" s="34"/>
      <c r="T415" s="34"/>
      <c r="U415" s="34"/>
      <c r="V415" s="34"/>
    </row>
    <row r="416">
      <c r="A416" s="37">
        <v>193.0</v>
      </c>
      <c r="B416" s="37">
        <v>2.0</v>
      </c>
      <c r="C416" s="31"/>
      <c r="D416" s="37" t="s">
        <v>827</v>
      </c>
      <c r="E416" s="37" t="s">
        <v>717</v>
      </c>
      <c r="F416" s="37"/>
      <c r="G416" s="34">
        <v>6.0</v>
      </c>
      <c r="H416" s="34" t="s">
        <v>56</v>
      </c>
      <c r="I416" s="34"/>
      <c r="J416" s="34"/>
      <c r="K416" s="34"/>
      <c r="L416" s="34"/>
      <c r="M416" s="34"/>
      <c r="N416" s="34"/>
      <c r="O416" s="34"/>
      <c r="P416" s="34"/>
      <c r="Q416" s="34"/>
      <c r="R416" s="34"/>
      <c r="S416" s="34"/>
      <c r="T416" s="34"/>
      <c r="U416" s="34"/>
      <c r="V416" s="34"/>
    </row>
    <row r="417">
      <c r="A417" s="37">
        <v>193.0</v>
      </c>
      <c r="B417" s="37">
        <v>3.0</v>
      </c>
      <c r="C417" s="31"/>
      <c r="D417" s="37" t="s">
        <v>828</v>
      </c>
      <c r="E417" s="28" t="s">
        <v>829</v>
      </c>
      <c r="F417" s="37"/>
      <c r="G417" s="34">
        <v>1.0</v>
      </c>
      <c r="H417" s="34">
        <v>233.0</v>
      </c>
      <c r="I417" s="34"/>
      <c r="J417" s="34"/>
      <c r="K417" s="34"/>
      <c r="L417" s="34"/>
      <c r="M417" s="34"/>
      <c r="N417" s="34"/>
      <c r="O417" s="34"/>
      <c r="P417" s="34"/>
      <c r="Q417" s="34"/>
      <c r="R417" s="34"/>
      <c r="S417" s="34"/>
      <c r="T417" s="34"/>
      <c r="U417" s="34"/>
      <c r="V417" s="34"/>
    </row>
    <row r="418">
      <c r="A418" s="37">
        <v>193.0</v>
      </c>
      <c r="B418" s="37">
        <v>4.0</v>
      </c>
      <c r="C418" s="31"/>
      <c r="D418" s="37" t="s">
        <v>830</v>
      </c>
      <c r="E418" s="37" t="s">
        <v>831</v>
      </c>
      <c r="F418" s="31"/>
      <c r="G418" s="34">
        <v>1.0</v>
      </c>
      <c r="H418" s="34">
        <v>234.0</v>
      </c>
      <c r="I418" s="34"/>
      <c r="J418" s="34"/>
      <c r="K418" s="34"/>
      <c r="L418" s="34"/>
      <c r="M418" s="34"/>
      <c r="N418" s="34"/>
      <c r="O418" s="34"/>
      <c r="P418" s="34"/>
      <c r="Q418" s="34"/>
      <c r="R418" s="34"/>
      <c r="S418" s="34"/>
      <c r="T418" s="34"/>
      <c r="U418" s="34"/>
      <c r="V418" s="34"/>
    </row>
    <row r="419">
      <c r="A419" s="37">
        <v>194.0</v>
      </c>
      <c r="B419" s="37">
        <v>1.0</v>
      </c>
      <c r="C419" s="37" t="s">
        <v>832</v>
      </c>
      <c r="D419" s="37" t="s">
        <v>603</v>
      </c>
      <c r="E419" s="37" t="s">
        <v>366</v>
      </c>
      <c r="F419" s="37"/>
      <c r="G419" s="34">
        <v>3.0</v>
      </c>
      <c r="H419" s="34" t="s">
        <v>56</v>
      </c>
      <c r="I419" s="34"/>
      <c r="J419" s="34"/>
      <c r="K419" s="34"/>
      <c r="L419" s="34"/>
      <c r="M419" s="34"/>
      <c r="N419" s="34"/>
      <c r="O419" s="34"/>
      <c r="P419" s="34"/>
      <c r="Q419" s="34"/>
      <c r="R419" s="34"/>
      <c r="S419" s="34"/>
      <c r="T419" s="34"/>
      <c r="U419" s="34"/>
      <c r="V419" s="34"/>
    </row>
    <row r="420">
      <c r="A420" s="37">
        <v>194.0</v>
      </c>
      <c r="B420" s="37">
        <v>2.0</v>
      </c>
      <c r="C420" s="31"/>
      <c r="D420" s="37" t="s">
        <v>779</v>
      </c>
      <c r="E420" s="28" t="s">
        <v>533</v>
      </c>
      <c r="F420" s="37"/>
      <c r="G420" s="34">
        <v>3.0</v>
      </c>
      <c r="H420" s="34" t="s">
        <v>56</v>
      </c>
      <c r="I420" s="34"/>
      <c r="J420" s="34"/>
      <c r="K420" s="34"/>
      <c r="L420" s="34"/>
      <c r="M420" s="34"/>
      <c r="N420" s="34"/>
      <c r="O420" s="34"/>
      <c r="P420" s="34"/>
      <c r="Q420" s="34"/>
      <c r="R420" s="34"/>
      <c r="S420" s="34"/>
      <c r="T420" s="34"/>
      <c r="U420" s="34"/>
      <c r="V420" s="34"/>
    </row>
    <row r="421">
      <c r="A421" s="37">
        <v>194.0</v>
      </c>
      <c r="B421" s="37">
        <v>3.0</v>
      </c>
      <c r="C421" s="31"/>
      <c r="D421" s="37" t="s">
        <v>833</v>
      </c>
      <c r="E421" s="28" t="s">
        <v>756</v>
      </c>
      <c r="F421" s="37"/>
      <c r="G421" s="34">
        <v>4.0</v>
      </c>
      <c r="H421" s="34" t="s">
        <v>56</v>
      </c>
      <c r="I421" s="34"/>
      <c r="J421" s="34"/>
      <c r="K421" s="34"/>
      <c r="L421" s="34"/>
      <c r="M421" s="34"/>
      <c r="N421" s="34"/>
      <c r="O421" s="34"/>
      <c r="P421" s="34"/>
      <c r="Q421" s="34"/>
      <c r="R421" s="34"/>
      <c r="S421" s="34"/>
      <c r="T421" s="34"/>
      <c r="U421" s="34"/>
      <c r="V421" s="34"/>
    </row>
    <row r="422">
      <c r="A422" s="37">
        <v>194.0</v>
      </c>
      <c r="B422" s="37">
        <v>4.0</v>
      </c>
      <c r="C422" s="31"/>
      <c r="D422" s="37" t="s">
        <v>834</v>
      </c>
      <c r="E422" s="37" t="s">
        <v>835</v>
      </c>
      <c r="F422" s="31"/>
      <c r="G422" s="34">
        <v>1.0</v>
      </c>
      <c r="H422" s="34">
        <v>235.0</v>
      </c>
      <c r="I422" s="34"/>
      <c r="J422" s="34"/>
      <c r="K422" s="34"/>
      <c r="L422" s="34"/>
      <c r="M422" s="34"/>
      <c r="N422" s="34"/>
      <c r="O422" s="34"/>
      <c r="P422" s="34"/>
      <c r="Q422" s="34"/>
      <c r="R422" s="34"/>
      <c r="S422" s="34"/>
      <c r="T422" s="34"/>
      <c r="U422" s="34"/>
      <c r="V422" s="34"/>
    </row>
    <row r="423">
      <c r="A423" s="37">
        <v>194.0</v>
      </c>
      <c r="B423" s="37">
        <v>5.0</v>
      </c>
      <c r="C423" s="31"/>
      <c r="D423" s="37" t="s">
        <v>836</v>
      </c>
      <c r="E423" s="37" t="s">
        <v>837</v>
      </c>
      <c r="F423" s="31"/>
      <c r="G423" s="34">
        <v>1.0</v>
      </c>
      <c r="H423" s="34">
        <v>236.0</v>
      </c>
      <c r="I423" s="34"/>
      <c r="J423" s="34"/>
      <c r="K423" s="34"/>
      <c r="L423" s="34"/>
      <c r="M423" s="34"/>
      <c r="N423" s="34"/>
      <c r="O423" s="34"/>
      <c r="P423" s="34"/>
      <c r="Q423" s="34"/>
      <c r="R423" s="34"/>
      <c r="S423" s="34"/>
      <c r="T423" s="34"/>
      <c r="U423" s="34"/>
      <c r="V423" s="34"/>
    </row>
    <row r="424">
      <c r="A424" s="37">
        <v>194.0</v>
      </c>
      <c r="B424" s="37">
        <v>6.0</v>
      </c>
      <c r="C424" s="31"/>
      <c r="D424" s="37" t="s">
        <v>838</v>
      </c>
      <c r="E424" s="37" t="s">
        <v>839</v>
      </c>
      <c r="F424" s="31"/>
      <c r="G424" s="34">
        <v>1.0</v>
      </c>
      <c r="H424" s="34">
        <v>237.0</v>
      </c>
      <c r="I424" s="34"/>
      <c r="J424" s="34"/>
      <c r="K424" s="34"/>
      <c r="L424" s="34"/>
      <c r="M424" s="34"/>
      <c r="N424" s="34"/>
      <c r="O424" s="34"/>
      <c r="P424" s="34"/>
      <c r="Q424" s="34"/>
      <c r="R424" s="34"/>
      <c r="S424" s="34"/>
      <c r="T424" s="34"/>
      <c r="U424" s="34"/>
      <c r="V424" s="34"/>
    </row>
    <row r="425">
      <c r="A425" s="37">
        <v>195.0</v>
      </c>
      <c r="B425" s="37">
        <v>1.0</v>
      </c>
      <c r="C425" s="37" t="s">
        <v>840</v>
      </c>
      <c r="D425" s="37" t="s">
        <v>841</v>
      </c>
      <c r="E425" s="37" t="s">
        <v>842</v>
      </c>
      <c r="F425" s="31"/>
      <c r="G425" s="34">
        <v>1.0</v>
      </c>
      <c r="H425" s="34">
        <v>238.0</v>
      </c>
      <c r="I425" s="34"/>
      <c r="J425" s="34"/>
      <c r="K425" s="34"/>
      <c r="L425" s="34"/>
      <c r="M425" s="34"/>
      <c r="N425" s="34"/>
      <c r="O425" s="34"/>
      <c r="P425" s="34"/>
      <c r="Q425" s="34"/>
      <c r="R425" s="34"/>
      <c r="S425" s="34"/>
      <c r="T425" s="34"/>
      <c r="U425" s="34"/>
      <c r="V425" s="34"/>
    </row>
    <row r="426">
      <c r="A426" s="37">
        <v>196.0</v>
      </c>
      <c r="B426" s="37">
        <v>1.0</v>
      </c>
      <c r="C426" s="37" t="s">
        <v>843</v>
      </c>
      <c r="D426" s="37" t="s">
        <v>844</v>
      </c>
      <c r="E426" s="37" t="s">
        <v>73</v>
      </c>
      <c r="F426" s="37"/>
      <c r="G426" s="34">
        <v>2.0</v>
      </c>
      <c r="H426" s="34" t="s">
        <v>56</v>
      </c>
      <c r="I426" s="34"/>
      <c r="J426" s="34"/>
      <c r="K426" s="34"/>
      <c r="L426" s="34"/>
      <c r="M426" s="34"/>
      <c r="N426" s="34"/>
      <c r="O426" s="34"/>
      <c r="P426" s="34"/>
      <c r="Q426" s="34"/>
      <c r="R426" s="34"/>
      <c r="S426" s="34"/>
      <c r="T426" s="34"/>
      <c r="U426" s="34"/>
      <c r="V426" s="34"/>
    </row>
    <row r="427">
      <c r="A427" s="37">
        <v>196.0</v>
      </c>
      <c r="B427" s="37">
        <v>2.0</v>
      </c>
      <c r="C427" s="31"/>
      <c r="D427" s="37" t="s">
        <v>578</v>
      </c>
      <c r="E427" s="28" t="s">
        <v>103</v>
      </c>
      <c r="F427" s="37"/>
      <c r="G427" s="34">
        <v>6.0</v>
      </c>
      <c r="H427" s="34" t="s">
        <v>56</v>
      </c>
      <c r="I427" s="34"/>
      <c r="J427" s="34"/>
      <c r="K427" s="34"/>
      <c r="L427" s="34"/>
      <c r="M427" s="34"/>
      <c r="N427" s="34"/>
      <c r="O427" s="34"/>
      <c r="P427" s="34"/>
      <c r="Q427" s="34"/>
      <c r="R427" s="34"/>
      <c r="S427" s="34"/>
      <c r="T427" s="34"/>
      <c r="U427" s="34"/>
      <c r="V427" s="34"/>
    </row>
    <row r="428">
      <c r="A428" s="37">
        <v>196.0</v>
      </c>
      <c r="B428" s="37">
        <v>3.0</v>
      </c>
      <c r="C428" s="31"/>
      <c r="D428" s="37" t="s">
        <v>845</v>
      </c>
      <c r="E428" s="28" t="s">
        <v>103</v>
      </c>
      <c r="F428" s="31"/>
      <c r="G428" s="34">
        <v>7.0</v>
      </c>
      <c r="H428" s="34" t="s">
        <v>56</v>
      </c>
      <c r="I428" s="34"/>
      <c r="J428" s="34"/>
      <c r="K428" s="34"/>
      <c r="L428" s="34"/>
      <c r="M428" s="34"/>
      <c r="N428" s="34"/>
      <c r="O428" s="34"/>
      <c r="P428" s="34"/>
      <c r="Q428" s="34"/>
      <c r="R428" s="34"/>
      <c r="S428" s="34"/>
      <c r="T428" s="34"/>
      <c r="U428" s="34"/>
      <c r="V428" s="34"/>
    </row>
    <row r="429">
      <c r="A429" s="37">
        <v>197.0</v>
      </c>
      <c r="B429" s="37">
        <v>1.0</v>
      </c>
      <c r="C429" s="37" t="s">
        <v>846</v>
      </c>
      <c r="D429" s="37" t="s">
        <v>844</v>
      </c>
      <c r="E429" s="37" t="s">
        <v>73</v>
      </c>
      <c r="F429" s="37"/>
      <c r="G429" s="34">
        <v>3.0</v>
      </c>
      <c r="H429" s="34" t="s">
        <v>56</v>
      </c>
      <c r="I429" s="34"/>
      <c r="J429" s="34"/>
      <c r="K429" s="34"/>
      <c r="L429" s="34"/>
      <c r="M429" s="34"/>
      <c r="N429" s="34"/>
      <c r="O429" s="34"/>
      <c r="P429" s="34"/>
      <c r="Q429" s="34"/>
      <c r="R429" s="34"/>
      <c r="S429" s="34"/>
      <c r="T429" s="34"/>
      <c r="U429" s="34"/>
      <c r="V429" s="34"/>
    </row>
    <row r="430">
      <c r="A430" s="37">
        <v>198.0</v>
      </c>
      <c r="B430" s="37">
        <v>1.0</v>
      </c>
      <c r="C430" s="37" t="s">
        <v>847</v>
      </c>
      <c r="D430" s="37" t="s">
        <v>848</v>
      </c>
      <c r="E430" s="28" t="s">
        <v>784</v>
      </c>
      <c r="F430" s="37"/>
      <c r="G430" s="34">
        <v>2.0</v>
      </c>
      <c r="H430" s="34" t="s">
        <v>56</v>
      </c>
      <c r="I430" s="34"/>
      <c r="J430" s="34"/>
      <c r="K430" s="34"/>
      <c r="L430" s="34"/>
      <c r="M430" s="34"/>
      <c r="N430" s="34"/>
      <c r="O430" s="34"/>
      <c r="P430" s="34"/>
      <c r="Q430" s="34"/>
      <c r="R430" s="34"/>
      <c r="S430" s="34"/>
      <c r="T430" s="34"/>
      <c r="U430" s="34"/>
      <c r="V430" s="34"/>
    </row>
    <row r="431">
      <c r="A431" s="37">
        <v>198.0</v>
      </c>
      <c r="B431" s="37">
        <v>2.0</v>
      </c>
      <c r="C431" s="31"/>
      <c r="D431" s="37" t="s">
        <v>849</v>
      </c>
      <c r="E431" s="37" t="s">
        <v>586</v>
      </c>
      <c r="F431" s="37"/>
      <c r="G431" s="34">
        <v>4.0</v>
      </c>
      <c r="H431" s="34" t="s">
        <v>56</v>
      </c>
      <c r="I431" s="34"/>
      <c r="J431" s="34"/>
      <c r="K431" s="34"/>
      <c r="L431" s="34"/>
      <c r="M431" s="34"/>
      <c r="N431" s="34"/>
      <c r="O431" s="34"/>
      <c r="P431" s="34"/>
      <c r="Q431" s="34"/>
      <c r="R431" s="34"/>
      <c r="S431" s="34"/>
      <c r="T431" s="34"/>
      <c r="U431" s="34"/>
      <c r="V431" s="34"/>
    </row>
    <row r="432">
      <c r="A432" s="37">
        <v>198.0</v>
      </c>
      <c r="B432" s="37">
        <v>3.0</v>
      </c>
      <c r="C432" s="31"/>
      <c r="D432" s="37" t="s">
        <v>850</v>
      </c>
      <c r="E432" s="28" t="s">
        <v>528</v>
      </c>
      <c r="F432" s="37"/>
      <c r="G432" s="34">
        <v>3.0</v>
      </c>
      <c r="H432" s="34" t="s">
        <v>56</v>
      </c>
      <c r="I432" s="34"/>
      <c r="J432" s="34"/>
      <c r="K432" s="34"/>
      <c r="L432" s="34"/>
      <c r="M432" s="34"/>
      <c r="N432" s="34"/>
      <c r="O432" s="34"/>
      <c r="P432" s="34"/>
      <c r="Q432" s="34"/>
      <c r="R432" s="34"/>
      <c r="S432" s="34"/>
      <c r="T432" s="34"/>
      <c r="U432" s="34"/>
      <c r="V432" s="34"/>
    </row>
    <row r="433">
      <c r="A433" s="37">
        <v>198.0</v>
      </c>
      <c r="B433" s="37">
        <v>4.0</v>
      </c>
      <c r="C433" s="31"/>
      <c r="D433" s="37" t="s">
        <v>851</v>
      </c>
      <c r="E433" s="37" t="s">
        <v>593</v>
      </c>
      <c r="F433" s="37"/>
      <c r="G433" s="34">
        <v>2.0</v>
      </c>
      <c r="H433" s="34" t="s">
        <v>56</v>
      </c>
      <c r="I433" s="34"/>
      <c r="J433" s="34"/>
      <c r="K433" s="34"/>
      <c r="L433" s="34"/>
      <c r="M433" s="34"/>
      <c r="N433" s="34"/>
      <c r="O433" s="34"/>
      <c r="P433" s="34"/>
      <c r="Q433" s="34"/>
      <c r="R433" s="34"/>
      <c r="S433" s="34"/>
      <c r="T433" s="34"/>
      <c r="U433" s="34"/>
      <c r="V433" s="34"/>
    </row>
    <row r="434">
      <c r="A434" s="37">
        <v>198.0</v>
      </c>
      <c r="B434" s="37">
        <v>5.0</v>
      </c>
      <c r="C434" s="31"/>
      <c r="D434" s="37" t="s">
        <v>506</v>
      </c>
      <c r="E434" s="28" t="s">
        <v>507</v>
      </c>
      <c r="F434" s="37"/>
      <c r="G434" s="34">
        <v>2.0</v>
      </c>
      <c r="H434" s="34" t="s">
        <v>56</v>
      </c>
      <c r="I434" s="34"/>
      <c r="J434" s="34"/>
      <c r="K434" s="34"/>
      <c r="L434" s="34"/>
      <c r="M434" s="34"/>
      <c r="N434" s="34"/>
      <c r="O434" s="34"/>
      <c r="P434" s="34"/>
      <c r="Q434" s="34"/>
      <c r="R434" s="34"/>
      <c r="S434" s="34"/>
      <c r="T434" s="34"/>
      <c r="U434" s="34"/>
      <c r="V434" s="34"/>
    </row>
    <row r="435">
      <c r="A435" s="37">
        <v>198.0</v>
      </c>
      <c r="B435" s="37">
        <v>6.0</v>
      </c>
      <c r="C435" s="31"/>
      <c r="D435" s="37" t="s">
        <v>852</v>
      </c>
      <c r="E435" s="37" t="s">
        <v>638</v>
      </c>
      <c r="F435" s="37"/>
      <c r="G435" s="34">
        <v>2.0</v>
      </c>
      <c r="H435" s="34" t="s">
        <v>56</v>
      </c>
      <c r="I435" s="34"/>
      <c r="J435" s="34"/>
      <c r="K435" s="34"/>
      <c r="L435" s="34"/>
      <c r="M435" s="34"/>
      <c r="N435" s="34"/>
      <c r="O435" s="34"/>
      <c r="P435" s="34"/>
      <c r="Q435" s="34"/>
      <c r="R435" s="34"/>
      <c r="S435" s="34"/>
      <c r="T435" s="34"/>
      <c r="U435" s="34"/>
      <c r="V435" s="34"/>
    </row>
    <row r="436">
      <c r="A436" s="37">
        <v>199.0</v>
      </c>
      <c r="B436" s="37">
        <v>1.0</v>
      </c>
      <c r="C436" s="37" t="s">
        <v>853</v>
      </c>
      <c r="D436" s="37" t="s">
        <v>854</v>
      </c>
      <c r="E436" s="37" t="s">
        <v>855</v>
      </c>
      <c r="F436" s="31"/>
      <c r="G436" s="34">
        <v>1.0</v>
      </c>
      <c r="H436" s="34">
        <v>239.0</v>
      </c>
      <c r="I436" s="34"/>
      <c r="J436" s="34"/>
      <c r="K436" s="34"/>
      <c r="L436" s="34"/>
      <c r="M436" s="34"/>
      <c r="N436" s="34"/>
      <c r="O436" s="34"/>
      <c r="P436" s="34"/>
      <c r="Q436" s="34"/>
      <c r="R436" s="34"/>
      <c r="S436" s="34"/>
      <c r="T436" s="34"/>
      <c r="U436" s="34"/>
      <c r="V436" s="34"/>
    </row>
    <row r="437">
      <c r="A437" s="37">
        <v>199.0</v>
      </c>
      <c r="B437" s="37">
        <v>2.0</v>
      </c>
      <c r="C437" s="31"/>
      <c r="D437" s="37" t="s">
        <v>856</v>
      </c>
      <c r="E437" s="28" t="s">
        <v>857</v>
      </c>
      <c r="F437" s="31"/>
      <c r="G437" s="34">
        <v>1.0</v>
      </c>
      <c r="H437" s="34">
        <v>240.0</v>
      </c>
      <c r="I437" s="34"/>
      <c r="J437" s="34"/>
      <c r="K437" s="34"/>
      <c r="L437" s="34"/>
      <c r="M437" s="34"/>
      <c r="N437" s="34"/>
      <c r="O437" s="34"/>
      <c r="P437" s="34"/>
      <c r="Q437" s="34"/>
      <c r="R437" s="34"/>
      <c r="S437" s="34"/>
      <c r="T437" s="34"/>
      <c r="U437" s="34"/>
      <c r="V437" s="34"/>
    </row>
    <row r="438">
      <c r="A438" s="37">
        <v>199.0</v>
      </c>
      <c r="B438" s="37">
        <v>3.0</v>
      </c>
      <c r="C438" s="31"/>
      <c r="D438" s="37" t="s">
        <v>858</v>
      </c>
      <c r="E438" s="37" t="s">
        <v>859</v>
      </c>
      <c r="F438" s="31"/>
      <c r="G438" s="34">
        <v>1.0</v>
      </c>
      <c r="H438" s="34">
        <v>241.0</v>
      </c>
      <c r="I438" s="34"/>
      <c r="J438" s="34"/>
      <c r="K438" s="34"/>
      <c r="L438" s="34"/>
      <c r="M438" s="34"/>
      <c r="N438" s="34"/>
      <c r="O438" s="34"/>
      <c r="P438" s="34"/>
      <c r="Q438" s="34"/>
      <c r="R438" s="34"/>
      <c r="S438" s="34"/>
      <c r="T438" s="34"/>
      <c r="U438" s="34"/>
      <c r="V438" s="34"/>
    </row>
    <row r="439">
      <c r="A439" s="37">
        <v>200.0</v>
      </c>
      <c r="B439" s="37">
        <v>1.0</v>
      </c>
      <c r="C439" s="37" t="s">
        <v>860</v>
      </c>
      <c r="D439" s="37" t="s">
        <v>861</v>
      </c>
      <c r="E439" s="37" t="s">
        <v>89</v>
      </c>
      <c r="F439" s="37"/>
      <c r="G439" s="34">
        <v>2.0</v>
      </c>
      <c r="H439" s="34" t="s">
        <v>56</v>
      </c>
      <c r="I439" s="34"/>
      <c r="J439" s="34"/>
      <c r="K439" s="34"/>
      <c r="L439" s="34"/>
      <c r="M439" s="34"/>
      <c r="N439" s="34"/>
      <c r="O439" s="34"/>
      <c r="P439" s="34"/>
      <c r="Q439" s="34"/>
      <c r="R439" s="34"/>
      <c r="S439" s="34"/>
      <c r="T439" s="34"/>
      <c r="U439" s="34"/>
      <c r="V439" s="34"/>
    </row>
    <row r="440">
      <c r="A440" s="37">
        <v>200.0</v>
      </c>
      <c r="B440" s="37">
        <v>2.0</v>
      </c>
      <c r="C440" s="31"/>
      <c r="D440" s="37" t="s">
        <v>862</v>
      </c>
      <c r="E440" s="37" t="s">
        <v>863</v>
      </c>
      <c r="F440" s="31"/>
      <c r="G440" s="34">
        <v>1.0</v>
      </c>
      <c r="H440" s="34">
        <v>242.0</v>
      </c>
      <c r="I440" s="34"/>
      <c r="J440" s="34"/>
      <c r="K440" s="34"/>
      <c r="L440" s="34"/>
      <c r="M440" s="34"/>
      <c r="N440" s="34"/>
      <c r="O440" s="34"/>
      <c r="P440" s="34"/>
      <c r="Q440" s="34"/>
      <c r="R440" s="34"/>
      <c r="S440" s="34"/>
      <c r="T440" s="34"/>
      <c r="U440" s="34"/>
      <c r="V440" s="34"/>
    </row>
    <row r="441">
      <c r="A441" s="37">
        <v>200.0</v>
      </c>
      <c r="B441" s="37">
        <v>3.0</v>
      </c>
      <c r="C441" s="31"/>
      <c r="D441" s="37" t="s">
        <v>864</v>
      </c>
      <c r="E441" s="28" t="s">
        <v>87</v>
      </c>
      <c r="F441" s="31"/>
      <c r="G441" s="34">
        <v>2.0</v>
      </c>
      <c r="H441" s="34" t="s">
        <v>56</v>
      </c>
      <c r="I441" s="34"/>
      <c r="J441" s="34"/>
      <c r="K441" s="34"/>
      <c r="L441" s="34"/>
      <c r="M441" s="34"/>
      <c r="N441" s="34"/>
      <c r="O441" s="34"/>
      <c r="P441" s="34"/>
      <c r="Q441" s="34"/>
      <c r="R441" s="34"/>
      <c r="S441" s="34"/>
      <c r="T441" s="34"/>
      <c r="U441" s="34"/>
      <c r="V441" s="34"/>
    </row>
    <row r="442">
      <c r="A442" s="37">
        <v>200.0</v>
      </c>
      <c r="B442" s="37">
        <v>4.0</v>
      </c>
      <c r="C442" s="31"/>
      <c r="D442" s="37" t="s">
        <v>865</v>
      </c>
      <c r="E442" s="37" t="s">
        <v>866</v>
      </c>
      <c r="F442" s="31"/>
      <c r="G442" s="34">
        <v>1.0</v>
      </c>
      <c r="H442" s="34">
        <v>243.0</v>
      </c>
      <c r="I442" s="34"/>
      <c r="J442" s="34"/>
      <c r="K442" s="34"/>
      <c r="L442" s="34"/>
      <c r="M442" s="34"/>
      <c r="N442" s="34"/>
      <c r="O442" s="34"/>
      <c r="P442" s="34"/>
      <c r="Q442" s="34"/>
      <c r="R442" s="34"/>
      <c r="S442" s="34"/>
      <c r="T442" s="34"/>
      <c r="U442" s="34"/>
      <c r="V442" s="34"/>
    </row>
    <row r="443">
      <c r="A443" s="37">
        <v>200.0</v>
      </c>
      <c r="B443" s="37">
        <v>5.0</v>
      </c>
      <c r="C443" s="31"/>
      <c r="D443" s="37" t="s">
        <v>867</v>
      </c>
      <c r="E443" s="37" t="s">
        <v>868</v>
      </c>
      <c r="F443" s="31"/>
      <c r="G443" s="34">
        <v>1.0</v>
      </c>
      <c r="H443" s="34">
        <v>244.0</v>
      </c>
      <c r="I443" s="34"/>
      <c r="J443" s="34"/>
      <c r="K443" s="34"/>
      <c r="L443" s="34"/>
      <c r="M443" s="34"/>
      <c r="N443" s="34"/>
      <c r="O443" s="34"/>
      <c r="P443" s="34"/>
      <c r="Q443" s="34"/>
      <c r="R443" s="34"/>
      <c r="S443" s="34"/>
      <c r="T443" s="34"/>
      <c r="U443" s="34"/>
      <c r="V443" s="34"/>
    </row>
    <row r="444">
      <c r="A444" s="37">
        <v>200.0</v>
      </c>
      <c r="B444" s="37">
        <v>6.0</v>
      </c>
      <c r="C444" s="31"/>
      <c r="D444" s="37" t="s">
        <v>869</v>
      </c>
      <c r="E444" s="37" t="s">
        <v>870</v>
      </c>
      <c r="F444" s="31"/>
      <c r="G444" s="34">
        <v>1.0</v>
      </c>
      <c r="H444" s="34">
        <v>245.0</v>
      </c>
      <c r="I444" s="34"/>
      <c r="J444" s="34"/>
      <c r="K444" s="34"/>
      <c r="L444" s="34"/>
      <c r="M444" s="34"/>
      <c r="N444" s="34"/>
      <c r="O444" s="34"/>
      <c r="P444" s="34"/>
      <c r="Q444" s="34"/>
      <c r="R444" s="34"/>
      <c r="S444" s="34"/>
      <c r="T444" s="34"/>
      <c r="U444" s="34"/>
      <c r="V444" s="34"/>
    </row>
    <row r="445">
      <c r="A445" s="37">
        <v>201.0</v>
      </c>
      <c r="B445" s="37">
        <v>1.0</v>
      </c>
      <c r="C445" s="37" t="s">
        <v>871</v>
      </c>
      <c r="D445" s="37" t="s">
        <v>872</v>
      </c>
      <c r="E445" s="37" t="s">
        <v>873</v>
      </c>
      <c r="F445" s="31"/>
      <c r="G445" s="34">
        <v>1.0</v>
      </c>
      <c r="H445" s="34">
        <v>246.0</v>
      </c>
      <c r="I445" s="34"/>
      <c r="J445" s="34"/>
      <c r="K445" s="34"/>
      <c r="L445" s="34"/>
      <c r="M445" s="34"/>
      <c r="N445" s="34"/>
      <c r="O445" s="34"/>
      <c r="P445" s="34"/>
      <c r="Q445" s="34"/>
      <c r="R445" s="34"/>
      <c r="S445" s="34"/>
      <c r="T445" s="34"/>
      <c r="U445" s="34"/>
      <c r="V445" s="34"/>
    </row>
    <row r="446">
      <c r="A446" s="37">
        <v>201.0</v>
      </c>
      <c r="B446" s="37">
        <v>2.0</v>
      </c>
      <c r="C446" s="31"/>
      <c r="D446" s="37" t="s">
        <v>874</v>
      </c>
      <c r="E446" s="37" t="s">
        <v>875</v>
      </c>
      <c r="F446" s="31"/>
      <c r="G446" s="34">
        <v>1.0</v>
      </c>
      <c r="H446" s="34">
        <v>247.0</v>
      </c>
      <c r="I446" s="34"/>
      <c r="J446" s="34"/>
      <c r="K446" s="34"/>
      <c r="L446" s="34"/>
      <c r="M446" s="34"/>
      <c r="N446" s="34"/>
      <c r="O446" s="34"/>
      <c r="P446" s="34"/>
      <c r="Q446" s="34"/>
      <c r="R446" s="34"/>
      <c r="S446" s="34"/>
      <c r="T446" s="34"/>
      <c r="U446" s="34"/>
      <c r="V446" s="34"/>
    </row>
    <row r="447">
      <c r="A447" s="37">
        <v>202.0</v>
      </c>
      <c r="B447" s="37">
        <v>1.0</v>
      </c>
      <c r="C447" s="37" t="s">
        <v>876</v>
      </c>
      <c r="D447" s="37" t="s">
        <v>877</v>
      </c>
      <c r="E447" s="37" t="s">
        <v>878</v>
      </c>
      <c r="F447" s="31"/>
      <c r="G447" s="34">
        <v>1.0</v>
      </c>
      <c r="H447" s="34">
        <v>248.0</v>
      </c>
      <c r="I447" s="34"/>
      <c r="J447" s="34"/>
      <c r="K447" s="34"/>
      <c r="L447" s="34"/>
      <c r="M447" s="34"/>
      <c r="N447" s="34"/>
      <c r="O447" s="34"/>
      <c r="P447" s="34"/>
      <c r="Q447" s="34"/>
      <c r="R447" s="34"/>
      <c r="S447" s="34"/>
      <c r="T447" s="34"/>
      <c r="U447" s="34"/>
      <c r="V447" s="34"/>
    </row>
    <row r="448">
      <c r="A448" s="37">
        <v>202.0</v>
      </c>
      <c r="B448" s="37">
        <v>2.0</v>
      </c>
      <c r="C448" s="31"/>
      <c r="D448" s="37" t="s">
        <v>879</v>
      </c>
      <c r="E448" s="28" t="s">
        <v>187</v>
      </c>
      <c r="F448" s="37"/>
      <c r="G448" s="34">
        <v>2.0</v>
      </c>
      <c r="H448" s="34" t="s">
        <v>56</v>
      </c>
      <c r="I448" s="34"/>
      <c r="J448" s="34"/>
      <c r="K448" s="34"/>
      <c r="L448" s="34"/>
      <c r="M448" s="34"/>
      <c r="N448" s="34"/>
      <c r="O448" s="34"/>
      <c r="P448" s="34"/>
      <c r="Q448" s="34"/>
      <c r="R448" s="34"/>
      <c r="S448" s="34"/>
      <c r="T448" s="34"/>
      <c r="U448" s="34"/>
      <c r="V448" s="34"/>
    </row>
    <row r="449">
      <c r="A449" s="37">
        <v>202.0</v>
      </c>
      <c r="B449" s="37">
        <v>3.0</v>
      </c>
      <c r="C449" s="31"/>
      <c r="D449" s="37" t="s">
        <v>880</v>
      </c>
      <c r="E449" s="37" t="s">
        <v>881</v>
      </c>
      <c r="F449" s="31"/>
      <c r="G449" s="34">
        <v>1.0</v>
      </c>
      <c r="H449" s="34">
        <v>249.0</v>
      </c>
      <c r="I449" s="34"/>
      <c r="J449" s="34"/>
      <c r="K449" s="34"/>
      <c r="L449" s="34"/>
      <c r="M449" s="34"/>
      <c r="N449" s="34"/>
      <c r="O449" s="34"/>
      <c r="P449" s="34"/>
      <c r="Q449" s="34"/>
      <c r="R449" s="34"/>
      <c r="S449" s="34"/>
      <c r="T449" s="34"/>
      <c r="U449" s="34"/>
      <c r="V449" s="34"/>
    </row>
    <row r="450">
      <c r="A450" s="37">
        <v>203.0</v>
      </c>
      <c r="B450" s="37">
        <v>1.0</v>
      </c>
      <c r="C450" s="37" t="s">
        <v>882</v>
      </c>
      <c r="D450" s="37" t="s">
        <v>883</v>
      </c>
      <c r="E450" s="37" t="s">
        <v>884</v>
      </c>
      <c r="F450" s="31"/>
      <c r="G450" s="34">
        <v>1.0</v>
      </c>
      <c r="H450" s="34">
        <v>250.0</v>
      </c>
      <c r="I450" s="34"/>
      <c r="J450" s="34"/>
      <c r="K450" s="34"/>
      <c r="L450" s="34"/>
      <c r="M450" s="34"/>
      <c r="N450" s="34"/>
      <c r="O450" s="34"/>
      <c r="P450" s="34"/>
      <c r="Q450" s="34"/>
      <c r="R450" s="34"/>
      <c r="S450" s="34"/>
      <c r="T450" s="34"/>
      <c r="U450" s="34"/>
      <c r="V450" s="34"/>
    </row>
    <row r="451">
      <c r="A451" s="37">
        <v>203.0</v>
      </c>
      <c r="B451" s="37">
        <v>2.0</v>
      </c>
      <c r="C451" s="31"/>
      <c r="D451" s="37" t="s">
        <v>885</v>
      </c>
      <c r="E451" s="37" t="s">
        <v>878</v>
      </c>
      <c r="F451" s="37"/>
      <c r="G451" s="34">
        <v>2.0</v>
      </c>
      <c r="H451" s="34" t="s">
        <v>56</v>
      </c>
      <c r="I451" s="34"/>
      <c r="J451" s="34"/>
      <c r="K451" s="34"/>
      <c r="L451" s="34"/>
      <c r="M451" s="34"/>
      <c r="N451" s="34"/>
      <c r="O451" s="34"/>
      <c r="P451" s="34"/>
      <c r="Q451" s="34"/>
      <c r="R451" s="34"/>
      <c r="S451" s="34"/>
      <c r="T451" s="34"/>
      <c r="U451" s="34"/>
      <c r="V451" s="34"/>
    </row>
    <row r="452">
      <c r="A452" s="37">
        <v>204.0</v>
      </c>
      <c r="B452" s="37">
        <v>1.0</v>
      </c>
      <c r="C452" s="37" t="s">
        <v>886</v>
      </c>
      <c r="D452" s="37" t="s">
        <v>887</v>
      </c>
      <c r="E452" s="37" t="s">
        <v>878</v>
      </c>
      <c r="F452" s="37"/>
      <c r="G452" s="34">
        <v>3.0</v>
      </c>
      <c r="H452" s="34" t="s">
        <v>56</v>
      </c>
      <c r="I452" s="34"/>
      <c r="J452" s="34"/>
      <c r="K452" s="34"/>
      <c r="L452" s="34"/>
      <c r="M452" s="34"/>
      <c r="N452" s="34"/>
      <c r="O452" s="34"/>
      <c r="P452" s="34"/>
      <c r="Q452" s="34"/>
      <c r="R452" s="34"/>
      <c r="S452" s="34"/>
      <c r="T452" s="34"/>
      <c r="U452" s="34"/>
      <c r="V452" s="34"/>
    </row>
    <row r="453">
      <c r="A453" s="37">
        <v>204.0</v>
      </c>
      <c r="B453" s="37">
        <v>2.0</v>
      </c>
      <c r="C453" s="31"/>
      <c r="D453" s="37" t="s">
        <v>888</v>
      </c>
      <c r="E453" s="28" t="s">
        <v>187</v>
      </c>
      <c r="F453" s="37"/>
      <c r="G453" s="34">
        <v>3.0</v>
      </c>
      <c r="H453" s="34" t="s">
        <v>56</v>
      </c>
      <c r="I453" s="34"/>
      <c r="J453" s="34"/>
      <c r="K453" s="34"/>
      <c r="L453" s="34"/>
      <c r="M453" s="34"/>
      <c r="N453" s="34"/>
      <c r="O453" s="34"/>
      <c r="P453" s="34"/>
      <c r="Q453" s="34"/>
      <c r="R453" s="34"/>
      <c r="S453" s="34"/>
      <c r="T453" s="34"/>
      <c r="U453" s="34"/>
      <c r="V453" s="34"/>
    </row>
    <row r="454">
      <c r="A454" s="37">
        <v>205.0</v>
      </c>
      <c r="B454" s="37">
        <v>1.0</v>
      </c>
      <c r="C454" s="37" t="s">
        <v>889</v>
      </c>
      <c r="D454" s="37" t="s">
        <v>890</v>
      </c>
      <c r="E454" s="37" t="s">
        <v>891</v>
      </c>
      <c r="F454" s="31"/>
      <c r="G454" s="34">
        <v>1.0</v>
      </c>
      <c r="H454" s="34">
        <v>251.0</v>
      </c>
      <c r="I454" s="34"/>
      <c r="J454" s="34"/>
      <c r="K454" s="34"/>
      <c r="L454" s="34"/>
      <c r="M454" s="34"/>
      <c r="N454" s="34"/>
      <c r="O454" s="34"/>
      <c r="P454" s="34"/>
      <c r="Q454" s="34"/>
      <c r="R454" s="34"/>
      <c r="S454" s="34"/>
      <c r="T454" s="34"/>
      <c r="U454" s="34"/>
      <c r="V454" s="34"/>
    </row>
    <row r="455">
      <c r="A455" s="37">
        <v>205.0</v>
      </c>
      <c r="B455" s="37">
        <v>2.0</v>
      </c>
      <c r="C455" s="31"/>
      <c r="D455" s="37" t="s">
        <v>892</v>
      </c>
      <c r="E455" s="37" t="s">
        <v>893</v>
      </c>
      <c r="F455" s="31"/>
      <c r="G455" s="34">
        <v>1.0</v>
      </c>
      <c r="H455" s="34">
        <v>252.0</v>
      </c>
      <c r="I455" s="34"/>
      <c r="J455" s="34"/>
      <c r="K455" s="34"/>
      <c r="L455" s="34"/>
      <c r="M455" s="34"/>
      <c r="N455" s="34"/>
      <c r="O455" s="34"/>
      <c r="P455" s="34"/>
      <c r="Q455" s="34"/>
      <c r="R455" s="34"/>
      <c r="S455" s="34"/>
      <c r="T455" s="34"/>
      <c r="U455" s="34"/>
      <c r="V455" s="34"/>
    </row>
    <row r="456">
      <c r="A456" s="37">
        <v>206.0</v>
      </c>
      <c r="B456" s="37">
        <v>1.0</v>
      </c>
      <c r="C456" s="37" t="s">
        <v>894</v>
      </c>
      <c r="D456" s="37" t="s">
        <v>895</v>
      </c>
      <c r="E456" s="28" t="s">
        <v>53</v>
      </c>
      <c r="F456" s="37"/>
      <c r="G456" s="34">
        <v>3.0</v>
      </c>
      <c r="H456" s="34" t="s">
        <v>56</v>
      </c>
      <c r="I456" s="34"/>
      <c r="J456" s="34"/>
      <c r="K456" s="34"/>
      <c r="L456" s="34"/>
      <c r="M456" s="34"/>
      <c r="N456" s="34"/>
      <c r="O456" s="34"/>
      <c r="P456" s="34"/>
      <c r="Q456" s="34"/>
      <c r="R456" s="34"/>
      <c r="S456" s="34"/>
      <c r="T456" s="34"/>
      <c r="U456" s="34"/>
      <c r="V456" s="34"/>
    </row>
    <row r="457">
      <c r="A457" s="37">
        <v>207.0</v>
      </c>
      <c r="B457" s="37">
        <v>1.0</v>
      </c>
      <c r="C457" s="37" t="s">
        <v>896</v>
      </c>
      <c r="D457" s="37" t="s">
        <v>895</v>
      </c>
      <c r="E457" s="28" t="s">
        <v>53</v>
      </c>
      <c r="F457" s="37"/>
      <c r="G457" s="34">
        <v>4.0</v>
      </c>
      <c r="H457" s="34" t="s">
        <v>56</v>
      </c>
      <c r="I457" s="34"/>
      <c r="J457" s="34"/>
      <c r="K457" s="34"/>
      <c r="L457" s="34"/>
      <c r="M457" s="34"/>
      <c r="N457" s="34"/>
      <c r="O457" s="34"/>
      <c r="P457" s="34"/>
      <c r="Q457" s="34"/>
      <c r="R457" s="34"/>
      <c r="S457" s="34"/>
      <c r="T457" s="34"/>
      <c r="U457" s="34"/>
      <c r="V457" s="34"/>
    </row>
    <row r="458">
      <c r="A458" s="37">
        <v>208.0</v>
      </c>
      <c r="B458" s="37">
        <v>1.0</v>
      </c>
      <c r="C458" s="37" t="s">
        <v>897</v>
      </c>
      <c r="D458" s="37" t="s">
        <v>898</v>
      </c>
      <c r="E458" s="28" t="s">
        <v>53</v>
      </c>
      <c r="F458" s="31"/>
      <c r="G458" s="34">
        <v>5.0</v>
      </c>
      <c r="H458" s="34" t="s">
        <v>56</v>
      </c>
      <c r="I458" s="34"/>
      <c r="J458" s="34"/>
      <c r="K458" s="34"/>
      <c r="L458" s="34"/>
      <c r="M458" s="34"/>
      <c r="N458" s="34"/>
      <c r="O458" s="34"/>
      <c r="P458" s="34"/>
      <c r="Q458" s="34"/>
      <c r="R458" s="34"/>
      <c r="S458" s="34"/>
      <c r="T458" s="34"/>
      <c r="U458" s="34"/>
      <c r="V458" s="34"/>
    </row>
    <row r="459">
      <c r="A459" s="37">
        <v>209.0</v>
      </c>
      <c r="B459" s="37">
        <v>1.0</v>
      </c>
      <c r="C459" s="37" t="s">
        <v>61</v>
      </c>
      <c r="D459" s="37" t="s">
        <v>61</v>
      </c>
      <c r="E459" s="28" t="s">
        <v>53</v>
      </c>
      <c r="F459" s="31"/>
      <c r="G459" s="34">
        <v>6.0</v>
      </c>
      <c r="H459" s="34" t="s">
        <v>56</v>
      </c>
      <c r="I459" s="34"/>
      <c r="J459" s="34"/>
      <c r="K459" s="34"/>
      <c r="L459" s="34"/>
      <c r="M459" s="34"/>
      <c r="N459" s="34"/>
      <c r="O459" s="34"/>
      <c r="P459" s="34"/>
      <c r="Q459" s="34"/>
      <c r="R459" s="34"/>
      <c r="S459" s="34"/>
      <c r="T459" s="34"/>
      <c r="U459" s="34"/>
      <c r="V459" s="34"/>
    </row>
    <row r="460">
      <c r="A460" s="37">
        <v>210.0</v>
      </c>
      <c r="B460" s="37">
        <v>1.0</v>
      </c>
      <c r="C460" s="37" t="s">
        <v>899</v>
      </c>
      <c r="D460" s="37" t="s">
        <v>900</v>
      </c>
      <c r="E460" s="37" t="s">
        <v>901</v>
      </c>
      <c r="F460" s="31"/>
      <c r="G460" s="34">
        <v>1.0</v>
      </c>
      <c r="H460" s="34">
        <v>253.0</v>
      </c>
      <c r="I460" s="34"/>
      <c r="J460" s="34"/>
      <c r="K460" s="34"/>
      <c r="L460" s="34"/>
      <c r="M460" s="34"/>
      <c r="N460" s="34"/>
      <c r="O460" s="34"/>
      <c r="P460" s="34"/>
      <c r="Q460" s="34"/>
      <c r="R460" s="34"/>
      <c r="S460" s="34"/>
      <c r="T460" s="34"/>
      <c r="U460" s="34"/>
      <c r="V460" s="34"/>
    </row>
    <row r="461">
      <c r="A461" s="37">
        <v>211.0</v>
      </c>
      <c r="B461" s="37">
        <v>1.0</v>
      </c>
      <c r="C461" s="37" t="s">
        <v>902</v>
      </c>
      <c r="D461" s="28" t="s">
        <v>902</v>
      </c>
      <c r="E461" s="28" t="s">
        <v>903</v>
      </c>
      <c r="F461" s="37"/>
      <c r="G461" s="34">
        <v>1.0</v>
      </c>
      <c r="H461" s="34">
        <v>254.0</v>
      </c>
      <c r="I461" s="34"/>
      <c r="J461" s="34"/>
      <c r="K461" s="34"/>
      <c r="L461" s="34"/>
      <c r="M461" s="34"/>
      <c r="N461" s="34"/>
      <c r="O461" s="34"/>
      <c r="P461" s="34"/>
      <c r="Q461" s="34"/>
      <c r="R461" s="34"/>
      <c r="S461" s="34"/>
      <c r="T461" s="34"/>
      <c r="U461" s="34"/>
      <c r="V461" s="34"/>
    </row>
    <row r="462">
      <c r="A462" s="37">
        <v>212.0</v>
      </c>
      <c r="B462" s="37">
        <v>1.0</v>
      </c>
      <c r="C462" s="37" t="s">
        <v>54</v>
      </c>
      <c r="D462" s="37" t="s">
        <v>55</v>
      </c>
      <c r="E462" s="28" t="s">
        <v>53</v>
      </c>
      <c r="F462" s="37"/>
      <c r="G462" s="34">
        <v>7.0</v>
      </c>
      <c r="H462" s="34" t="s">
        <v>56</v>
      </c>
      <c r="I462" s="34"/>
      <c r="J462" s="34"/>
      <c r="K462" s="34"/>
      <c r="L462" s="34"/>
      <c r="M462" s="34"/>
      <c r="N462" s="34"/>
      <c r="O462" s="34"/>
      <c r="P462" s="34"/>
      <c r="Q462" s="34"/>
      <c r="R462" s="34"/>
      <c r="S462" s="34"/>
      <c r="T462" s="34"/>
      <c r="U462" s="34"/>
      <c r="V462" s="34"/>
    </row>
    <row r="463">
      <c r="A463" s="37">
        <v>213.0</v>
      </c>
      <c r="B463" s="37">
        <v>1.0</v>
      </c>
      <c r="C463" s="37" t="s">
        <v>904</v>
      </c>
      <c r="D463" s="37" t="s">
        <v>905</v>
      </c>
      <c r="E463" s="37" t="s">
        <v>906</v>
      </c>
      <c r="F463" s="31"/>
      <c r="G463" s="34">
        <v>1.0</v>
      </c>
      <c r="H463" s="34">
        <v>255.0</v>
      </c>
      <c r="I463" s="34"/>
      <c r="J463" s="34"/>
      <c r="K463" s="34"/>
      <c r="L463" s="34"/>
      <c r="M463" s="34"/>
      <c r="N463" s="34"/>
      <c r="O463" s="34"/>
      <c r="P463" s="34"/>
      <c r="Q463" s="34"/>
      <c r="R463" s="34"/>
      <c r="S463" s="34"/>
      <c r="T463" s="34"/>
      <c r="U463" s="34"/>
      <c r="V463" s="34"/>
    </row>
    <row r="464">
      <c r="A464" s="37">
        <v>213.0</v>
      </c>
      <c r="B464" s="37">
        <v>2.0</v>
      </c>
      <c r="C464" s="31"/>
      <c r="D464" s="37" t="s">
        <v>55</v>
      </c>
      <c r="E464" s="28" t="s">
        <v>53</v>
      </c>
      <c r="F464" s="37"/>
      <c r="G464" s="34">
        <v>8.0</v>
      </c>
      <c r="H464" s="34" t="s">
        <v>56</v>
      </c>
      <c r="I464" s="34"/>
      <c r="J464" s="34"/>
      <c r="K464" s="34"/>
      <c r="L464" s="34"/>
      <c r="M464" s="34"/>
      <c r="N464" s="34"/>
      <c r="O464" s="34"/>
      <c r="P464" s="34"/>
      <c r="Q464" s="34"/>
      <c r="R464" s="34"/>
      <c r="S464" s="34"/>
      <c r="T464" s="34"/>
      <c r="U464" s="34"/>
      <c r="V464" s="34"/>
    </row>
    <row r="465">
      <c r="A465" s="37">
        <v>214.0</v>
      </c>
      <c r="B465" s="37">
        <v>1.0</v>
      </c>
      <c r="C465" s="37" t="s">
        <v>54</v>
      </c>
      <c r="D465" s="37" t="s">
        <v>55</v>
      </c>
      <c r="E465" s="28" t="s">
        <v>53</v>
      </c>
      <c r="F465" s="37"/>
      <c r="G465" s="34">
        <v>9.0</v>
      </c>
      <c r="H465" s="34" t="s">
        <v>56</v>
      </c>
      <c r="I465" s="34"/>
      <c r="J465" s="34"/>
      <c r="K465" s="34"/>
      <c r="L465" s="34"/>
      <c r="M465" s="34"/>
      <c r="N465" s="34"/>
      <c r="O465" s="34"/>
      <c r="P465" s="34"/>
      <c r="Q465" s="34"/>
      <c r="R465" s="34"/>
      <c r="S465" s="34"/>
      <c r="T465" s="34"/>
      <c r="U465" s="34"/>
      <c r="V465" s="34"/>
    </row>
    <row r="466">
      <c r="A466" s="37">
        <v>215.0</v>
      </c>
      <c r="B466" s="37">
        <v>1.0</v>
      </c>
      <c r="C466" s="37" t="s">
        <v>907</v>
      </c>
      <c r="D466" s="37" t="s">
        <v>908</v>
      </c>
      <c r="E466" s="37" t="s">
        <v>909</v>
      </c>
      <c r="F466" s="31"/>
      <c r="G466" s="34">
        <v>1.0</v>
      </c>
      <c r="H466" s="34">
        <v>256.0</v>
      </c>
      <c r="I466" s="34"/>
      <c r="J466" s="34"/>
      <c r="K466" s="34"/>
      <c r="L466" s="34"/>
      <c r="M466" s="34"/>
      <c r="N466" s="34"/>
      <c r="O466" s="34"/>
      <c r="P466" s="34"/>
      <c r="Q466" s="34"/>
      <c r="R466" s="34"/>
      <c r="S466" s="34"/>
      <c r="T466" s="34"/>
      <c r="U466" s="34"/>
      <c r="V466" s="34"/>
    </row>
    <row r="467">
      <c r="A467" s="37">
        <v>216.0</v>
      </c>
      <c r="B467" s="37">
        <v>1.0</v>
      </c>
      <c r="C467" s="37" t="s">
        <v>910</v>
      </c>
      <c r="D467" s="37" t="s">
        <v>911</v>
      </c>
      <c r="E467" s="37" t="s">
        <v>912</v>
      </c>
      <c r="F467" s="31"/>
      <c r="G467" s="34">
        <v>1.0</v>
      </c>
      <c r="H467" s="34">
        <v>257.0</v>
      </c>
      <c r="I467" s="34"/>
      <c r="J467" s="34"/>
      <c r="K467" s="34"/>
      <c r="L467" s="34"/>
      <c r="M467" s="34"/>
      <c r="N467" s="34"/>
      <c r="O467" s="34"/>
      <c r="P467" s="34"/>
      <c r="Q467" s="34"/>
      <c r="R467" s="34"/>
      <c r="S467" s="34"/>
      <c r="T467" s="34"/>
      <c r="U467" s="34"/>
      <c r="V467" s="34"/>
    </row>
    <row r="468">
      <c r="A468" s="37">
        <v>217.0</v>
      </c>
      <c r="B468" s="37">
        <v>1.0</v>
      </c>
      <c r="C468" s="37" t="s">
        <v>913</v>
      </c>
      <c r="D468" s="37" t="s">
        <v>67</v>
      </c>
      <c r="E468" s="37" t="s">
        <v>59</v>
      </c>
      <c r="F468" s="37"/>
      <c r="G468" s="34">
        <v>5.0</v>
      </c>
      <c r="H468" s="34" t="s">
        <v>56</v>
      </c>
      <c r="I468" s="34"/>
      <c r="J468" s="34"/>
      <c r="K468" s="34"/>
      <c r="L468" s="34"/>
      <c r="M468" s="34"/>
      <c r="N468" s="34"/>
      <c r="O468" s="34"/>
      <c r="P468" s="34"/>
      <c r="Q468" s="34"/>
      <c r="R468" s="34"/>
      <c r="S468" s="34"/>
      <c r="T468" s="34"/>
      <c r="U468" s="34"/>
      <c r="V468" s="34"/>
    </row>
    <row r="469">
      <c r="A469" s="37">
        <v>218.0</v>
      </c>
      <c r="B469" s="37">
        <v>1.0</v>
      </c>
      <c r="C469" s="37" t="s">
        <v>61</v>
      </c>
      <c r="D469" s="37" t="s">
        <v>61</v>
      </c>
      <c r="E469" s="37" t="s">
        <v>59</v>
      </c>
      <c r="F469" s="31"/>
      <c r="G469" s="34">
        <v>6.0</v>
      </c>
      <c r="H469" s="34" t="s">
        <v>56</v>
      </c>
      <c r="I469" s="34"/>
      <c r="J469" s="34"/>
      <c r="K469" s="34"/>
      <c r="L469" s="34"/>
      <c r="M469" s="34"/>
      <c r="N469" s="34"/>
      <c r="O469" s="34"/>
      <c r="P469" s="34"/>
      <c r="Q469" s="34"/>
      <c r="R469" s="34"/>
      <c r="S469" s="34"/>
      <c r="T469" s="34"/>
      <c r="U469" s="34"/>
      <c r="V469" s="34"/>
    </row>
    <row r="470">
      <c r="A470" s="37">
        <v>219.0</v>
      </c>
      <c r="B470" s="37">
        <v>1.0</v>
      </c>
      <c r="C470" s="37" t="s">
        <v>914</v>
      </c>
      <c r="D470" s="37" t="s">
        <v>915</v>
      </c>
      <c r="E470" s="28" t="s">
        <v>916</v>
      </c>
      <c r="F470" s="31"/>
      <c r="G470" s="34">
        <v>1.0</v>
      </c>
      <c r="H470" s="34">
        <v>258.0</v>
      </c>
      <c r="I470" s="34"/>
      <c r="J470" s="34"/>
      <c r="K470" s="34"/>
      <c r="L470" s="34"/>
      <c r="M470" s="34"/>
      <c r="N470" s="34"/>
      <c r="O470" s="34"/>
      <c r="P470" s="34"/>
      <c r="Q470" s="34"/>
      <c r="R470" s="34"/>
      <c r="S470" s="34"/>
      <c r="T470" s="34"/>
      <c r="U470" s="34"/>
      <c r="V470" s="34"/>
    </row>
    <row r="471">
      <c r="A471" s="37">
        <v>219.0</v>
      </c>
      <c r="B471" s="37">
        <v>2.0</v>
      </c>
      <c r="C471" s="31"/>
      <c r="D471" s="37" t="s">
        <v>61</v>
      </c>
      <c r="E471" s="28" t="s">
        <v>916</v>
      </c>
      <c r="F471" s="31"/>
      <c r="G471" s="34">
        <v>2.0</v>
      </c>
      <c r="H471" s="34" t="s">
        <v>56</v>
      </c>
      <c r="I471" s="34"/>
      <c r="J471" s="34"/>
      <c r="K471" s="34"/>
      <c r="L471" s="34"/>
      <c r="M471" s="34"/>
      <c r="N471" s="34"/>
      <c r="O471" s="34"/>
      <c r="P471" s="34"/>
      <c r="Q471" s="34"/>
      <c r="R471" s="34"/>
      <c r="S471" s="34"/>
      <c r="T471" s="34"/>
      <c r="U471" s="34"/>
      <c r="V471" s="34"/>
    </row>
    <row r="472">
      <c r="A472" s="37">
        <v>220.0</v>
      </c>
      <c r="B472" s="37">
        <v>1.0</v>
      </c>
      <c r="C472" s="37" t="s">
        <v>917</v>
      </c>
      <c r="D472" s="37" t="s">
        <v>918</v>
      </c>
      <c r="E472" s="28" t="s">
        <v>916</v>
      </c>
      <c r="F472" s="31"/>
      <c r="G472" s="34">
        <v>3.0</v>
      </c>
      <c r="H472" s="34" t="s">
        <v>56</v>
      </c>
      <c r="I472" s="34"/>
      <c r="J472" s="34"/>
      <c r="K472" s="34"/>
      <c r="L472" s="34"/>
      <c r="M472" s="34"/>
      <c r="N472" s="34"/>
      <c r="O472" s="34"/>
      <c r="P472" s="34"/>
      <c r="Q472" s="34"/>
      <c r="R472" s="34"/>
      <c r="S472" s="34"/>
      <c r="T472" s="34"/>
      <c r="U472" s="34"/>
      <c r="V472" s="34"/>
    </row>
    <row r="473">
      <c r="A473" s="37">
        <v>221.0</v>
      </c>
      <c r="B473" s="37">
        <v>1.0</v>
      </c>
      <c r="C473" s="37" t="s">
        <v>919</v>
      </c>
      <c r="D473" s="37" t="s">
        <v>920</v>
      </c>
      <c r="E473" s="28" t="s">
        <v>916</v>
      </c>
      <c r="F473" s="31"/>
      <c r="G473" s="34">
        <v>4.0</v>
      </c>
      <c r="H473" s="34" t="s">
        <v>56</v>
      </c>
      <c r="I473" s="34"/>
      <c r="J473" s="34"/>
      <c r="K473" s="34"/>
      <c r="L473" s="34"/>
      <c r="M473" s="34"/>
      <c r="N473" s="34"/>
      <c r="O473" s="34"/>
      <c r="P473" s="34"/>
      <c r="Q473" s="34"/>
      <c r="R473" s="34"/>
      <c r="S473" s="34"/>
      <c r="T473" s="34"/>
      <c r="U473" s="34"/>
      <c r="V473" s="34"/>
    </row>
    <row r="474">
      <c r="A474" s="37">
        <v>221.0</v>
      </c>
      <c r="B474" s="37">
        <v>2.0</v>
      </c>
      <c r="C474" s="31"/>
      <c r="D474" s="38" t="s">
        <v>921</v>
      </c>
      <c r="E474" s="28" t="s">
        <v>922</v>
      </c>
      <c r="F474" s="31"/>
      <c r="G474" s="34">
        <v>1.0</v>
      </c>
      <c r="H474" s="34">
        <v>259.0</v>
      </c>
      <c r="I474" s="34"/>
      <c r="J474" s="34"/>
      <c r="K474" s="34"/>
      <c r="L474" s="34"/>
      <c r="M474" s="34"/>
      <c r="N474" s="34"/>
      <c r="O474" s="34"/>
      <c r="P474" s="34"/>
      <c r="Q474" s="34"/>
      <c r="R474" s="34"/>
      <c r="S474" s="34"/>
      <c r="T474" s="34"/>
      <c r="U474" s="34"/>
      <c r="V474" s="34"/>
    </row>
    <row r="475">
      <c r="A475" s="37">
        <v>222.0</v>
      </c>
      <c r="B475" s="37">
        <v>1.0</v>
      </c>
      <c r="C475" s="38" t="s">
        <v>923</v>
      </c>
      <c r="D475" s="37" t="s">
        <v>924</v>
      </c>
      <c r="E475" s="28" t="s">
        <v>925</v>
      </c>
      <c r="F475" s="31"/>
      <c r="G475" s="34">
        <v>1.0</v>
      </c>
      <c r="H475" s="34">
        <v>260.0</v>
      </c>
      <c r="I475" s="34"/>
      <c r="J475" s="34"/>
      <c r="K475" s="34"/>
      <c r="L475" s="34"/>
      <c r="M475" s="34"/>
      <c r="N475" s="34"/>
      <c r="O475" s="34"/>
      <c r="P475" s="34"/>
      <c r="Q475" s="34"/>
      <c r="R475" s="34"/>
      <c r="S475" s="34"/>
      <c r="T475" s="34"/>
      <c r="U475" s="34"/>
      <c r="V475" s="34"/>
    </row>
    <row r="476">
      <c r="A476" s="37">
        <v>1.0</v>
      </c>
      <c r="B476" s="37"/>
      <c r="C476" s="43"/>
      <c r="D476" s="38" t="s">
        <v>926</v>
      </c>
      <c r="E476" s="28" t="s">
        <v>922</v>
      </c>
      <c r="F476" s="31"/>
      <c r="G476" s="34">
        <v>2.0</v>
      </c>
      <c r="H476" s="34" t="s">
        <v>56</v>
      </c>
      <c r="I476" s="34"/>
      <c r="J476" s="34"/>
      <c r="K476" s="34"/>
      <c r="L476" s="34"/>
      <c r="M476" s="34"/>
      <c r="N476" s="34"/>
      <c r="O476" s="34"/>
      <c r="P476" s="34"/>
      <c r="Q476" s="34"/>
      <c r="R476" s="34"/>
      <c r="S476" s="34"/>
      <c r="T476" s="34"/>
      <c r="U476" s="34"/>
      <c r="V476" s="34"/>
    </row>
    <row r="477">
      <c r="A477" s="37">
        <v>223.0</v>
      </c>
      <c r="B477" s="37">
        <v>1.0</v>
      </c>
      <c r="C477" s="28" t="s">
        <v>927</v>
      </c>
      <c r="D477" s="42" t="s">
        <v>928</v>
      </c>
      <c r="E477" s="28" t="s">
        <v>929</v>
      </c>
      <c r="F477" s="31"/>
      <c r="G477" s="34">
        <v>1.0</v>
      </c>
      <c r="H477" s="34">
        <v>261.0</v>
      </c>
      <c r="I477" s="34"/>
      <c r="J477" s="34"/>
      <c r="K477" s="34"/>
      <c r="L477" s="34"/>
      <c r="M477" s="34"/>
      <c r="N477" s="34"/>
      <c r="O477" s="34"/>
      <c r="P477" s="34"/>
      <c r="Q477" s="34"/>
      <c r="R477" s="34"/>
      <c r="S477" s="34"/>
      <c r="T477" s="34"/>
      <c r="U477" s="34"/>
      <c r="V477" s="34"/>
    </row>
    <row r="478">
      <c r="A478" s="37">
        <v>224.0</v>
      </c>
      <c r="B478" s="37">
        <v>1.0</v>
      </c>
      <c r="C478" s="37" t="s">
        <v>930</v>
      </c>
      <c r="D478" s="37" t="s">
        <v>931</v>
      </c>
      <c r="E478" s="37" t="s">
        <v>932</v>
      </c>
      <c r="F478" s="31"/>
      <c r="G478" s="34">
        <v>1.0</v>
      </c>
      <c r="H478" s="34">
        <v>262.0</v>
      </c>
      <c r="I478" s="34"/>
      <c r="J478" s="34"/>
      <c r="K478" s="34"/>
      <c r="L478" s="34"/>
      <c r="M478" s="34"/>
      <c r="N478" s="34"/>
      <c r="O478" s="34"/>
      <c r="P478" s="34"/>
      <c r="Q478" s="34"/>
      <c r="R478" s="34"/>
      <c r="S478" s="34"/>
      <c r="T478" s="34"/>
      <c r="U478" s="34"/>
      <c r="V478" s="34"/>
    </row>
    <row r="479">
      <c r="A479" s="37">
        <v>225.0</v>
      </c>
      <c r="B479" s="37">
        <v>1.0</v>
      </c>
      <c r="C479" s="37" t="s">
        <v>933</v>
      </c>
      <c r="D479" s="37" t="s">
        <v>934</v>
      </c>
      <c r="E479" s="28" t="s">
        <v>187</v>
      </c>
      <c r="F479" s="37"/>
      <c r="G479" s="34">
        <v>4.0</v>
      </c>
      <c r="H479" s="34" t="s">
        <v>56</v>
      </c>
      <c r="I479" s="34"/>
      <c r="J479" s="34"/>
      <c r="K479" s="34"/>
      <c r="L479" s="34"/>
      <c r="M479" s="34"/>
      <c r="N479" s="34"/>
      <c r="O479" s="34"/>
      <c r="P479" s="34"/>
      <c r="Q479" s="34"/>
      <c r="R479" s="34"/>
      <c r="S479" s="34"/>
      <c r="T479" s="34"/>
      <c r="U479" s="34"/>
      <c r="V479" s="34"/>
    </row>
    <row r="480">
      <c r="A480" s="37">
        <v>225.0</v>
      </c>
      <c r="B480" s="37">
        <v>2.0</v>
      </c>
      <c r="C480" s="31"/>
      <c r="D480" s="37" t="s">
        <v>935</v>
      </c>
      <c r="E480" s="37" t="s">
        <v>936</v>
      </c>
      <c r="F480" s="31"/>
      <c r="G480" s="34">
        <v>1.0</v>
      </c>
      <c r="H480" s="34">
        <v>263.0</v>
      </c>
      <c r="I480" s="34"/>
      <c r="J480" s="34"/>
      <c r="K480" s="34"/>
      <c r="L480" s="34"/>
      <c r="M480" s="34"/>
      <c r="N480" s="34"/>
      <c r="O480" s="34"/>
      <c r="P480" s="34"/>
      <c r="Q480" s="34"/>
      <c r="R480" s="34"/>
      <c r="S480" s="34"/>
      <c r="T480" s="34"/>
      <c r="U480" s="34"/>
      <c r="V480" s="34"/>
    </row>
    <row r="481">
      <c r="A481" s="37">
        <v>226.0</v>
      </c>
      <c r="B481" s="37">
        <v>1.0</v>
      </c>
      <c r="C481" s="37" t="s">
        <v>937</v>
      </c>
      <c r="D481" s="37" t="s">
        <v>938</v>
      </c>
      <c r="E481" s="37" t="s">
        <v>939</v>
      </c>
      <c r="F481" s="31"/>
      <c r="G481" s="34">
        <v>1.0</v>
      </c>
      <c r="H481" s="34">
        <v>264.0</v>
      </c>
      <c r="I481" s="34"/>
      <c r="J481" s="34"/>
      <c r="K481" s="34"/>
      <c r="L481" s="34"/>
      <c r="M481" s="34"/>
      <c r="N481" s="34"/>
      <c r="O481" s="34"/>
      <c r="P481" s="34"/>
      <c r="Q481" s="34"/>
      <c r="R481" s="34"/>
      <c r="S481" s="34"/>
      <c r="T481" s="34"/>
      <c r="U481" s="34"/>
      <c r="V481" s="34"/>
    </row>
    <row r="482">
      <c r="A482" s="37">
        <v>227.0</v>
      </c>
      <c r="B482" s="37">
        <v>1.0</v>
      </c>
      <c r="C482" s="37" t="s">
        <v>940</v>
      </c>
      <c r="D482" s="37" t="s">
        <v>849</v>
      </c>
      <c r="E482" s="37" t="s">
        <v>586</v>
      </c>
      <c r="F482" s="37"/>
      <c r="G482" s="34">
        <v>5.0</v>
      </c>
      <c r="H482" s="34" t="s">
        <v>56</v>
      </c>
      <c r="I482" s="34"/>
      <c r="J482" s="34"/>
      <c r="K482" s="34"/>
      <c r="L482" s="34"/>
      <c r="M482" s="34"/>
      <c r="N482" s="34"/>
      <c r="O482" s="34"/>
      <c r="P482" s="34"/>
      <c r="Q482" s="34"/>
      <c r="R482" s="34"/>
      <c r="S482" s="34"/>
      <c r="T482" s="34"/>
      <c r="U482" s="34"/>
      <c r="V482" s="34"/>
    </row>
    <row r="483">
      <c r="A483" s="37">
        <v>227.0</v>
      </c>
      <c r="B483" s="37">
        <v>2.0</v>
      </c>
      <c r="C483" s="31"/>
      <c r="D483" s="37" t="s">
        <v>941</v>
      </c>
      <c r="E483" s="37" t="s">
        <v>786</v>
      </c>
      <c r="F483" s="37"/>
      <c r="G483" s="34">
        <v>2.0</v>
      </c>
      <c r="H483" s="34" t="s">
        <v>56</v>
      </c>
      <c r="I483" s="34"/>
      <c r="J483" s="34"/>
      <c r="K483" s="34"/>
      <c r="L483" s="34"/>
      <c r="M483" s="34"/>
      <c r="N483" s="34"/>
      <c r="O483" s="34"/>
      <c r="P483" s="34"/>
      <c r="Q483" s="34"/>
      <c r="R483" s="34"/>
      <c r="S483" s="34"/>
      <c r="T483" s="34"/>
      <c r="U483" s="34"/>
      <c r="V483" s="34"/>
    </row>
    <row r="484">
      <c r="A484" s="37">
        <v>227.0</v>
      </c>
      <c r="B484" s="37">
        <v>3.0</v>
      </c>
      <c r="C484" s="31"/>
      <c r="D484" s="37" t="s">
        <v>942</v>
      </c>
      <c r="E484" s="37" t="s">
        <v>782</v>
      </c>
      <c r="F484" s="37"/>
      <c r="G484" s="34">
        <v>2.0</v>
      </c>
      <c r="H484" s="34" t="s">
        <v>56</v>
      </c>
      <c r="I484" s="34"/>
      <c r="J484" s="34"/>
      <c r="K484" s="34"/>
      <c r="L484" s="34"/>
      <c r="M484" s="34"/>
      <c r="N484" s="34"/>
      <c r="O484" s="34"/>
      <c r="P484" s="34"/>
      <c r="Q484" s="34"/>
      <c r="R484" s="34"/>
      <c r="S484" s="34"/>
      <c r="T484" s="34"/>
      <c r="U484" s="34"/>
      <c r="V484" s="34"/>
    </row>
    <row r="485">
      <c r="A485" s="37">
        <v>228.0</v>
      </c>
      <c r="B485" s="37">
        <v>1.0</v>
      </c>
      <c r="C485" s="37" t="s">
        <v>943</v>
      </c>
      <c r="D485" s="37" t="s">
        <v>944</v>
      </c>
      <c r="E485" s="28" t="s">
        <v>769</v>
      </c>
      <c r="F485" s="37"/>
      <c r="G485" s="34">
        <v>2.0</v>
      </c>
      <c r="H485" s="34" t="s">
        <v>56</v>
      </c>
      <c r="I485" s="34"/>
      <c r="J485" s="34"/>
      <c r="K485" s="34"/>
      <c r="L485" s="34"/>
      <c r="M485" s="34"/>
      <c r="N485" s="34"/>
      <c r="O485" s="34"/>
      <c r="P485" s="34"/>
      <c r="Q485" s="34"/>
      <c r="R485" s="34"/>
      <c r="S485" s="34"/>
      <c r="T485" s="34"/>
      <c r="U485" s="34"/>
      <c r="V485" s="34"/>
    </row>
    <row r="486">
      <c r="A486" s="37">
        <v>228.0</v>
      </c>
      <c r="B486" s="37">
        <v>2.0</v>
      </c>
      <c r="C486" s="31"/>
      <c r="D486" s="37" t="s">
        <v>945</v>
      </c>
      <c r="E486" s="37" t="s">
        <v>946</v>
      </c>
      <c r="F486" s="37"/>
      <c r="G486" s="34">
        <v>1.0</v>
      </c>
      <c r="H486" s="34">
        <v>265.0</v>
      </c>
      <c r="I486" s="34"/>
      <c r="J486" s="34"/>
      <c r="K486" s="34"/>
      <c r="L486" s="34"/>
      <c r="M486" s="34"/>
      <c r="N486" s="34"/>
      <c r="O486" s="34"/>
      <c r="P486" s="34"/>
      <c r="Q486" s="34"/>
      <c r="R486" s="34"/>
      <c r="S486" s="34"/>
      <c r="T486" s="34"/>
      <c r="U486" s="34"/>
      <c r="V486" s="34"/>
    </row>
    <row r="487">
      <c r="A487" s="37">
        <v>229.0</v>
      </c>
      <c r="B487" s="37">
        <v>1.0</v>
      </c>
      <c r="C487" s="37" t="s">
        <v>947</v>
      </c>
      <c r="D487" s="28" t="s">
        <v>752</v>
      </c>
      <c r="E487" s="37" t="s">
        <v>731</v>
      </c>
      <c r="F487" s="37"/>
      <c r="G487" s="34">
        <v>5.0</v>
      </c>
      <c r="H487" s="34" t="s">
        <v>56</v>
      </c>
      <c r="I487" s="34"/>
      <c r="J487" s="34"/>
      <c r="K487" s="34"/>
      <c r="L487" s="34"/>
      <c r="M487" s="34"/>
      <c r="N487" s="34"/>
      <c r="O487" s="34"/>
      <c r="P487" s="34"/>
      <c r="Q487" s="34"/>
      <c r="R487" s="34"/>
      <c r="S487" s="34"/>
      <c r="T487" s="34"/>
      <c r="U487" s="34"/>
      <c r="V487" s="34"/>
    </row>
    <row r="488">
      <c r="A488" s="37">
        <v>230.0</v>
      </c>
      <c r="B488" s="37">
        <v>1.0</v>
      </c>
      <c r="C488" s="37" t="s">
        <v>948</v>
      </c>
      <c r="D488" s="37" t="s">
        <v>735</v>
      </c>
      <c r="E488" s="37" t="s">
        <v>736</v>
      </c>
      <c r="F488" s="37"/>
      <c r="G488" s="34">
        <v>3.0</v>
      </c>
      <c r="H488" s="34" t="s">
        <v>56</v>
      </c>
      <c r="I488" s="34"/>
      <c r="J488" s="34"/>
      <c r="K488" s="34"/>
      <c r="L488" s="34"/>
      <c r="M488" s="34"/>
      <c r="N488" s="34"/>
      <c r="O488" s="34"/>
      <c r="P488" s="34"/>
      <c r="Q488" s="34"/>
      <c r="R488" s="34"/>
      <c r="S488" s="34"/>
      <c r="T488" s="34"/>
      <c r="U488" s="34"/>
      <c r="V488" s="34"/>
    </row>
    <row r="489">
      <c r="A489" s="37">
        <v>231.0</v>
      </c>
      <c r="B489" s="37">
        <v>1.0</v>
      </c>
      <c r="C489" s="37" t="s">
        <v>949</v>
      </c>
      <c r="D489" s="37" t="s">
        <v>61</v>
      </c>
      <c r="E489" s="28" t="s">
        <v>736</v>
      </c>
      <c r="F489" s="31"/>
      <c r="G489" s="34">
        <v>4.0</v>
      </c>
      <c r="H489" s="34" t="s">
        <v>56</v>
      </c>
      <c r="I489" s="34"/>
      <c r="J489" s="34"/>
      <c r="K489" s="34"/>
      <c r="L489" s="34"/>
      <c r="M489" s="34"/>
      <c r="N489" s="34"/>
      <c r="O489" s="34"/>
      <c r="P489" s="34"/>
      <c r="Q489" s="34"/>
      <c r="R489" s="34"/>
      <c r="S489" s="34"/>
      <c r="T489" s="34"/>
      <c r="U489" s="34"/>
      <c r="V489" s="34"/>
    </row>
    <row r="490">
      <c r="A490" s="37">
        <v>232.0</v>
      </c>
      <c r="B490" s="37">
        <v>1.0</v>
      </c>
      <c r="C490" s="37" t="s">
        <v>950</v>
      </c>
      <c r="D490" s="37" t="s">
        <v>951</v>
      </c>
      <c r="E490" s="37" t="s">
        <v>821</v>
      </c>
      <c r="F490" s="37"/>
      <c r="G490" s="34">
        <v>2.0</v>
      </c>
      <c r="H490" s="34" t="s">
        <v>56</v>
      </c>
      <c r="I490" s="34"/>
      <c r="J490" s="34"/>
      <c r="K490" s="34"/>
      <c r="L490" s="34"/>
      <c r="M490" s="34"/>
      <c r="N490" s="34"/>
      <c r="O490" s="34"/>
      <c r="P490" s="34"/>
      <c r="Q490" s="34"/>
      <c r="R490" s="34"/>
      <c r="S490" s="34"/>
      <c r="T490" s="34"/>
      <c r="U490" s="34"/>
      <c r="V490" s="34"/>
    </row>
    <row r="491">
      <c r="A491" s="37">
        <v>232.0</v>
      </c>
      <c r="B491" s="37">
        <v>2.0</v>
      </c>
      <c r="C491" s="31"/>
      <c r="D491" s="37" t="s">
        <v>61</v>
      </c>
      <c r="E491" s="37" t="s">
        <v>821</v>
      </c>
      <c r="F491" s="31"/>
      <c r="G491" s="34">
        <v>3.0</v>
      </c>
      <c r="H491" s="34" t="s">
        <v>56</v>
      </c>
      <c r="I491" s="34"/>
      <c r="J491" s="34"/>
      <c r="K491" s="34"/>
      <c r="L491" s="34"/>
      <c r="M491" s="34"/>
      <c r="N491" s="34"/>
      <c r="O491" s="34"/>
      <c r="P491" s="34"/>
      <c r="Q491" s="34"/>
      <c r="R491" s="34"/>
      <c r="S491" s="34"/>
      <c r="T491" s="34"/>
      <c r="U491" s="34"/>
      <c r="V491" s="34"/>
    </row>
    <row r="492">
      <c r="A492" s="37">
        <v>233.0</v>
      </c>
      <c r="B492" s="37">
        <v>1.0</v>
      </c>
      <c r="C492" s="37" t="s">
        <v>952</v>
      </c>
      <c r="D492" s="37" t="s">
        <v>953</v>
      </c>
      <c r="E492" s="37" t="s">
        <v>719</v>
      </c>
      <c r="F492" s="37"/>
      <c r="G492" s="34">
        <v>3.0</v>
      </c>
      <c r="H492" s="34" t="s">
        <v>56</v>
      </c>
      <c r="I492" s="34"/>
      <c r="J492" s="34"/>
      <c r="K492" s="34"/>
      <c r="L492" s="34"/>
      <c r="M492" s="34"/>
      <c r="N492" s="34"/>
      <c r="O492" s="34"/>
      <c r="P492" s="34"/>
      <c r="Q492" s="34"/>
      <c r="R492" s="34"/>
      <c r="S492" s="34"/>
      <c r="T492" s="34"/>
      <c r="U492" s="34"/>
      <c r="V492" s="34"/>
    </row>
    <row r="493">
      <c r="A493" s="37">
        <v>234.0</v>
      </c>
      <c r="B493" s="37">
        <v>1.0</v>
      </c>
      <c r="C493" s="37" t="s">
        <v>954</v>
      </c>
      <c r="D493" s="37" t="s">
        <v>733</v>
      </c>
      <c r="E493" s="37" t="s">
        <v>717</v>
      </c>
      <c r="F493" s="37"/>
      <c r="G493" s="34">
        <v>7.0</v>
      </c>
      <c r="H493" s="34" t="s">
        <v>56</v>
      </c>
      <c r="I493" s="34"/>
      <c r="J493" s="34"/>
      <c r="K493" s="34"/>
      <c r="L493" s="34"/>
      <c r="M493" s="34"/>
      <c r="N493" s="34"/>
      <c r="O493" s="34"/>
      <c r="P493" s="34"/>
      <c r="Q493" s="34"/>
      <c r="R493" s="34"/>
      <c r="S493" s="34"/>
      <c r="T493" s="34"/>
      <c r="U493" s="34"/>
      <c r="V493" s="34"/>
    </row>
    <row r="494">
      <c r="A494" s="37">
        <v>235.0</v>
      </c>
      <c r="B494" s="37">
        <v>1.0</v>
      </c>
      <c r="C494" s="37" t="s">
        <v>955</v>
      </c>
      <c r="D494" s="37" t="s">
        <v>61</v>
      </c>
      <c r="E494" s="37" t="s">
        <v>717</v>
      </c>
      <c r="F494" s="31"/>
      <c r="G494" s="34">
        <v>8.0</v>
      </c>
      <c r="H494" s="34" t="s">
        <v>56</v>
      </c>
      <c r="I494" s="34"/>
      <c r="J494" s="34"/>
      <c r="K494" s="34"/>
      <c r="L494" s="34"/>
      <c r="M494" s="34"/>
      <c r="N494" s="34"/>
      <c r="O494" s="34"/>
      <c r="P494" s="34"/>
      <c r="Q494" s="34"/>
      <c r="R494" s="34"/>
      <c r="S494" s="34"/>
      <c r="T494" s="34"/>
      <c r="U494" s="34"/>
      <c r="V494" s="34"/>
    </row>
    <row r="495">
      <c r="A495" s="37">
        <v>235.0</v>
      </c>
      <c r="B495" s="37">
        <v>2.0</v>
      </c>
      <c r="C495" s="31"/>
      <c r="D495" s="37" t="s">
        <v>852</v>
      </c>
      <c r="E495" s="37" t="s">
        <v>638</v>
      </c>
      <c r="F495" s="37"/>
      <c r="G495" s="34">
        <v>3.0</v>
      </c>
      <c r="H495" s="34" t="s">
        <v>56</v>
      </c>
      <c r="I495" s="34"/>
      <c r="J495" s="34"/>
      <c r="K495" s="34"/>
      <c r="L495" s="34"/>
      <c r="M495" s="34"/>
      <c r="N495" s="34"/>
      <c r="O495" s="34"/>
      <c r="P495" s="34"/>
      <c r="Q495" s="34"/>
      <c r="R495" s="34"/>
      <c r="S495" s="34"/>
      <c r="T495" s="34"/>
      <c r="U495" s="34"/>
      <c r="V495" s="34"/>
    </row>
    <row r="496">
      <c r="A496" s="37">
        <v>236.0</v>
      </c>
      <c r="B496" s="37">
        <v>1.0</v>
      </c>
      <c r="C496" s="37" t="s">
        <v>956</v>
      </c>
      <c r="D496" s="37" t="s">
        <v>603</v>
      </c>
      <c r="E496" s="37" t="s">
        <v>366</v>
      </c>
      <c r="F496" s="37"/>
      <c r="G496" s="34">
        <v>4.0</v>
      </c>
      <c r="H496" s="34" t="s">
        <v>56</v>
      </c>
      <c r="I496" s="34"/>
      <c r="J496" s="34"/>
      <c r="K496" s="34"/>
      <c r="L496" s="34"/>
      <c r="M496" s="34"/>
      <c r="N496" s="34"/>
      <c r="O496" s="34"/>
      <c r="P496" s="34"/>
      <c r="Q496" s="34"/>
      <c r="R496" s="34"/>
      <c r="S496" s="34"/>
      <c r="T496" s="34"/>
      <c r="U496" s="34"/>
      <c r="V496" s="34"/>
    </row>
    <row r="497">
      <c r="A497" s="37">
        <v>237.0</v>
      </c>
      <c r="B497" s="37">
        <v>1.0</v>
      </c>
      <c r="C497" s="37" t="s">
        <v>948</v>
      </c>
      <c r="D497" s="37" t="s">
        <v>735</v>
      </c>
      <c r="E497" s="37" t="s">
        <v>736</v>
      </c>
      <c r="F497" s="37"/>
      <c r="G497" s="34">
        <v>5.0</v>
      </c>
      <c r="H497" s="34" t="s">
        <v>56</v>
      </c>
      <c r="I497" s="34"/>
      <c r="J497" s="34"/>
      <c r="K497" s="34"/>
      <c r="L497" s="34"/>
      <c r="M497" s="34"/>
      <c r="N497" s="34"/>
      <c r="O497" s="34"/>
      <c r="P497" s="34"/>
      <c r="Q497" s="34"/>
      <c r="R497" s="34"/>
      <c r="S497" s="34"/>
      <c r="T497" s="34"/>
      <c r="U497" s="34"/>
      <c r="V497" s="34"/>
    </row>
    <row r="498">
      <c r="A498" s="37">
        <v>238.0</v>
      </c>
      <c r="B498" s="37">
        <v>1.0</v>
      </c>
      <c r="C498" s="37" t="s">
        <v>957</v>
      </c>
      <c r="D498" s="37" t="s">
        <v>951</v>
      </c>
      <c r="E498" s="37" t="s">
        <v>821</v>
      </c>
      <c r="F498" s="37"/>
      <c r="G498" s="34">
        <v>4.0</v>
      </c>
      <c r="H498" s="34" t="s">
        <v>56</v>
      </c>
      <c r="I498" s="34"/>
      <c r="J498" s="34"/>
      <c r="K498" s="34"/>
      <c r="L498" s="34"/>
      <c r="M498" s="34"/>
      <c r="N498" s="34"/>
      <c r="O498" s="34"/>
      <c r="P498" s="34"/>
      <c r="Q498" s="34"/>
      <c r="R498" s="34"/>
      <c r="S498" s="34"/>
      <c r="T498" s="34"/>
      <c r="U498" s="34"/>
      <c r="V498" s="34"/>
    </row>
    <row r="499">
      <c r="A499" s="37">
        <v>239.0</v>
      </c>
      <c r="B499" s="37">
        <v>1.0</v>
      </c>
      <c r="C499" s="37" t="s">
        <v>954</v>
      </c>
      <c r="D499" s="37" t="s">
        <v>733</v>
      </c>
      <c r="E499" s="28" t="s">
        <v>717</v>
      </c>
      <c r="F499" s="37"/>
      <c r="G499" s="34">
        <v>9.0</v>
      </c>
      <c r="H499" s="34" t="s">
        <v>56</v>
      </c>
      <c r="I499" s="34"/>
      <c r="J499" s="34"/>
      <c r="K499" s="34"/>
      <c r="L499" s="34"/>
      <c r="M499" s="34"/>
      <c r="N499" s="34"/>
      <c r="O499" s="34"/>
      <c r="P499" s="34"/>
      <c r="Q499" s="34"/>
      <c r="R499" s="34"/>
      <c r="S499" s="34"/>
      <c r="T499" s="34"/>
      <c r="U499" s="34"/>
      <c r="V499" s="34"/>
    </row>
    <row r="500">
      <c r="A500" s="37">
        <v>240.0</v>
      </c>
      <c r="B500" s="37">
        <v>1.0</v>
      </c>
      <c r="C500" s="37" t="s">
        <v>958</v>
      </c>
      <c r="D500" s="37" t="s">
        <v>959</v>
      </c>
      <c r="E500" s="28" t="s">
        <v>717</v>
      </c>
      <c r="F500" s="31"/>
      <c r="G500" s="34">
        <v>10.0</v>
      </c>
      <c r="H500" s="34" t="s">
        <v>56</v>
      </c>
      <c r="I500" s="34"/>
      <c r="J500" s="34"/>
      <c r="K500" s="34"/>
      <c r="L500" s="34"/>
      <c r="M500" s="34"/>
      <c r="N500" s="34"/>
      <c r="O500" s="34"/>
      <c r="P500" s="34"/>
      <c r="Q500" s="34"/>
      <c r="R500" s="34"/>
      <c r="S500" s="34"/>
      <c r="T500" s="34"/>
      <c r="U500" s="34"/>
      <c r="V500" s="34"/>
    </row>
    <row r="501">
      <c r="A501" s="37">
        <v>241.0</v>
      </c>
      <c r="B501" s="37">
        <v>1.0</v>
      </c>
      <c r="C501" s="37" t="s">
        <v>960</v>
      </c>
      <c r="D501" s="37" t="s">
        <v>603</v>
      </c>
      <c r="E501" s="37" t="s">
        <v>366</v>
      </c>
      <c r="F501" s="37"/>
      <c r="G501" s="34">
        <v>5.0</v>
      </c>
      <c r="H501" s="34" t="s">
        <v>56</v>
      </c>
      <c r="I501" s="34"/>
      <c r="J501" s="34"/>
      <c r="K501" s="34"/>
      <c r="L501" s="34"/>
      <c r="M501" s="34"/>
      <c r="N501" s="34"/>
      <c r="O501" s="34"/>
      <c r="P501" s="34"/>
      <c r="Q501" s="34"/>
      <c r="R501" s="34"/>
      <c r="S501" s="34"/>
      <c r="T501" s="34"/>
      <c r="U501" s="34"/>
      <c r="V501" s="34"/>
    </row>
    <row r="502">
      <c r="A502" s="37">
        <v>242.0</v>
      </c>
      <c r="B502" s="37">
        <v>1.0</v>
      </c>
      <c r="C502" s="37" t="s">
        <v>961</v>
      </c>
      <c r="D502" s="37" t="s">
        <v>962</v>
      </c>
      <c r="E502" s="28" t="s">
        <v>963</v>
      </c>
      <c r="F502" s="37"/>
      <c r="G502" s="34">
        <v>1.0</v>
      </c>
      <c r="H502" s="34">
        <v>266.0</v>
      </c>
      <c r="I502" s="34"/>
      <c r="J502" s="34"/>
      <c r="K502" s="34"/>
      <c r="L502" s="34"/>
      <c r="M502" s="34"/>
      <c r="N502" s="34"/>
      <c r="O502" s="34"/>
      <c r="P502" s="34"/>
      <c r="Q502" s="34"/>
      <c r="R502" s="34"/>
      <c r="S502" s="34"/>
      <c r="T502" s="34"/>
      <c r="U502" s="34"/>
      <c r="V502" s="34"/>
    </row>
    <row r="503">
      <c r="A503" s="37">
        <v>243.0</v>
      </c>
      <c r="B503" s="37">
        <v>1.0</v>
      </c>
      <c r="C503" s="37" t="s">
        <v>964</v>
      </c>
      <c r="D503" s="37" t="s">
        <v>965</v>
      </c>
      <c r="E503" s="37" t="s">
        <v>966</v>
      </c>
      <c r="F503" s="31"/>
      <c r="G503" s="34">
        <v>1.0</v>
      </c>
      <c r="H503" s="34">
        <v>267.0</v>
      </c>
      <c r="I503" s="34"/>
      <c r="J503" s="34"/>
      <c r="K503" s="34"/>
      <c r="L503" s="34"/>
      <c r="M503" s="34"/>
      <c r="N503" s="34"/>
      <c r="O503" s="34"/>
      <c r="P503" s="34"/>
      <c r="Q503" s="34"/>
      <c r="R503" s="34"/>
      <c r="S503" s="34"/>
      <c r="T503" s="34"/>
      <c r="U503" s="34"/>
      <c r="V503" s="34"/>
    </row>
    <row r="504">
      <c r="A504" s="37">
        <v>244.0</v>
      </c>
      <c r="B504" s="37">
        <v>1.0</v>
      </c>
      <c r="C504" s="37" t="s">
        <v>967</v>
      </c>
      <c r="D504" s="37" t="s">
        <v>968</v>
      </c>
      <c r="E504" s="37" t="s">
        <v>969</v>
      </c>
      <c r="F504" s="31"/>
      <c r="G504" s="34">
        <v>1.0</v>
      </c>
      <c r="H504" s="34">
        <v>268.0</v>
      </c>
      <c r="I504" s="34"/>
      <c r="J504" s="34"/>
      <c r="K504" s="34"/>
      <c r="L504" s="34"/>
      <c r="M504" s="34"/>
      <c r="N504" s="34"/>
      <c r="O504" s="34"/>
      <c r="P504" s="34"/>
      <c r="Q504" s="34"/>
      <c r="R504" s="34"/>
      <c r="S504" s="34"/>
      <c r="T504" s="34"/>
      <c r="U504" s="34"/>
      <c r="V504" s="34"/>
    </row>
    <row r="505">
      <c r="A505" s="37">
        <v>245.0</v>
      </c>
      <c r="B505" s="37">
        <v>1.0</v>
      </c>
      <c r="C505" s="37" t="s">
        <v>970</v>
      </c>
      <c r="D505" s="37" t="s">
        <v>971</v>
      </c>
      <c r="E505" s="37" t="s">
        <v>972</v>
      </c>
      <c r="F505" s="31"/>
      <c r="G505" s="34">
        <v>1.0</v>
      </c>
      <c r="H505" s="34">
        <v>269.0</v>
      </c>
      <c r="I505" s="34"/>
      <c r="J505" s="34"/>
      <c r="K505" s="34"/>
      <c r="L505" s="34"/>
      <c r="M505" s="34"/>
      <c r="N505" s="34"/>
      <c r="O505" s="34"/>
      <c r="P505" s="34"/>
      <c r="Q505" s="34"/>
      <c r="R505" s="34"/>
      <c r="S505" s="34"/>
      <c r="T505" s="34"/>
      <c r="U505" s="34"/>
      <c r="V505" s="34"/>
    </row>
    <row r="506">
      <c r="A506" s="37">
        <v>246.0</v>
      </c>
      <c r="B506" s="37">
        <v>1.0</v>
      </c>
      <c r="C506" s="37" t="s">
        <v>973</v>
      </c>
      <c r="D506" s="37" t="s">
        <v>974</v>
      </c>
      <c r="E506" s="37" t="s">
        <v>975</v>
      </c>
      <c r="F506" s="31"/>
      <c r="G506" s="34">
        <v>1.0</v>
      </c>
      <c r="H506" s="34">
        <v>270.0</v>
      </c>
      <c r="I506" s="34"/>
      <c r="J506" s="34"/>
      <c r="K506" s="34"/>
      <c r="L506" s="34"/>
      <c r="M506" s="34"/>
      <c r="N506" s="34"/>
      <c r="O506" s="34"/>
      <c r="P506" s="34"/>
      <c r="Q506" s="34"/>
      <c r="R506" s="34"/>
      <c r="S506" s="34"/>
      <c r="T506" s="34"/>
      <c r="U506" s="34"/>
      <c r="V506" s="34"/>
    </row>
    <row r="507">
      <c r="A507" s="37">
        <v>247.0</v>
      </c>
      <c r="B507" s="37">
        <v>1.0</v>
      </c>
      <c r="C507" s="37" t="s">
        <v>976</v>
      </c>
      <c r="D507" s="37" t="s">
        <v>977</v>
      </c>
      <c r="E507" s="28" t="s">
        <v>407</v>
      </c>
      <c r="F507" s="37"/>
      <c r="G507" s="34">
        <v>2.0</v>
      </c>
      <c r="H507" s="34" t="s">
        <v>56</v>
      </c>
      <c r="I507" s="34"/>
      <c r="J507" s="34"/>
      <c r="K507" s="34"/>
      <c r="L507" s="34"/>
      <c r="M507" s="34"/>
      <c r="N507" s="34"/>
      <c r="O507" s="34"/>
      <c r="P507" s="34"/>
      <c r="Q507" s="34"/>
      <c r="R507" s="34"/>
      <c r="S507" s="34"/>
      <c r="T507" s="34"/>
      <c r="U507" s="34"/>
      <c r="V507" s="34"/>
    </row>
    <row r="508">
      <c r="A508" s="37">
        <v>248.0</v>
      </c>
      <c r="B508" s="37">
        <v>1.0</v>
      </c>
      <c r="C508" s="37" t="s">
        <v>978</v>
      </c>
      <c r="D508" s="37" t="s">
        <v>979</v>
      </c>
      <c r="E508" s="37" t="s">
        <v>407</v>
      </c>
      <c r="F508" s="31"/>
      <c r="G508" s="34">
        <v>3.0</v>
      </c>
      <c r="H508" s="34" t="s">
        <v>56</v>
      </c>
      <c r="I508" s="34"/>
      <c r="J508" s="34"/>
      <c r="K508" s="34"/>
      <c r="L508" s="34"/>
      <c r="M508" s="34"/>
      <c r="N508" s="34"/>
      <c r="O508" s="34"/>
      <c r="P508" s="34"/>
      <c r="Q508" s="34"/>
      <c r="R508" s="34"/>
      <c r="S508" s="34"/>
      <c r="T508" s="34"/>
      <c r="U508" s="34"/>
      <c r="V508" s="34"/>
    </row>
    <row r="509">
      <c r="A509" s="37">
        <v>248.0</v>
      </c>
      <c r="B509" s="37">
        <v>2.0</v>
      </c>
      <c r="C509" s="31"/>
      <c r="D509" s="37" t="s">
        <v>735</v>
      </c>
      <c r="E509" s="37" t="s">
        <v>736</v>
      </c>
      <c r="F509" s="37"/>
      <c r="G509" s="34">
        <v>6.0</v>
      </c>
      <c r="H509" s="34" t="s">
        <v>56</v>
      </c>
      <c r="I509" s="34"/>
      <c r="J509" s="34"/>
      <c r="K509" s="34"/>
      <c r="L509" s="34"/>
      <c r="M509" s="34"/>
      <c r="N509" s="34"/>
      <c r="O509" s="34"/>
      <c r="P509" s="34"/>
      <c r="Q509" s="34"/>
      <c r="R509" s="34"/>
      <c r="S509" s="34"/>
      <c r="T509" s="34"/>
      <c r="U509" s="34"/>
      <c r="V509" s="34"/>
    </row>
    <row r="510">
      <c r="A510" s="37">
        <v>248.0</v>
      </c>
      <c r="B510" s="37">
        <v>3.0</v>
      </c>
      <c r="C510" s="31"/>
      <c r="D510" s="37" t="s">
        <v>980</v>
      </c>
      <c r="E510" s="28" t="s">
        <v>526</v>
      </c>
      <c r="F510" s="37"/>
      <c r="G510" s="34">
        <v>3.0</v>
      </c>
      <c r="H510" s="34" t="s">
        <v>56</v>
      </c>
      <c r="I510" s="34"/>
      <c r="J510" s="34"/>
      <c r="K510" s="34"/>
      <c r="L510" s="34"/>
      <c r="M510" s="34"/>
      <c r="N510" s="34"/>
      <c r="O510" s="34"/>
      <c r="P510" s="34"/>
      <c r="Q510" s="34"/>
      <c r="R510" s="34"/>
      <c r="S510" s="34"/>
      <c r="T510" s="34"/>
      <c r="U510" s="34"/>
      <c r="V510" s="34"/>
    </row>
    <row r="511">
      <c r="A511" s="37">
        <v>249.0</v>
      </c>
      <c r="B511" s="37">
        <v>1.0</v>
      </c>
      <c r="C511" s="37" t="s">
        <v>981</v>
      </c>
      <c r="D511" s="37" t="s">
        <v>982</v>
      </c>
      <c r="E511" s="28" t="s">
        <v>983</v>
      </c>
      <c r="F511" s="37"/>
      <c r="G511" s="34">
        <v>1.0</v>
      </c>
      <c r="H511" s="34">
        <v>271.0</v>
      </c>
      <c r="I511" s="34"/>
      <c r="J511" s="34"/>
      <c r="K511" s="34"/>
      <c r="L511" s="34"/>
      <c r="M511" s="34"/>
      <c r="N511" s="34"/>
      <c r="O511" s="34"/>
      <c r="P511" s="34"/>
      <c r="Q511" s="34"/>
      <c r="R511" s="34"/>
      <c r="S511" s="34"/>
      <c r="T511" s="34"/>
      <c r="U511" s="34"/>
      <c r="V511" s="34"/>
    </row>
    <row r="512">
      <c r="A512" s="37">
        <v>250.0</v>
      </c>
      <c r="B512" s="37">
        <v>1.0</v>
      </c>
      <c r="C512" s="37" t="s">
        <v>984</v>
      </c>
      <c r="D512" s="37" t="s">
        <v>985</v>
      </c>
      <c r="E512" s="28" t="s">
        <v>986</v>
      </c>
      <c r="F512" s="37"/>
      <c r="G512" s="34">
        <v>1.0</v>
      </c>
      <c r="H512" s="34">
        <v>272.0</v>
      </c>
      <c r="I512" s="34"/>
      <c r="J512" s="34"/>
      <c r="K512" s="34"/>
      <c r="L512" s="34"/>
      <c r="M512" s="34"/>
      <c r="N512" s="34"/>
      <c r="O512" s="34"/>
      <c r="P512" s="34"/>
      <c r="Q512" s="34"/>
      <c r="R512" s="34"/>
      <c r="S512" s="34"/>
      <c r="T512" s="34"/>
      <c r="U512" s="34"/>
      <c r="V512" s="34"/>
    </row>
    <row r="513">
      <c r="A513" s="37">
        <v>250.0</v>
      </c>
      <c r="B513" s="37">
        <v>2.0</v>
      </c>
      <c r="C513" s="31"/>
      <c r="D513" s="37" t="s">
        <v>987</v>
      </c>
      <c r="E513" s="37" t="s">
        <v>731</v>
      </c>
      <c r="F513" s="37"/>
      <c r="G513" s="34">
        <v>6.0</v>
      </c>
      <c r="H513" s="34" t="s">
        <v>56</v>
      </c>
      <c r="I513" s="34"/>
      <c r="J513" s="34"/>
      <c r="K513" s="34"/>
      <c r="L513" s="34"/>
      <c r="M513" s="34"/>
      <c r="N513" s="34"/>
      <c r="O513" s="34"/>
      <c r="P513" s="34"/>
      <c r="Q513" s="34"/>
      <c r="R513" s="34"/>
      <c r="S513" s="34"/>
      <c r="T513" s="34"/>
      <c r="U513" s="34"/>
      <c r="V513" s="34"/>
    </row>
    <row r="514">
      <c r="A514" s="37">
        <v>251.0</v>
      </c>
      <c r="B514" s="37">
        <v>1.0</v>
      </c>
      <c r="C514" s="37" t="s">
        <v>988</v>
      </c>
      <c r="D514" s="37" t="s">
        <v>989</v>
      </c>
      <c r="E514" s="37" t="s">
        <v>719</v>
      </c>
      <c r="F514" s="37"/>
      <c r="G514" s="34">
        <v>4.0</v>
      </c>
      <c r="H514" s="34" t="s">
        <v>56</v>
      </c>
      <c r="I514" s="34"/>
      <c r="J514" s="34"/>
      <c r="K514" s="34"/>
      <c r="L514" s="34"/>
      <c r="M514" s="34"/>
      <c r="N514" s="34"/>
      <c r="O514" s="34"/>
      <c r="P514" s="34"/>
      <c r="Q514" s="34"/>
      <c r="R514" s="34"/>
      <c r="S514" s="34"/>
      <c r="T514" s="34"/>
      <c r="U514" s="34"/>
      <c r="V514" s="34"/>
    </row>
    <row r="515">
      <c r="A515" s="37">
        <v>251.0</v>
      </c>
      <c r="B515" s="37">
        <v>2.0</v>
      </c>
      <c r="C515" s="31"/>
      <c r="D515" s="37" t="s">
        <v>990</v>
      </c>
      <c r="E515" s="28" t="s">
        <v>991</v>
      </c>
      <c r="F515" s="37"/>
      <c r="G515" s="34">
        <v>1.0</v>
      </c>
      <c r="H515" s="34">
        <v>273.0</v>
      </c>
      <c r="I515" s="34"/>
      <c r="J515" s="34"/>
      <c r="K515" s="34"/>
      <c r="L515" s="34"/>
      <c r="M515" s="34"/>
      <c r="N515" s="34"/>
      <c r="O515" s="34"/>
      <c r="P515" s="34"/>
      <c r="Q515" s="34"/>
      <c r="R515" s="34"/>
      <c r="S515" s="34"/>
      <c r="T515" s="34"/>
      <c r="U515" s="34"/>
      <c r="V515" s="34"/>
    </row>
    <row r="516">
      <c r="A516" s="37">
        <v>251.0</v>
      </c>
      <c r="B516" s="37">
        <v>3.0</v>
      </c>
      <c r="C516" s="31"/>
      <c r="D516" s="37" t="s">
        <v>992</v>
      </c>
      <c r="E516" s="37" t="s">
        <v>738</v>
      </c>
      <c r="F516" s="37"/>
      <c r="G516" s="34">
        <v>2.0</v>
      </c>
      <c r="H516" s="34" t="s">
        <v>56</v>
      </c>
      <c r="I516" s="34"/>
      <c r="J516" s="34"/>
      <c r="K516" s="34"/>
      <c r="L516" s="34"/>
      <c r="M516" s="34"/>
      <c r="N516" s="34"/>
      <c r="O516" s="34"/>
      <c r="P516" s="34"/>
      <c r="Q516" s="34"/>
      <c r="R516" s="34"/>
      <c r="S516" s="34"/>
      <c r="T516" s="34"/>
      <c r="U516" s="34"/>
      <c r="V516" s="34"/>
    </row>
    <row r="517">
      <c r="A517" s="37">
        <v>251.0</v>
      </c>
      <c r="B517" s="37">
        <v>4.0</v>
      </c>
      <c r="C517" s="31"/>
      <c r="D517" s="37" t="s">
        <v>993</v>
      </c>
      <c r="E517" s="37" t="s">
        <v>434</v>
      </c>
      <c r="F517" s="37"/>
      <c r="G517" s="34">
        <v>2.0</v>
      </c>
      <c r="H517" s="34" t="s">
        <v>56</v>
      </c>
      <c r="I517" s="34"/>
      <c r="J517" s="34"/>
      <c r="K517" s="34"/>
      <c r="L517" s="34"/>
      <c r="M517" s="34"/>
      <c r="N517" s="34"/>
      <c r="O517" s="34"/>
      <c r="P517" s="34"/>
      <c r="Q517" s="34"/>
      <c r="R517" s="34"/>
      <c r="S517" s="34"/>
      <c r="T517" s="34"/>
      <c r="U517" s="34"/>
      <c r="V517" s="34"/>
    </row>
    <row r="518">
      <c r="A518" s="37">
        <v>251.0</v>
      </c>
      <c r="B518" s="37">
        <v>5.0</v>
      </c>
      <c r="C518" s="31"/>
      <c r="D518" s="37" t="s">
        <v>994</v>
      </c>
      <c r="E518" s="37" t="s">
        <v>96</v>
      </c>
      <c r="F518" s="37"/>
      <c r="G518" s="34">
        <v>9.0</v>
      </c>
      <c r="H518" s="34" t="s">
        <v>56</v>
      </c>
      <c r="I518" s="34"/>
      <c r="J518" s="34"/>
      <c r="K518" s="34"/>
      <c r="L518" s="34"/>
      <c r="M518" s="34"/>
      <c r="N518" s="34"/>
      <c r="O518" s="34"/>
      <c r="P518" s="34"/>
      <c r="Q518" s="34"/>
      <c r="R518" s="34"/>
      <c r="S518" s="34"/>
      <c r="T518" s="34"/>
      <c r="U518" s="34"/>
      <c r="V518" s="34"/>
    </row>
    <row r="519">
      <c r="A519" s="37">
        <v>251.0</v>
      </c>
      <c r="B519" s="37">
        <v>6.0</v>
      </c>
      <c r="C519" s="31"/>
      <c r="D519" s="37" t="s">
        <v>995</v>
      </c>
      <c r="E519" s="37" t="s">
        <v>197</v>
      </c>
      <c r="F519" s="37"/>
      <c r="G519" s="34">
        <v>2.0</v>
      </c>
      <c r="H519" s="34" t="s">
        <v>56</v>
      </c>
      <c r="I519" s="34"/>
      <c r="J519" s="34"/>
      <c r="K519" s="34"/>
      <c r="L519" s="34"/>
      <c r="M519" s="34"/>
      <c r="N519" s="34"/>
      <c r="O519" s="34"/>
      <c r="P519" s="34"/>
      <c r="Q519" s="34"/>
      <c r="R519" s="34"/>
      <c r="S519" s="34"/>
      <c r="T519" s="34"/>
      <c r="U519" s="34"/>
      <c r="V519" s="34"/>
    </row>
    <row r="520">
      <c r="A520" s="37">
        <v>252.0</v>
      </c>
      <c r="B520" s="37">
        <v>1.0</v>
      </c>
      <c r="C520" s="37" t="s">
        <v>996</v>
      </c>
      <c r="D520" s="37" t="s">
        <v>997</v>
      </c>
      <c r="E520" s="37" t="s">
        <v>998</v>
      </c>
      <c r="F520" s="31"/>
      <c r="G520" s="34">
        <v>1.0</v>
      </c>
      <c r="H520" s="34">
        <v>274.0</v>
      </c>
      <c r="I520" s="34"/>
      <c r="J520" s="34"/>
      <c r="K520" s="34"/>
      <c r="L520" s="34"/>
      <c r="M520" s="34"/>
      <c r="N520" s="34"/>
      <c r="O520" s="34"/>
      <c r="P520" s="34"/>
      <c r="Q520" s="34"/>
      <c r="R520" s="34"/>
      <c r="S520" s="34"/>
      <c r="T520" s="34"/>
      <c r="U520" s="34"/>
      <c r="V520" s="34"/>
    </row>
    <row r="521">
      <c r="A521" s="37">
        <v>253.0</v>
      </c>
      <c r="B521" s="37">
        <v>1.0</v>
      </c>
      <c r="C521" s="37" t="s">
        <v>999</v>
      </c>
      <c r="D521" s="37" t="s">
        <v>1000</v>
      </c>
      <c r="E521" s="37" t="s">
        <v>1001</v>
      </c>
      <c r="F521" s="31"/>
      <c r="G521" s="34">
        <v>1.0</v>
      </c>
      <c r="H521" s="34">
        <v>275.0</v>
      </c>
      <c r="I521" s="34"/>
      <c r="J521" s="34"/>
      <c r="K521" s="34"/>
      <c r="L521" s="34"/>
      <c r="M521" s="34"/>
      <c r="N521" s="34"/>
      <c r="O521" s="34"/>
      <c r="P521" s="34"/>
      <c r="Q521" s="34"/>
      <c r="R521" s="34"/>
      <c r="S521" s="34"/>
      <c r="T521" s="34"/>
      <c r="U521" s="34"/>
      <c r="V521" s="34"/>
    </row>
    <row r="522">
      <c r="A522" s="37">
        <v>254.0</v>
      </c>
      <c r="B522" s="37">
        <v>1.0</v>
      </c>
      <c r="C522" s="37" t="s">
        <v>1002</v>
      </c>
      <c r="D522" s="37" t="s">
        <v>1003</v>
      </c>
      <c r="E522" s="37" t="s">
        <v>1001</v>
      </c>
      <c r="F522" s="31"/>
      <c r="G522" s="34">
        <v>2.0</v>
      </c>
      <c r="H522" s="34" t="s">
        <v>56</v>
      </c>
      <c r="I522" s="34"/>
      <c r="J522" s="34"/>
      <c r="K522" s="34"/>
      <c r="L522" s="34"/>
      <c r="M522" s="34"/>
      <c r="N522" s="34"/>
      <c r="O522" s="34"/>
      <c r="P522" s="34"/>
      <c r="Q522" s="34"/>
      <c r="R522" s="34"/>
      <c r="S522" s="34"/>
      <c r="T522" s="34"/>
      <c r="U522" s="34"/>
      <c r="V522" s="34"/>
    </row>
    <row r="523">
      <c r="A523" s="37">
        <v>255.0</v>
      </c>
      <c r="B523" s="37">
        <v>1.0</v>
      </c>
      <c r="C523" s="37" t="s">
        <v>1004</v>
      </c>
      <c r="D523" s="37" t="s">
        <v>603</v>
      </c>
      <c r="E523" s="37" t="s">
        <v>366</v>
      </c>
      <c r="F523" s="37"/>
      <c r="G523" s="34">
        <v>6.0</v>
      </c>
      <c r="H523" s="34" t="s">
        <v>56</v>
      </c>
      <c r="I523" s="34"/>
      <c r="J523" s="34"/>
      <c r="K523" s="34"/>
      <c r="L523" s="34"/>
      <c r="M523" s="34"/>
      <c r="N523" s="34"/>
      <c r="O523" s="34"/>
      <c r="P523" s="34"/>
      <c r="Q523" s="34"/>
      <c r="R523" s="34"/>
      <c r="S523" s="34"/>
      <c r="T523" s="34"/>
      <c r="U523" s="34"/>
      <c r="V523" s="34"/>
    </row>
    <row r="524">
      <c r="A524" s="37">
        <v>256.0</v>
      </c>
      <c r="B524" s="37">
        <v>1.0</v>
      </c>
      <c r="C524" s="37" t="s">
        <v>1005</v>
      </c>
      <c r="D524" s="37" t="s">
        <v>1006</v>
      </c>
      <c r="E524" s="37" t="s">
        <v>366</v>
      </c>
      <c r="F524" s="31"/>
      <c r="G524" s="34">
        <v>7.0</v>
      </c>
      <c r="H524" s="34" t="s">
        <v>56</v>
      </c>
      <c r="I524" s="34"/>
      <c r="J524" s="34"/>
      <c r="K524" s="34"/>
      <c r="L524" s="34"/>
      <c r="M524" s="34"/>
      <c r="N524" s="34"/>
      <c r="O524" s="34"/>
      <c r="P524" s="34"/>
      <c r="Q524" s="34"/>
      <c r="R524" s="34"/>
      <c r="S524" s="34"/>
      <c r="T524" s="34"/>
      <c r="U524" s="34"/>
      <c r="V524" s="34"/>
    </row>
    <row r="525">
      <c r="A525" s="37">
        <v>256.0</v>
      </c>
      <c r="B525" s="37">
        <v>2.0</v>
      </c>
      <c r="C525" s="31"/>
      <c r="D525" s="37" t="s">
        <v>1007</v>
      </c>
      <c r="E525" s="37" t="s">
        <v>195</v>
      </c>
      <c r="F525" s="37"/>
      <c r="G525" s="34">
        <v>2.0</v>
      </c>
      <c r="H525" s="34" t="s">
        <v>56</v>
      </c>
      <c r="I525" s="34"/>
      <c r="J525" s="34"/>
      <c r="K525" s="34"/>
      <c r="L525" s="34"/>
      <c r="M525" s="34"/>
      <c r="N525" s="34"/>
      <c r="O525" s="34"/>
      <c r="P525" s="34"/>
      <c r="Q525" s="34"/>
      <c r="R525" s="34"/>
      <c r="S525" s="34"/>
      <c r="T525" s="34"/>
      <c r="U525" s="34"/>
      <c r="V525" s="34"/>
    </row>
    <row r="526">
      <c r="A526" s="37">
        <v>257.0</v>
      </c>
      <c r="B526" s="37">
        <v>1.0</v>
      </c>
      <c r="C526" s="37" t="s">
        <v>1008</v>
      </c>
      <c r="D526" s="37" t="s">
        <v>1009</v>
      </c>
      <c r="E526" s="37" t="s">
        <v>129</v>
      </c>
      <c r="F526" s="37"/>
      <c r="G526" s="34">
        <v>4.0</v>
      </c>
      <c r="H526" s="34" t="s">
        <v>56</v>
      </c>
      <c r="I526" s="34"/>
      <c r="J526" s="34"/>
      <c r="K526" s="34"/>
      <c r="L526" s="34"/>
      <c r="M526" s="34"/>
      <c r="N526" s="34"/>
      <c r="O526" s="34"/>
      <c r="P526" s="34"/>
      <c r="Q526" s="34"/>
      <c r="R526" s="34"/>
      <c r="S526" s="34"/>
      <c r="T526" s="34"/>
      <c r="U526" s="34"/>
      <c r="V526" s="34"/>
    </row>
    <row r="527">
      <c r="A527" s="37">
        <v>258.0</v>
      </c>
      <c r="B527" s="37">
        <v>1.0</v>
      </c>
      <c r="C527" s="37" t="s">
        <v>1010</v>
      </c>
      <c r="D527" s="37" t="s">
        <v>61</v>
      </c>
      <c r="E527" s="37" t="s">
        <v>129</v>
      </c>
      <c r="F527" s="31"/>
      <c r="G527" s="34">
        <v>5.0</v>
      </c>
      <c r="H527" s="34" t="s">
        <v>56</v>
      </c>
      <c r="I527" s="34"/>
      <c r="J527" s="34"/>
      <c r="K527" s="34"/>
      <c r="L527" s="34"/>
      <c r="M527" s="34"/>
      <c r="N527" s="34"/>
      <c r="O527" s="34"/>
      <c r="P527" s="34"/>
      <c r="Q527" s="34"/>
      <c r="R527" s="34"/>
      <c r="S527" s="34"/>
      <c r="T527" s="34"/>
      <c r="U527" s="34"/>
      <c r="V527" s="34"/>
    </row>
    <row r="528">
      <c r="A528" s="37">
        <v>259.0</v>
      </c>
      <c r="B528" s="37">
        <v>1.0</v>
      </c>
      <c r="C528" s="37" t="s">
        <v>1011</v>
      </c>
      <c r="D528" s="37" t="s">
        <v>61</v>
      </c>
      <c r="E528" s="37" t="s">
        <v>129</v>
      </c>
      <c r="F528" s="31"/>
      <c r="G528" s="34">
        <v>6.0</v>
      </c>
      <c r="H528" s="34" t="s">
        <v>56</v>
      </c>
      <c r="I528" s="34"/>
      <c r="J528" s="34"/>
      <c r="K528" s="34"/>
      <c r="L528" s="34"/>
      <c r="M528" s="34"/>
      <c r="N528" s="34"/>
      <c r="O528" s="34"/>
      <c r="P528" s="34"/>
      <c r="Q528" s="34"/>
      <c r="R528" s="34"/>
      <c r="S528" s="34"/>
      <c r="T528" s="34"/>
      <c r="U528" s="34"/>
      <c r="V528" s="34"/>
    </row>
    <row r="529">
      <c r="A529" s="37">
        <v>259.0</v>
      </c>
      <c r="B529" s="37">
        <v>2.0</v>
      </c>
      <c r="C529" s="31"/>
      <c r="D529" s="37" t="s">
        <v>1012</v>
      </c>
      <c r="E529" s="28" t="s">
        <v>1013</v>
      </c>
      <c r="F529" s="37"/>
      <c r="G529" s="34">
        <v>1.0</v>
      </c>
      <c r="H529" s="34">
        <v>276.0</v>
      </c>
      <c r="I529" s="34"/>
      <c r="J529" s="34"/>
      <c r="K529" s="34"/>
      <c r="L529" s="34"/>
      <c r="M529" s="34"/>
      <c r="N529" s="34"/>
      <c r="O529" s="34"/>
      <c r="P529" s="34"/>
      <c r="Q529" s="34"/>
      <c r="R529" s="34"/>
      <c r="S529" s="34"/>
      <c r="T529" s="34"/>
      <c r="U529" s="34"/>
      <c r="V529" s="34"/>
    </row>
    <row r="530">
      <c r="A530" s="37">
        <v>260.0</v>
      </c>
      <c r="B530" s="37">
        <v>1.0</v>
      </c>
      <c r="C530" s="37" t="s">
        <v>1008</v>
      </c>
      <c r="D530" s="37" t="s">
        <v>1009</v>
      </c>
      <c r="E530" s="37" t="s">
        <v>129</v>
      </c>
      <c r="F530" s="37"/>
      <c r="G530" s="34">
        <v>7.0</v>
      </c>
      <c r="H530" s="34" t="s">
        <v>56</v>
      </c>
      <c r="I530" s="34"/>
      <c r="J530" s="34"/>
      <c r="K530" s="34"/>
      <c r="L530" s="34"/>
      <c r="M530" s="34"/>
      <c r="N530" s="34"/>
      <c r="O530" s="34"/>
      <c r="P530" s="34"/>
      <c r="Q530" s="34"/>
      <c r="R530" s="34"/>
      <c r="S530" s="34"/>
      <c r="T530" s="34"/>
      <c r="U530" s="34"/>
      <c r="V530" s="34"/>
    </row>
    <row r="531">
      <c r="A531" s="37">
        <v>261.0</v>
      </c>
      <c r="B531" s="37">
        <v>1.0</v>
      </c>
      <c r="C531" s="37" t="s">
        <v>1014</v>
      </c>
      <c r="D531" s="37" t="s">
        <v>1015</v>
      </c>
      <c r="E531" s="37" t="s">
        <v>129</v>
      </c>
      <c r="F531" s="31"/>
      <c r="G531" s="34">
        <v>8.0</v>
      </c>
      <c r="H531" s="34" t="s">
        <v>56</v>
      </c>
      <c r="I531" s="34"/>
      <c r="J531" s="34"/>
      <c r="K531" s="34"/>
      <c r="L531" s="34"/>
      <c r="M531" s="34"/>
      <c r="N531" s="34"/>
      <c r="O531" s="34"/>
      <c r="P531" s="34"/>
      <c r="Q531" s="34"/>
      <c r="R531" s="34"/>
      <c r="S531" s="34"/>
      <c r="T531" s="34"/>
      <c r="U531" s="34"/>
      <c r="V531" s="34"/>
    </row>
    <row r="532">
      <c r="A532" s="37">
        <v>261.0</v>
      </c>
      <c r="B532" s="28">
        <v>2.0</v>
      </c>
      <c r="C532" s="31"/>
      <c r="D532" s="37" t="s">
        <v>1016</v>
      </c>
      <c r="E532" s="37" t="s">
        <v>129</v>
      </c>
      <c r="F532" s="31"/>
      <c r="G532" s="34">
        <v>9.0</v>
      </c>
      <c r="H532" s="34" t="s">
        <v>56</v>
      </c>
      <c r="I532" s="34"/>
      <c r="J532" s="34"/>
      <c r="K532" s="34"/>
      <c r="L532" s="34"/>
      <c r="M532" s="34"/>
      <c r="N532" s="34"/>
      <c r="O532" s="34"/>
      <c r="P532" s="34"/>
      <c r="Q532" s="34"/>
      <c r="R532" s="34"/>
      <c r="S532" s="34"/>
      <c r="T532" s="34"/>
      <c r="U532" s="34"/>
      <c r="V532" s="34"/>
    </row>
    <row r="533">
      <c r="A533" s="37">
        <v>261.0</v>
      </c>
      <c r="B533" s="28">
        <v>3.0</v>
      </c>
      <c r="C533" s="31"/>
      <c r="D533" s="37" t="s">
        <v>1017</v>
      </c>
      <c r="E533" s="37" t="s">
        <v>1018</v>
      </c>
      <c r="F533" s="31"/>
      <c r="G533" s="34">
        <v>1.0</v>
      </c>
      <c r="H533" s="34">
        <v>277.0</v>
      </c>
      <c r="I533" s="34"/>
      <c r="J533" s="34"/>
      <c r="K533" s="34"/>
      <c r="L533" s="34"/>
      <c r="M533" s="34"/>
      <c r="N533" s="34"/>
      <c r="O533" s="34"/>
      <c r="P533" s="34"/>
      <c r="Q533" s="34"/>
      <c r="R533" s="34"/>
      <c r="S533" s="34"/>
      <c r="T533" s="34"/>
      <c r="U533" s="34"/>
      <c r="V533" s="34"/>
    </row>
    <row r="534">
      <c r="A534" s="37">
        <v>262.0</v>
      </c>
      <c r="B534" s="37">
        <v>1.0</v>
      </c>
      <c r="C534" s="37" t="s">
        <v>1019</v>
      </c>
      <c r="D534" s="37" t="s">
        <v>1020</v>
      </c>
      <c r="E534" s="37" t="s">
        <v>1021</v>
      </c>
      <c r="F534" s="31"/>
      <c r="G534" s="34">
        <v>1.0</v>
      </c>
      <c r="H534" s="34">
        <v>278.0</v>
      </c>
      <c r="I534" s="34"/>
      <c r="J534" s="34"/>
      <c r="K534" s="34"/>
      <c r="L534" s="34"/>
      <c r="M534" s="34"/>
      <c r="N534" s="34"/>
      <c r="O534" s="34"/>
      <c r="P534" s="34"/>
      <c r="Q534" s="34"/>
      <c r="R534" s="34"/>
      <c r="S534" s="34"/>
      <c r="T534" s="34"/>
      <c r="U534" s="34"/>
      <c r="V534" s="34"/>
    </row>
    <row r="535">
      <c r="A535" s="37">
        <v>263.0</v>
      </c>
      <c r="B535" s="37">
        <v>1.0</v>
      </c>
      <c r="C535" s="37" t="s">
        <v>1022</v>
      </c>
      <c r="D535" s="37" t="s">
        <v>1023</v>
      </c>
      <c r="E535" s="37" t="s">
        <v>717</v>
      </c>
      <c r="F535" s="37"/>
      <c r="G535" s="34">
        <v>11.0</v>
      </c>
      <c r="H535" s="34" t="s">
        <v>56</v>
      </c>
      <c r="I535" s="34"/>
      <c r="J535" s="34"/>
      <c r="K535" s="34"/>
      <c r="L535" s="34"/>
      <c r="M535" s="34"/>
      <c r="N535" s="34"/>
      <c r="O535" s="34"/>
      <c r="P535" s="34"/>
      <c r="Q535" s="34"/>
      <c r="R535" s="34"/>
      <c r="S535" s="34"/>
      <c r="T535" s="34"/>
      <c r="U535" s="34"/>
      <c r="V535" s="34"/>
    </row>
    <row r="536">
      <c r="A536" s="37">
        <v>264.0</v>
      </c>
      <c r="B536" s="37">
        <v>1.0</v>
      </c>
      <c r="C536" s="37" t="s">
        <v>1024</v>
      </c>
      <c r="D536" s="37" t="s">
        <v>1025</v>
      </c>
      <c r="E536" s="37" t="s">
        <v>717</v>
      </c>
      <c r="F536" s="31"/>
      <c r="G536" s="34">
        <v>12.0</v>
      </c>
      <c r="H536" s="34" t="s">
        <v>56</v>
      </c>
      <c r="I536" s="34"/>
      <c r="J536" s="34"/>
      <c r="K536" s="34"/>
      <c r="L536" s="34"/>
      <c r="M536" s="34"/>
      <c r="N536" s="34"/>
      <c r="O536" s="34"/>
      <c r="P536" s="34"/>
      <c r="Q536" s="34"/>
      <c r="R536" s="34"/>
      <c r="S536" s="34"/>
      <c r="T536" s="34"/>
      <c r="U536" s="34"/>
      <c r="V536" s="34"/>
    </row>
    <row r="537">
      <c r="A537" s="37">
        <v>265.0</v>
      </c>
      <c r="B537" s="37">
        <v>1.0</v>
      </c>
      <c r="C537" s="37" t="s">
        <v>958</v>
      </c>
      <c r="D537" s="37" t="s">
        <v>959</v>
      </c>
      <c r="E537" s="37" t="s">
        <v>717</v>
      </c>
      <c r="F537" s="31"/>
      <c r="G537" s="34">
        <v>13.0</v>
      </c>
      <c r="H537" s="34" t="s">
        <v>56</v>
      </c>
      <c r="I537" s="34"/>
      <c r="J537" s="34"/>
      <c r="K537" s="34"/>
      <c r="L537" s="34"/>
      <c r="M537" s="34"/>
      <c r="N537" s="34"/>
      <c r="O537" s="34"/>
      <c r="P537" s="34"/>
      <c r="Q537" s="34"/>
      <c r="R537" s="34"/>
      <c r="S537" s="34"/>
      <c r="T537" s="34"/>
      <c r="U537" s="34"/>
      <c r="V537" s="34"/>
    </row>
    <row r="538">
      <c r="A538" s="37">
        <v>266.0</v>
      </c>
      <c r="B538" s="37">
        <v>1.0</v>
      </c>
      <c r="C538" s="37" t="s">
        <v>1026</v>
      </c>
      <c r="D538" s="37" t="s">
        <v>959</v>
      </c>
      <c r="E538" s="37" t="s">
        <v>717</v>
      </c>
      <c r="F538" s="31"/>
      <c r="G538" s="34">
        <v>14.0</v>
      </c>
      <c r="H538" s="34" t="s">
        <v>56</v>
      </c>
      <c r="I538" s="34"/>
      <c r="J538" s="34"/>
      <c r="K538" s="34"/>
      <c r="L538" s="34"/>
      <c r="M538" s="34"/>
      <c r="N538" s="34"/>
      <c r="O538" s="34"/>
      <c r="P538" s="34"/>
      <c r="Q538" s="34"/>
      <c r="R538" s="34"/>
      <c r="S538" s="34"/>
      <c r="T538" s="34"/>
      <c r="U538" s="34"/>
      <c r="V538" s="34"/>
    </row>
    <row r="539">
      <c r="A539" s="37">
        <v>266.0</v>
      </c>
      <c r="B539" s="37">
        <v>2.0</v>
      </c>
      <c r="C539" s="31"/>
      <c r="D539" s="37" t="s">
        <v>1027</v>
      </c>
      <c r="E539" s="37" t="s">
        <v>736</v>
      </c>
      <c r="F539" s="37"/>
      <c r="G539" s="34">
        <v>7.0</v>
      </c>
      <c r="H539" s="34" t="s">
        <v>56</v>
      </c>
      <c r="I539" s="34"/>
      <c r="J539" s="34"/>
      <c r="K539" s="34"/>
      <c r="L539" s="34"/>
      <c r="M539" s="34"/>
      <c r="N539" s="34"/>
      <c r="O539" s="34"/>
      <c r="P539" s="34"/>
      <c r="Q539" s="34"/>
      <c r="R539" s="34"/>
      <c r="S539" s="34"/>
      <c r="T539" s="34"/>
      <c r="U539" s="34"/>
      <c r="V539" s="34"/>
    </row>
    <row r="540">
      <c r="A540" s="37">
        <v>267.0</v>
      </c>
      <c r="B540" s="37">
        <v>1.0</v>
      </c>
      <c r="C540" s="37" t="s">
        <v>1028</v>
      </c>
      <c r="D540" s="37" t="s">
        <v>1029</v>
      </c>
      <c r="E540" s="37" t="s">
        <v>717</v>
      </c>
      <c r="F540" s="37"/>
      <c r="G540" s="34">
        <v>15.0</v>
      </c>
      <c r="H540" s="34" t="s">
        <v>56</v>
      </c>
      <c r="I540" s="34"/>
      <c r="J540" s="34"/>
      <c r="K540" s="34"/>
      <c r="L540" s="34"/>
      <c r="M540" s="34"/>
      <c r="N540" s="34"/>
      <c r="O540" s="34"/>
      <c r="P540" s="34"/>
      <c r="Q540" s="34"/>
      <c r="R540" s="34"/>
      <c r="S540" s="34"/>
      <c r="T540" s="34"/>
      <c r="U540" s="34"/>
      <c r="V540" s="34"/>
    </row>
    <row r="541">
      <c r="A541" s="37">
        <v>268.0</v>
      </c>
      <c r="B541" s="37">
        <v>1.0</v>
      </c>
      <c r="C541" s="37" t="s">
        <v>1030</v>
      </c>
      <c r="D541" s="37" t="s">
        <v>828</v>
      </c>
      <c r="E541" s="28" t="s">
        <v>829</v>
      </c>
      <c r="F541" s="37"/>
      <c r="G541" s="34">
        <v>2.0</v>
      </c>
      <c r="H541" s="34" t="s">
        <v>56</v>
      </c>
      <c r="I541" s="34"/>
      <c r="J541" s="34"/>
      <c r="K541" s="34"/>
      <c r="L541" s="34"/>
      <c r="M541" s="34"/>
      <c r="N541" s="34"/>
      <c r="O541" s="34"/>
      <c r="P541" s="34"/>
      <c r="Q541" s="34"/>
      <c r="R541" s="34"/>
      <c r="S541" s="34"/>
      <c r="T541" s="34"/>
      <c r="U541" s="34"/>
      <c r="V541" s="34"/>
    </row>
    <row r="542">
      <c r="A542" s="37">
        <v>269.0</v>
      </c>
      <c r="B542" s="37">
        <v>1.0</v>
      </c>
      <c r="C542" s="37" t="s">
        <v>1031</v>
      </c>
      <c r="D542" s="37" t="s">
        <v>1032</v>
      </c>
      <c r="E542" s="37" t="s">
        <v>1033</v>
      </c>
      <c r="F542" s="31"/>
      <c r="G542" s="34">
        <v>1.0</v>
      </c>
      <c r="H542" s="34">
        <v>279.0</v>
      </c>
      <c r="I542" s="34"/>
      <c r="J542" s="34"/>
      <c r="K542" s="34"/>
      <c r="L542" s="34"/>
      <c r="M542" s="34"/>
      <c r="N542" s="34"/>
      <c r="O542" s="34"/>
      <c r="P542" s="34"/>
      <c r="Q542" s="34"/>
      <c r="R542" s="34"/>
      <c r="S542" s="34"/>
      <c r="T542" s="34"/>
      <c r="U542" s="34"/>
      <c r="V542" s="34"/>
    </row>
    <row r="543">
      <c r="A543" s="37">
        <v>269.0</v>
      </c>
      <c r="B543" s="37">
        <v>2.0</v>
      </c>
      <c r="C543" s="31"/>
      <c r="D543" s="37" t="s">
        <v>1034</v>
      </c>
      <c r="E543" s="37" t="s">
        <v>1035</v>
      </c>
      <c r="F543" s="31"/>
      <c r="G543" s="34">
        <v>1.0</v>
      </c>
      <c r="H543" s="34">
        <v>280.0</v>
      </c>
      <c r="I543" s="34"/>
      <c r="J543" s="34"/>
      <c r="K543" s="34"/>
      <c r="L543" s="34"/>
      <c r="M543" s="34"/>
      <c r="N543" s="34"/>
      <c r="O543" s="34"/>
      <c r="P543" s="34"/>
      <c r="Q543" s="34"/>
      <c r="R543" s="34"/>
      <c r="S543" s="34"/>
      <c r="T543" s="34"/>
      <c r="U543" s="34"/>
      <c r="V543" s="34"/>
    </row>
    <row r="544">
      <c r="A544" s="37">
        <v>270.0</v>
      </c>
      <c r="B544" s="37">
        <v>1.0</v>
      </c>
      <c r="C544" s="37" t="s">
        <v>1036</v>
      </c>
      <c r="D544" s="37" t="s">
        <v>1037</v>
      </c>
      <c r="E544" s="37" t="s">
        <v>1038</v>
      </c>
      <c r="F544" s="31"/>
      <c r="G544" s="34">
        <v>1.0</v>
      </c>
      <c r="H544" s="34">
        <v>281.0</v>
      </c>
      <c r="I544" s="34"/>
      <c r="J544" s="34"/>
      <c r="K544" s="34"/>
      <c r="L544" s="34"/>
      <c r="M544" s="34"/>
      <c r="N544" s="34"/>
      <c r="O544" s="34"/>
      <c r="P544" s="34"/>
      <c r="Q544" s="34"/>
      <c r="R544" s="34"/>
      <c r="S544" s="34"/>
      <c r="T544" s="34"/>
      <c r="U544" s="34"/>
      <c r="V544" s="34"/>
    </row>
    <row r="545">
      <c r="A545" s="37">
        <v>271.0</v>
      </c>
      <c r="B545" s="37">
        <v>1.0</v>
      </c>
      <c r="C545" s="37" t="s">
        <v>1039</v>
      </c>
      <c r="D545" s="37" t="s">
        <v>1040</v>
      </c>
      <c r="E545" s="37" t="s">
        <v>1041</v>
      </c>
      <c r="F545" s="31"/>
      <c r="G545" s="34">
        <v>1.0</v>
      </c>
      <c r="H545" s="34">
        <v>282.0</v>
      </c>
      <c r="I545" s="34"/>
      <c r="J545" s="34"/>
      <c r="K545" s="34"/>
      <c r="L545" s="34"/>
      <c r="M545" s="34"/>
      <c r="N545" s="34"/>
      <c r="O545" s="34"/>
      <c r="P545" s="34"/>
      <c r="Q545" s="34"/>
      <c r="R545" s="34"/>
      <c r="S545" s="34"/>
      <c r="T545" s="34"/>
      <c r="U545" s="34"/>
      <c r="V545" s="34"/>
    </row>
    <row r="546">
      <c r="A546" s="37">
        <v>272.0</v>
      </c>
      <c r="B546" s="37">
        <v>1.0</v>
      </c>
      <c r="C546" s="37" t="s">
        <v>1042</v>
      </c>
      <c r="D546" s="37" t="s">
        <v>1043</v>
      </c>
      <c r="E546" s="37" t="s">
        <v>1044</v>
      </c>
      <c r="F546" s="31"/>
      <c r="G546" s="34">
        <v>1.0</v>
      </c>
      <c r="H546" s="34">
        <v>283.0</v>
      </c>
      <c r="I546" s="34"/>
      <c r="J546" s="34"/>
      <c r="K546" s="34"/>
      <c r="L546" s="34"/>
      <c r="M546" s="34"/>
      <c r="N546" s="34"/>
      <c r="O546" s="34"/>
      <c r="P546" s="34"/>
      <c r="Q546" s="34"/>
      <c r="R546" s="34"/>
      <c r="S546" s="34"/>
      <c r="T546" s="34"/>
      <c r="U546" s="34"/>
      <c r="V546" s="34"/>
    </row>
    <row r="547">
      <c r="A547" s="37">
        <v>273.0</v>
      </c>
      <c r="B547" s="37">
        <v>1.0</v>
      </c>
      <c r="C547" s="37" t="s">
        <v>1045</v>
      </c>
      <c r="D547" s="37" t="s">
        <v>1046</v>
      </c>
      <c r="E547" s="37" t="s">
        <v>1047</v>
      </c>
      <c r="F547" s="31"/>
      <c r="G547" s="34">
        <v>1.0</v>
      </c>
      <c r="H547" s="34">
        <v>284.0</v>
      </c>
      <c r="I547" s="34"/>
      <c r="J547" s="34"/>
      <c r="K547" s="34"/>
      <c r="L547" s="34"/>
      <c r="M547" s="34"/>
      <c r="N547" s="34"/>
      <c r="O547" s="34"/>
      <c r="P547" s="34"/>
      <c r="Q547" s="34"/>
      <c r="R547" s="34"/>
      <c r="S547" s="34"/>
      <c r="T547" s="34"/>
      <c r="U547" s="34"/>
      <c r="V547" s="34"/>
    </row>
    <row r="548">
      <c r="A548" s="37">
        <v>273.0</v>
      </c>
      <c r="B548" s="37">
        <v>2.0</v>
      </c>
      <c r="C548" s="31"/>
      <c r="D548" s="37" t="s">
        <v>1048</v>
      </c>
      <c r="E548" s="37" t="s">
        <v>1049</v>
      </c>
      <c r="F548" s="31"/>
      <c r="G548" s="34">
        <v>1.0</v>
      </c>
      <c r="H548" s="34">
        <v>285.0</v>
      </c>
      <c r="I548" s="34"/>
      <c r="J548" s="34"/>
      <c r="K548" s="34"/>
      <c r="L548" s="34"/>
      <c r="M548" s="34"/>
      <c r="N548" s="34"/>
      <c r="O548" s="34"/>
      <c r="P548" s="34"/>
      <c r="Q548" s="34"/>
      <c r="R548" s="34"/>
      <c r="S548" s="34"/>
      <c r="T548" s="34"/>
      <c r="U548" s="34"/>
      <c r="V548" s="34"/>
    </row>
    <row r="549">
      <c r="A549" s="37">
        <v>273.0</v>
      </c>
      <c r="B549" s="37">
        <v>3.0</v>
      </c>
      <c r="C549" s="31"/>
      <c r="D549" s="37" t="s">
        <v>1050</v>
      </c>
      <c r="E549" s="37" t="s">
        <v>1051</v>
      </c>
      <c r="F549" s="31"/>
      <c r="G549" s="34">
        <v>1.0</v>
      </c>
      <c r="H549" s="34">
        <v>286.0</v>
      </c>
      <c r="I549" s="34"/>
      <c r="J549" s="34"/>
      <c r="K549" s="34"/>
      <c r="L549" s="34"/>
      <c r="M549" s="34"/>
      <c r="N549" s="34"/>
      <c r="O549" s="34"/>
      <c r="P549" s="34"/>
      <c r="Q549" s="34"/>
      <c r="R549" s="34"/>
      <c r="S549" s="34"/>
      <c r="T549" s="34"/>
      <c r="U549" s="34"/>
      <c r="V549" s="34"/>
    </row>
    <row r="550">
      <c r="A550" s="37">
        <v>274.0</v>
      </c>
      <c r="B550" s="37">
        <v>1.0</v>
      </c>
      <c r="C550" s="37" t="s">
        <v>1052</v>
      </c>
      <c r="D550" s="37" t="s">
        <v>1053</v>
      </c>
      <c r="E550" s="37" t="s">
        <v>1054</v>
      </c>
      <c r="F550" s="31"/>
      <c r="G550" s="34">
        <v>1.0</v>
      </c>
      <c r="H550" s="34">
        <v>287.0</v>
      </c>
      <c r="I550" s="34"/>
      <c r="J550" s="34"/>
      <c r="K550" s="34"/>
      <c r="L550" s="34"/>
      <c r="M550" s="34"/>
      <c r="N550" s="34"/>
      <c r="O550" s="34"/>
      <c r="P550" s="34"/>
      <c r="Q550" s="34"/>
      <c r="R550" s="34"/>
      <c r="S550" s="34"/>
      <c r="T550" s="34"/>
      <c r="U550" s="34"/>
      <c r="V550" s="34"/>
    </row>
    <row r="551">
      <c r="A551" s="37">
        <v>275.0</v>
      </c>
      <c r="B551" s="37">
        <v>1.0</v>
      </c>
      <c r="C551" s="37" t="s">
        <v>1055</v>
      </c>
      <c r="D551" s="37" t="s">
        <v>1056</v>
      </c>
      <c r="E551" s="37" t="s">
        <v>1057</v>
      </c>
      <c r="F551" s="31"/>
      <c r="G551" s="34">
        <v>1.0</v>
      </c>
      <c r="H551" s="34">
        <v>288.0</v>
      </c>
      <c r="I551" s="34"/>
      <c r="J551" s="34"/>
      <c r="K551" s="34"/>
      <c r="L551" s="34"/>
      <c r="M551" s="34"/>
      <c r="N551" s="34"/>
      <c r="O551" s="34"/>
      <c r="P551" s="34"/>
      <c r="Q551" s="34"/>
      <c r="R551" s="34"/>
      <c r="S551" s="34"/>
      <c r="T551" s="34"/>
      <c r="U551" s="34"/>
      <c r="V551" s="34"/>
    </row>
    <row r="552">
      <c r="A552" s="37">
        <v>276.0</v>
      </c>
      <c r="B552" s="37">
        <v>1.0</v>
      </c>
      <c r="C552" s="37" t="s">
        <v>1058</v>
      </c>
      <c r="D552" s="37" t="s">
        <v>1059</v>
      </c>
      <c r="E552" s="37" t="s">
        <v>1060</v>
      </c>
      <c r="F552" s="31"/>
      <c r="G552" s="34">
        <v>1.0</v>
      </c>
      <c r="H552" s="34">
        <v>289.0</v>
      </c>
      <c r="I552" s="34"/>
      <c r="J552" s="34"/>
      <c r="K552" s="34"/>
      <c r="L552" s="34"/>
      <c r="M552" s="34"/>
      <c r="N552" s="34"/>
      <c r="O552" s="34"/>
      <c r="P552" s="34"/>
      <c r="Q552" s="34"/>
      <c r="R552" s="34"/>
      <c r="S552" s="34"/>
      <c r="T552" s="34"/>
      <c r="U552" s="34"/>
      <c r="V552" s="34"/>
    </row>
    <row r="553">
      <c r="A553" s="37">
        <v>276.0</v>
      </c>
      <c r="B553" s="37">
        <v>2.0</v>
      </c>
      <c r="C553" s="31"/>
      <c r="D553" s="37" t="s">
        <v>1061</v>
      </c>
      <c r="E553" s="37" t="s">
        <v>1062</v>
      </c>
      <c r="F553" s="31"/>
      <c r="G553" s="34">
        <v>1.0</v>
      </c>
      <c r="H553" s="34">
        <v>290.0</v>
      </c>
      <c r="I553" s="34"/>
      <c r="J553" s="34"/>
      <c r="K553" s="34"/>
      <c r="L553" s="34"/>
      <c r="M553" s="34"/>
      <c r="N553" s="34"/>
      <c r="O553" s="34"/>
      <c r="P553" s="34"/>
      <c r="Q553" s="34"/>
      <c r="R553" s="34"/>
      <c r="S553" s="34"/>
      <c r="T553" s="34"/>
      <c r="U553" s="34"/>
      <c r="V553" s="34"/>
    </row>
    <row r="554">
      <c r="A554" s="37">
        <v>276.0</v>
      </c>
      <c r="B554" s="37">
        <v>3.0</v>
      </c>
      <c r="C554" s="31"/>
      <c r="D554" s="37" t="s">
        <v>1063</v>
      </c>
      <c r="E554" s="37" t="s">
        <v>1064</v>
      </c>
      <c r="F554" s="31"/>
      <c r="G554" s="34">
        <v>1.0</v>
      </c>
      <c r="H554" s="34">
        <v>291.0</v>
      </c>
      <c r="I554" s="34"/>
      <c r="J554" s="34"/>
      <c r="K554" s="34"/>
      <c r="L554" s="34"/>
      <c r="M554" s="34"/>
      <c r="N554" s="34"/>
      <c r="O554" s="34"/>
      <c r="P554" s="34"/>
      <c r="Q554" s="34"/>
      <c r="R554" s="34"/>
      <c r="S554" s="34"/>
      <c r="T554" s="34"/>
      <c r="U554" s="34"/>
      <c r="V554" s="34"/>
    </row>
    <row r="555">
      <c r="A555" s="37">
        <v>277.0</v>
      </c>
      <c r="B555" s="37">
        <v>1.0</v>
      </c>
      <c r="C555" s="37" t="s">
        <v>1065</v>
      </c>
      <c r="D555" s="37" t="s">
        <v>1066</v>
      </c>
      <c r="E555" s="37" t="s">
        <v>1067</v>
      </c>
      <c r="F555" s="31"/>
      <c r="G555" s="34">
        <v>1.0</v>
      </c>
      <c r="H555" s="34">
        <v>292.0</v>
      </c>
      <c r="I555" s="34"/>
      <c r="J555" s="34"/>
      <c r="K555" s="34"/>
      <c r="L555" s="34"/>
      <c r="M555" s="34"/>
      <c r="N555" s="34"/>
      <c r="O555" s="34"/>
      <c r="P555" s="34"/>
      <c r="Q555" s="34"/>
      <c r="R555" s="34"/>
      <c r="S555" s="34"/>
      <c r="T555" s="34"/>
      <c r="U555" s="34"/>
      <c r="V555" s="34"/>
    </row>
    <row r="556">
      <c r="A556" s="37">
        <v>277.0</v>
      </c>
      <c r="B556" s="37">
        <v>2.0</v>
      </c>
      <c r="C556" s="31"/>
      <c r="D556" s="37" t="s">
        <v>1068</v>
      </c>
      <c r="E556" s="37" t="s">
        <v>1069</v>
      </c>
      <c r="F556" s="31"/>
      <c r="G556" s="34">
        <v>1.0</v>
      </c>
      <c r="H556" s="34">
        <v>293.0</v>
      </c>
      <c r="I556" s="34"/>
      <c r="J556" s="34"/>
      <c r="K556" s="34"/>
      <c r="L556" s="34"/>
      <c r="M556" s="34"/>
      <c r="N556" s="34"/>
      <c r="O556" s="34"/>
      <c r="P556" s="34"/>
      <c r="Q556" s="34"/>
      <c r="R556" s="34"/>
      <c r="S556" s="34"/>
      <c r="T556" s="34"/>
      <c r="U556" s="34"/>
      <c r="V556" s="34"/>
    </row>
    <row r="557">
      <c r="A557" s="37">
        <v>278.0</v>
      </c>
      <c r="B557" s="37">
        <v>1.0</v>
      </c>
      <c r="C557" s="37" t="s">
        <v>1070</v>
      </c>
      <c r="D557" s="37" t="s">
        <v>1071</v>
      </c>
      <c r="E557" s="37" t="s">
        <v>1072</v>
      </c>
      <c r="F557" s="31"/>
      <c r="G557" s="34">
        <v>1.0</v>
      </c>
      <c r="H557" s="34">
        <v>294.0</v>
      </c>
      <c r="I557" s="34"/>
      <c r="J557" s="34"/>
      <c r="K557" s="34"/>
      <c r="L557" s="34"/>
      <c r="M557" s="34"/>
      <c r="N557" s="34"/>
      <c r="O557" s="34"/>
      <c r="P557" s="34"/>
      <c r="Q557" s="34"/>
      <c r="R557" s="34"/>
      <c r="S557" s="34"/>
      <c r="T557" s="34"/>
      <c r="U557" s="34"/>
      <c r="V557" s="34"/>
    </row>
    <row r="558">
      <c r="A558" s="37">
        <v>279.0</v>
      </c>
      <c r="B558" s="37">
        <v>1.0</v>
      </c>
      <c r="C558" s="37" t="s">
        <v>1073</v>
      </c>
      <c r="D558" s="37" t="s">
        <v>1074</v>
      </c>
      <c r="E558" s="28" t="s">
        <v>857</v>
      </c>
      <c r="F558" s="37"/>
      <c r="G558" s="34">
        <v>2.0</v>
      </c>
      <c r="H558" s="34" t="s">
        <v>56</v>
      </c>
      <c r="I558" s="34"/>
      <c r="J558" s="34"/>
      <c r="K558" s="34"/>
      <c r="L558" s="34"/>
      <c r="M558" s="34"/>
      <c r="N558" s="34"/>
      <c r="O558" s="34"/>
      <c r="P558" s="34"/>
      <c r="Q558" s="34"/>
      <c r="R558" s="34"/>
      <c r="S558" s="34"/>
      <c r="T558" s="34"/>
      <c r="U558" s="34"/>
      <c r="V558" s="34"/>
    </row>
    <row r="559">
      <c r="A559" s="37">
        <v>280.0</v>
      </c>
      <c r="B559" s="37">
        <v>1.0</v>
      </c>
      <c r="C559" s="37" t="s">
        <v>1075</v>
      </c>
      <c r="D559" s="37" t="s">
        <v>1076</v>
      </c>
      <c r="E559" s="37" t="s">
        <v>721</v>
      </c>
      <c r="F559" s="37"/>
      <c r="G559" s="34">
        <v>2.0</v>
      </c>
      <c r="H559" s="34" t="s">
        <v>56</v>
      </c>
      <c r="I559" s="34"/>
      <c r="J559" s="34"/>
      <c r="K559" s="34"/>
      <c r="L559" s="34"/>
      <c r="M559" s="34"/>
      <c r="N559" s="34"/>
      <c r="O559" s="34"/>
      <c r="P559" s="34"/>
      <c r="Q559" s="34"/>
      <c r="R559" s="34"/>
      <c r="S559" s="34"/>
      <c r="T559" s="34"/>
      <c r="U559" s="34"/>
      <c r="V559" s="34"/>
    </row>
    <row r="560">
      <c r="A560" s="37">
        <v>280.0</v>
      </c>
      <c r="B560" s="37">
        <v>2.0</v>
      </c>
      <c r="C560" s="31"/>
      <c r="D560" s="37" t="s">
        <v>1077</v>
      </c>
      <c r="E560" s="28" t="s">
        <v>526</v>
      </c>
      <c r="F560" s="37"/>
      <c r="G560" s="34">
        <v>4.0</v>
      </c>
      <c r="H560" s="34" t="s">
        <v>56</v>
      </c>
      <c r="I560" s="34"/>
      <c r="J560" s="34"/>
      <c r="K560" s="34"/>
      <c r="L560" s="34"/>
      <c r="M560" s="34"/>
      <c r="N560" s="34"/>
      <c r="O560" s="34"/>
      <c r="P560" s="34"/>
      <c r="Q560" s="34"/>
      <c r="R560" s="34"/>
      <c r="S560" s="34"/>
      <c r="T560" s="34"/>
      <c r="U560" s="34"/>
      <c r="V560" s="34"/>
    </row>
    <row r="561">
      <c r="A561" s="37">
        <v>280.0</v>
      </c>
      <c r="B561" s="37">
        <v>3.0</v>
      </c>
      <c r="C561" s="31"/>
      <c r="D561" s="37" t="s">
        <v>1078</v>
      </c>
      <c r="E561" s="37" t="s">
        <v>1079</v>
      </c>
      <c r="F561" s="31"/>
      <c r="G561" s="34">
        <v>1.0</v>
      </c>
      <c r="H561" s="34">
        <v>295.0</v>
      </c>
      <c r="I561" s="34"/>
      <c r="J561" s="34"/>
      <c r="K561" s="34"/>
      <c r="L561" s="34"/>
      <c r="M561" s="34"/>
      <c r="N561" s="34"/>
      <c r="O561" s="34"/>
      <c r="P561" s="34"/>
      <c r="Q561" s="34"/>
      <c r="R561" s="34"/>
      <c r="S561" s="34"/>
      <c r="T561" s="34"/>
      <c r="U561" s="34"/>
      <c r="V561" s="34"/>
    </row>
    <row r="562">
      <c r="A562" s="37">
        <v>280.0</v>
      </c>
      <c r="B562" s="37">
        <v>4.0</v>
      </c>
      <c r="C562" s="31"/>
      <c r="D562" s="37" t="s">
        <v>1080</v>
      </c>
      <c r="E562" s="37" t="s">
        <v>466</v>
      </c>
      <c r="F562" s="37"/>
      <c r="G562" s="34">
        <v>3.0</v>
      </c>
      <c r="H562" s="34" t="s">
        <v>56</v>
      </c>
      <c r="I562" s="34"/>
      <c r="J562" s="34"/>
      <c r="K562" s="34"/>
      <c r="L562" s="34"/>
      <c r="M562" s="34"/>
      <c r="N562" s="34"/>
      <c r="O562" s="34"/>
      <c r="P562" s="34"/>
      <c r="Q562" s="34"/>
      <c r="R562" s="34"/>
      <c r="S562" s="34"/>
      <c r="T562" s="34"/>
      <c r="U562" s="34"/>
      <c r="V562" s="34"/>
    </row>
    <row r="563">
      <c r="A563" s="37">
        <v>280.0</v>
      </c>
      <c r="B563" s="37">
        <v>5.0</v>
      </c>
      <c r="C563" s="31"/>
      <c r="D563" s="37" t="s">
        <v>1081</v>
      </c>
      <c r="E563" s="37" t="s">
        <v>470</v>
      </c>
      <c r="F563" s="37"/>
      <c r="G563" s="34">
        <v>2.0</v>
      </c>
      <c r="H563" s="34" t="s">
        <v>56</v>
      </c>
      <c r="I563" s="34"/>
      <c r="J563" s="34"/>
      <c r="K563" s="34"/>
      <c r="L563" s="34"/>
      <c r="M563" s="34"/>
      <c r="N563" s="34"/>
      <c r="O563" s="34"/>
      <c r="P563" s="34"/>
      <c r="Q563" s="34"/>
      <c r="R563" s="34"/>
      <c r="S563" s="34"/>
      <c r="T563" s="34"/>
      <c r="U563" s="34"/>
      <c r="V563" s="34"/>
    </row>
    <row r="564">
      <c r="A564" s="37">
        <v>280.0</v>
      </c>
      <c r="B564" s="37">
        <v>6.0</v>
      </c>
      <c r="C564" s="31"/>
      <c r="D564" s="37" t="s">
        <v>471</v>
      </c>
      <c r="E564" s="28" t="s">
        <v>96</v>
      </c>
      <c r="F564" s="37"/>
      <c r="G564" s="34">
        <v>10.0</v>
      </c>
      <c r="H564" s="34" t="s">
        <v>56</v>
      </c>
      <c r="I564" s="34"/>
      <c r="J564" s="34"/>
      <c r="K564" s="34"/>
      <c r="L564" s="34"/>
      <c r="M564" s="34"/>
      <c r="N564" s="34"/>
      <c r="O564" s="34"/>
      <c r="P564" s="34"/>
      <c r="Q564" s="34"/>
      <c r="R564" s="34"/>
      <c r="S564" s="34"/>
      <c r="T564" s="34"/>
      <c r="U564" s="34"/>
      <c r="V564" s="34"/>
    </row>
    <row r="565">
      <c r="A565" s="37">
        <v>280.0</v>
      </c>
      <c r="B565" s="37">
        <v>7.0</v>
      </c>
      <c r="C565" s="31"/>
      <c r="D565" s="37" t="s">
        <v>1082</v>
      </c>
      <c r="E565" s="37" t="s">
        <v>1083</v>
      </c>
      <c r="F565" s="31"/>
      <c r="G565" s="34">
        <v>1.0</v>
      </c>
      <c r="H565" s="34">
        <v>296.0</v>
      </c>
      <c r="I565" s="34"/>
      <c r="J565" s="34"/>
      <c r="K565" s="34"/>
      <c r="L565" s="34"/>
      <c r="M565" s="34"/>
      <c r="N565" s="34"/>
      <c r="O565" s="34"/>
      <c r="P565" s="34"/>
      <c r="Q565" s="34"/>
      <c r="R565" s="34"/>
      <c r="S565" s="34"/>
      <c r="T565" s="34"/>
      <c r="U565" s="34"/>
      <c r="V565" s="34"/>
    </row>
    <row r="566">
      <c r="A566" s="37">
        <v>280.0</v>
      </c>
      <c r="B566" s="37">
        <v>8.0</v>
      </c>
      <c r="C566" s="31"/>
      <c r="D566" s="37" t="s">
        <v>1084</v>
      </c>
      <c r="E566" s="37" t="s">
        <v>1085</v>
      </c>
      <c r="F566" s="31"/>
      <c r="G566" s="34">
        <v>1.0</v>
      </c>
      <c r="H566" s="34">
        <v>297.0</v>
      </c>
      <c r="I566" s="34"/>
      <c r="J566" s="34"/>
      <c r="K566" s="34"/>
      <c r="L566" s="34"/>
      <c r="M566" s="34"/>
      <c r="N566" s="34"/>
      <c r="O566" s="34"/>
      <c r="P566" s="34"/>
      <c r="Q566" s="34"/>
      <c r="R566" s="34"/>
      <c r="S566" s="34"/>
      <c r="T566" s="34"/>
      <c r="U566" s="34"/>
      <c r="V566" s="34"/>
    </row>
    <row r="567">
      <c r="A567" s="37">
        <v>280.0</v>
      </c>
      <c r="B567" s="37">
        <v>9.0</v>
      </c>
      <c r="C567" s="31"/>
      <c r="D567" s="37" t="s">
        <v>165</v>
      </c>
      <c r="E567" s="28">
        <v>1292.0</v>
      </c>
      <c r="F567" s="37"/>
      <c r="G567" s="34">
        <v>6.0</v>
      </c>
      <c r="H567" s="34" t="s">
        <v>56</v>
      </c>
      <c r="I567" s="34"/>
      <c r="J567" s="34"/>
      <c r="K567" s="34"/>
      <c r="L567" s="34"/>
      <c r="M567" s="34"/>
      <c r="N567" s="34"/>
      <c r="O567" s="34"/>
      <c r="P567" s="34"/>
      <c r="Q567" s="34"/>
      <c r="R567" s="34"/>
      <c r="S567" s="34"/>
      <c r="T567" s="34"/>
      <c r="U567" s="34"/>
      <c r="V567" s="34"/>
    </row>
    <row r="568">
      <c r="A568" s="37">
        <v>281.0</v>
      </c>
      <c r="B568" s="37">
        <v>1.0</v>
      </c>
      <c r="C568" s="37" t="s">
        <v>1086</v>
      </c>
      <c r="D568" s="37" t="s">
        <v>1087</v>
      </c>
      <c r="E568" s="37" t="s">
        <v>82</v>
      </c>
      <c r="F568" s="37"/>
      <c r="G568" s="34">
        <v>2.0</v>
      </c>
      <c r="H568" s="34" t="s">
        <v>56</v>
      </c>
      <c r="I568" s="34"/>
      <c r="J568" s="34"/>
      <c r="K568" s="34"/>
      <c r="L568" s="34"/>
      <c r="M568" s="34"/>
      <c r="N568" s="34"/>
      <c r="O568" s="34"/>
      <c r="P568" s="34"/>
      <c r="Q568" s="34"/>
      <c r="R568" s="34"/>
      <c r="S568" s="34"/>
      <c r="T568" s="34"/>
      <c r="U568" s="34"/>
      <c r="V568" s="34"/>
    </row>
    <row r="569">
      <c r="A569" s="37">
        <v>281.0</v>
      </c>
      <c r="B569" s="37">
        <v>2.0</v>
      </c>
      <c r="C569" s="31"/>
      <c r="D569" s="37" t="s">
        <v>1088</v>
      </c>
      <c r="E569" s="37" t="s">
        <v>1089</v>
      </c>
      <c r="F569" s="31"/>
      <c r="G569" s="34">
        <v>1.0</v>
      </c>
      <c r="H569" s="34">
        <v>298.0</v>
      </c>
      <c r="I569" s="34"/>
      <c r="J569" s="34"/>
      <c r="K569" s="34"/>
      <c r="L569" s="34"/>
      <c r="M569" s="34"/>
      <c r="N569" s="34"/>
      <c r="O569" s="34"/>
      <c r="P569" s="34"/>
      <c r="Q569" s="34"/>
      <c r="R569" s="34"/>
      <c r="S569" s="34"/>
      <c r="T569" s="34"/>
      <c r="U569" s="34"/>
      <c r="V569" s="34"/>
    </row>
    <row r="570">
      <c r="A570" s="37">
        <v>281.0</v>
      </c>
      <c r="B570" s="37">
        <v>3.0</v>
      </c>
      <c r="C570" s="31"/>
      <c r="D570" s="37" t="s">
        <v>1090</v>
      </c>
      <c r="E570" s="28" t="s">
        <v>1091</v>
      </c>
      <c r="F570" s="31"/>
      <c r="G570" s="34">
        <v>1.0</v>
      </c>
      <c r="H570" s="34">
        <v>299.0</v>
      </c>
      <c r="I570" s="34"/>
      <c r="J570" s="34"/>
      <c r="K570" s="34"/>
      <c r="L570" s="34"/>
      <c r="M570" s="34"/>
      <c r="N570" s="34"/>
      <c r="O570" s="34"/>
      <c r="P570" s="34"/>
      <c r="Q570" s="34"/>
      <c r="R570" s="34"/>
      <c r="S570" s="34"/>
      <c r="T570" s="34"/>
      <c r="U570" s="34"/>
      <c r="V570" s="34"/>
    </row>
    <row r="571">
      <c r="A571" s="37">
        <v>281.0</v>
      </c>
      <c r="B571" s="37">
        <v>4.0</v>
      </c>
      <c r="C571" s="31"/>
      <c r="D571" s="37" t="s">
        <v>1092</v>
      </c>
      <c r="E571" s="37" t="s">
        <v>1093</v>
      </c>
      <c r="F571" s="31"/>
      <c r="G571" s="34">
        <v>1.0</v>
      </c>
      <c r="H571" s="34">
        <v>300.0</v>
      </c>
      <c r="I571" s="34"/>
      <c r="J571" s="34"/>
      <c r="K571" s="34"/>
      <c r="L571" s="34"/>
      <c r="M571" s="34"/>
      <c r="N571" s="34"/>
      <c r="O571" s="34"/>
      <c r="P571" s="34"/>
      <c r="Q571" s="34"/>
      <c r="R571" s="34"/>
      <c r="S571" s="34"/>
      <c r="T571" s="34"/>
      <c r="U571" s="34"/>
      <c r="V571" s="34"/>
    </row>
    <row r="572">
      <c r="A572" s="37">
        <v>282.0</v>
      </c>
      <c r="B572" s="37">
        <v>1.0</v>
      </c>
      <c r="C572" s="37" t="s">
        <v>1094</v>
      </c>
      <c r="D572" s="37" t="s">
        <v>1095</v>
      </c>
      <c r="E572" s="28" t="s">
        <v>1096</v>
      </c>
      <c r="F572" s="37"/>
      <c r="G572" s="34">
        <v>1.0</v>
      </c>
      <c r="H572" s="34">
        <v>301.0</v>
      </c>
      <c r="I572" s="34"/>
      <c r="J572" s="34"/>
      <c r="K572" s="34"/>
      <c r="L572" s="34"/>
      <c r="M572" s="34"/>
      <c r="N572" s="34"/>
      <c r="O572" s="34"/>
      <c r="P572" s="34"/>
      <c r="Q572" s="34"/>
      <c r="R572" s="34"/>
      <c r="S572" s="34"/>
      <c r="T572" s="34"/>
      <c r="U572" s="34"/>
      <c r="V572" s="34"/>
    </row>
    <row r="573">
      <c r="A573" s="37">
        <v>282.0</v>
      </c>
      <c r="B573" s="37">
        <v>2.0</v>
      </c>
      <c r="C573" s="31"/>
      <c r="D573" s="37" t="s">
        <v>1097</v>
      </c>
      <c r="E573" s="37" t="s">
        <v>717</v>
      </c>
      <c r="F573" s="37"/>
      <c r="G573" s="34">
        <v>16.0</v>
      </c>
      <c r="H573" s="34" t="s">
        <v>56</v>
      </c>
      <c r="I573" s="34"/>
      <c r="J573" s="34"/>
      <c r="K573" s="34"/>
      <c r="L573" s="34"/>
      <c r="M573" s="34"/>
      <c r="N573" s="34"/>
      <c r="O573" s="34"/>
      <c r="P573" s="34"/>
      <c r="Q573" s="34"/>
      <c r="R573" s="34"/>
      <c r="S573" s="34"/>
      <c r="T573" s="34"/>
      <c r="U573" s="34"/>
      <c r="V573" s="34"/>
    </row>
    <row r="574">
      <c r="A574" s="37">
        <v>283.0</v>
      </c>
      <c r="B574" s="37">
        <v>1.0</v>
      </c>
      <c r="C574" s="37" t="s">
        <v>1098</v>
      </c>
      <c r="D574" s="37" t="s">
        <v>1099</v>
      </c>
      <c r="E574" s="28" t="s">
        <v>526</v>
      </c>
      <c r="F574" s="37"/>
      <c r="G574" s="34">
        <v>5.0</v>
      </c>
      <c r="H574" s="34" t="s">
        <v>56</v>
      </c>
      <c r="I574" s="34"/>
      <c r="J574" s="34"/>
      <c r="K574" s="34"/>
      <c r="L574" s="34"/>
      <c r="M574" s="34"/>
      <c r="N574" s="34"/>
      <c r="O574" s="34"/>
      <c r="P574" s="34"/>
      <c r="Q574" s="34"/>
      <c r="R574" s="34"/>
      <c r="S574" s="34"/>
      <c r="T574" s="34"/>
      <c r="U574" s="34"/>
      <c r="V574" s="34"/>
    </row>
    <row r="575">
      <c r="A575" s="37">
        <v>283.0</v>
      </c>
      <c r="B575" s="37">
        <v>2.0</v>
      </c>
      <c r="C575" s="31"/>
      <c r="D575" s="37" t="s">
        <v>1100</v>
      </c>
      <c r="E575" s="37" t="s">
        <v>1101</v>
      </c>
      <c r="F575" s="31"/>
      <c r="G575" s="34">
        <v>1.0</v>
      </c>
      <c r="H575" s="34">
        <v>302.0</v>
      </c>
      <c r="I575" s="34"/>
      <c r="J575" s="34"/>
      <c r="K575" s="34"/>
      <c r="L575" s="34"/>
      <c r="M575" s="34"/>
      <c r="N575" s="34"/>
      <c r="O575" s="34"/>
      <c r="P575" s="34"/>
      <c r="Q575" s="34"/>
      <c r="R575" s="34"/>
      <c r="S575" s="34"/>
      <c r="T575" s="34"/>
      <c r="U575" s="34"/>
      <c r="V575" s="34"/>
    </row>
    <row r="576">
      <c r="A576" s="37">
        <v>283.0</v>
      </c>
      <c r="B576" s="37">
        <v>3.0</v>
      </c>
      <c r="C576" s="31"/>
      <c r="D576" s="37" t="s">
        <v>1102</v>
      </c>
      <c r="E576" s="37" t="s">
        <v>1103</v>
      </c>
      <c r="F576" s="31"/>
      <c r="G576" s="34">
        <v>1.0</v>
      </c>
      <c r="H576" s="34">
        <v>303.0</v>
      </c>
      <c r="I576" s="34"/>
      <c r="J576" s="34"/>
      <c r="K576" s="34"/>
      <c r="L576" s="34"/>
      <c r="M576" s="34"/>
      <c r="N576" s="34"/>
      <c r="O576" s="34"/>
      <c r="P576" s="34"/>
      <c r="Q576" s="34"/>
      <c r="R576" s="34"/>
      <c r="S576" s="34"/>
      <c r="T576" s="34"/>
      <c r="U576" s="34"/>
      <c r="V576" s="34"/>
    </row>
    <row r="577">
      <c r="A577" s="37">
        <v>284.0</v>
      </c>
      <c r="B577" s="37">
        <v>1.0</v>
      </c>
      <c r="C577" s="37" t="s">
        <v>1104</v>
      </c>
      <c r="D577" s="37" t="s">
        <v>1105</v>
      </c>
      <c r="E577" s="28" t="s">
        <v>1096</v>
      </c>
      <c r="F577" s="37"/>
      <c r="G577" s="34">
        <v>2.0</v>
      </c>
      <c r="H577" s="34" t="s">
        <v>56</v>
      </c>
      <c r="I577" s="34"/>
      <c r="J577" s="34"/>
      <c r="K577" s="34"/>
      <c r="L577" s="34"/>
      <c r="M577" s="34"/>
      <c r="N577" s="34"/>
      <c r="O577" s="34"/>
      <c r="P577" s="34"/>
      <c r="Q577" s="34"/>
      <c r="R577" s="34"/>
      <c r="S577" s="34"/>
      <c r="T577" s="34"/>
      <c r="U577" s="34"/>
      <c r="V577" s="34"/>
    </row>
    <row r="578">
      <c r="A578" s="37">
        <v>285.0</v>
      </c>
      <c r="B578" s="37">
        <v>1.0</v>
      </c>
      <c r="C578" s="37" t="s">
        <v>1106</v>
      </c>
      <c r="D578" s="37" t="s">
        <v>1107</v>
      </c>
      <c r="E578" s="28" t="s">
        <v>1096</v>
      </c>
      <c r="F578" s="31"/>
      <c r="G578" s="34">
        <v>3.0</v>
      </c>
      <c r="H578" s="34" t="s">
        <v>56</v>
      </c>
      <c r="I578" s="34"/>
      <c r="J578" s="34"/>
      <c r="K578" s="34"/>
      <c r="L578" s="34"/>
      <c r="M578" s="34"/>
      <c r="N578" s="34"/>
      <c r="O578" s="34"/>
      <c r="P578" s="34"/>
      <c r="Q578" s="34"/>
      <c r="R578" s="34"/>
      <c r="S578" s="34"/>
      <c r="T578" s="34"/>
      <c r="U578" s="34"/>
      <c r="V578" s="34"/>
    </row>
    <row r="579">
      <c r="A579" s="37">
        <v>286.0</v>
      </c>
      <c r="B579" s="37">
        <v>1.0</v>
      </c>
      <c r="C579" s="37" t="s">
        <v>1108</v>
      </c>
      <c r="D579" s="37" t="s">
        <v>1109</v>
      </c>
      <c r="E579" s="28" t="s">
        <v>526</v>
      </c>
      <c r="F579" s="37"/>
      <c r="G579" s="34">
        <v>6.0</v>
      </c>
      <c r="H579" s="34" t="s">
        <v>56</v>
      </c>
      <c r="I579" s="34"/>
      <c r="J579" s="34"/>
      <c r="K579" s="34"/>
      <c r="L579" s="34"/>
      <c r="M579" s="34"/>
      <c r="N579" s="34"/>
      <c r="O579" s="34"/>
      <c r="P579" s="34"/>
      <c r="Q579" s="34"/>
      <c r="R579" s="34"/>
      <c r="S579" s="34"/>
      <c r="T579" s="34"/>
      <c r="U579" s="34"/>
      <c r="V579" s="34"/>
    </row>
    <row r="580">
      <c r="A580" s="37">
        <v>286.0</v>
      </c>
      <c r="B580" s="37">
        <v>2.0</v>
      </c>
      <c r="C580" s="31"/>
      <c r="D580" s="37" t="s">
        <v>1110</v>
      </c>
      <c r="E580" s="37" t="s">
        <v>1111</v>
      </c>
      <c r="F580" s="31"/>
      <c r="G580" s="34">
        <v>1.0</v>
      </c>
      <c r="H580" s="34">
        <v>304.0</v>
      </c>
      <c r="I580" s="34"/>
      <c r="J580" s="34"/>
      <c r="K580" s="34"/>
      <c r="L580" s="34"/>
      <c r="M580" s="34"/>
      <c r="N580" s="34"/>
      <c r="O580" s="34"/>
      <c r="P580" s="34"/>
      <c r="Q580" s="34"/>
      <c r="R580" s="34"/>
      <c r="S580" s="34"/>
      <c r="T580" s="34"/>
      <c r="U580" s="34"/>
      <c r="V580" s="34"/>
    </row>
    <row r="581">
      <c r="A581" s="37">
        <v>286.0</v>
      </c>
      <c r="B581" s="37">
        <v>3.0</v>
      </c>
      <c r="C581" s="31"/>
      <c r="D581" s="37" t="s">
        <v>1112</v>
      </c>
      <c r="E581" s="28" t="s">
        <v>109</v>
      </c>
      <c r="F581" s="37"/>
      <c r="G581" s="34">
        <v>3.0</v>
      </c>
      <c r="H581" s="34" t="s">
        <v>56</v>
      </c>
      <c r="I581" s="34"/>
      <c r="J581" s="34"/>
      <c r="K581" s="34"/>
      <c r="L581" s="34"/>
      <c r="M581" s="34"/>
      <c r="N581" s="34"/>
      <c r="O581" s="34"/>
      <c r="P581" s="34"/>
      <c r="Q581" s="34"/>
      <c r="R581" s="34"/>
      <c r="S581" s="34"/>
      <c r="T581" s="34"/>
      <c r="U581" s="34"/>
      <c r="V581" s="34"/>
    </row>
    <row r="582">
      <c r="A582" s="37">
        <v>287.0</v>
      </c>
      <c r="B582" s="37">
        <v>1.0</v>
      </c>
      <c r="C582" s="37" t="s">
        <v>1113</v>
      </c>
      <c r="D582" s="37" t="s">
        <v>177</v>
      </c>
      <c r="E582" s="37" t="s">
        <v>111</v>
      </c>
      <c r="F582" s="37"/>
      <c r="G582" s="34">
        <v>5.0</v>
      </c>
      <c r="H582" s="34" t="s">
        <v>56</v>
      </c>
      <c r="I582" s="34"/>
      <c r="J582" s="34"/>
      <c r="K582" s="34"/>
      <c r="L582" s="34"/>
      <c r="M582" s="34"/>
      <c r="N582" s="34"/>
      <c r="O582" s="34"/>
      <c r="P582" s="34"/>
      <c r="Q582" s="34"/>
      <c r="R582" s="34"/>
      <c r="S582" s="34"/>
      <c r="T582" s="34"/>
      <c r="U582" s="34"/>
      <c r="V582" s="34"/>
    </row>
    <row r="583">
      <c r="A583" s="37">
        <v>288.0</v>
      </c>
      <c r="B583" s="37">
        <v>1.0</v>
      </c>
      <c r="C583" s="37" t="s">
        <v>1114</v>
      </c>
      <c r="D583" s="37" t="s">
        <v>1115</v>
      </c>
      <c r="E583" s="28" t="s">
        <v>884</v>
      </c>
      <c r="F583" s="37"/>
      <c r="G583" s="34">
        <v>2.0</v>
      </c>
      <c r="H583" s="34" t="s">
        <v>56</v>
      </c>
      <c r="I583" s="34"/>
      <c r="J583" s="34"/>
      <c r="K583" s="34"/>
      <c r="L583" s="34"/>
      <c r="M583" s="34"/>
      <c r="N583" s="34"/>
      <c r="O583" s="34"/>
      <c r="P583" s="34"/>
      <c r="Q583" s="34"/>
      <c r="R583" s="34"/>
      <c r="S583" s="34"/>
      <c r="T583" s="34"/>
      <c r="U583" s="34"/>
      <c r="V583" s="34"/>
    </row>
    <row r="584">
      <c r="A584" s="37">
        <v>289.0</v>
      </c>
      <c r="B584" s="37">
        <v>1.0</v>
      </c>
      <c r="C584" s="37" t="s">
        <v>1116</v>
      </c>
      <c r="D584" s="37" t="s">
        <v>1117</v>
      </c>
      <c r="E584" s="37" t="s">
        <v>1118</v>
      </c>
      <c r="F584" s="31"/>
      <c r="G584" s="34">
        <v>1.0</v>
      </c>
      <c r="H584" s="34">
        <v>305.0</v>
      </c>
      <c r="I584" s="34"/>
      <c r="J584" s="34"/>
      <c r="K584" s="34"/>
      <c r="L584" s="34"/>
      <c r="M584" s="34"/>
      <c r="N584" s="34"/>
      <c r="O584" s="34"/>
      <c r="P584" s="34"/>
      <c r="Q584" s="34"/>
      <c r="R584" s="34"/>
      <c r="S584" s="34"/>
      <c r="T584" s="34"/>
      <c r="U584" s="34"/>
      <c r="V584" s="34"/>
    </row>
    <row r="585">
      <c r="A585" s="37">
        <v>289.0</v>
      </c>
      <c r="B585" s="37">
        <v>2.0</v>
      </c>
      <c r="C585" s="31"/>
      <c r="D585" s="37" t="s">
        <v>1119</v>
      </c>
      <c r="E585" s="37" t="s">
        <v>1120</v>
      </c>
      <c r="F585" s="31"/>
      <c r="G585" s="34">
        <v>1.0</v>
      </c>
      <c r="H585" s="34">
        <v>306.0</v>
      </c>
      <c r="I585" s="34"/>
      <c r="J585" s="34"/>
      <c r="K585" s="34"/>
      <c r="L585" s="34"/>
      <c r="M585" s="34"/>
      <c r="N585" s="34"/>
      <c r="O585" s="34"/>
      <c r="P585" s="34"/>
      <c r="Q585" s="34"/>
      <c r="R585" s="34"/>
      <c r="S585" s="34"/>
      <c r="T585" s="34"/>
      <c r="U585" s="34"/>
      <c r="V585" s="34"/>
    </row>
    <row r="586">
      <c r="A586" s="37">
        <v>290.0</v>
      </c>
      <c r="B586" s="37">
        <v>1.0</v>
      </c>
      <c r="C586" s="37" t="s">
        <v>1121</v>
      </c>
      <c r="D586" s="37" t="s">
        <v>1122</v>
      </c>
      <c r="E586" s="28" t="s">
        <v>140</v>
      </c>
      <c r="F586" s="37"/>
      <c r="G586" s="34">
        <v>2.0</v>
      </c>
      <c r="H586" s="34" t="s">
        <v>56</v>
      </c>
      <c r="I586" s="34"/>
      <c r="J586" s="34"/>
      <c r="K586" s="34"/>
      <c r="L586" s="34"/>
      <c r="M586" s="34"/>
      <c r="N586" s="34"/>
      <c r="O586" s="34"/>
      <c r="P586" s="34"/>
      <c r="Q586" s="34"/>
      <c r="R586" s="34"/>
      <c r="S586" s="34"/>
      <c r="T586" s="34"/>
      <c r="U586" s="34"/>
      <c r="V586" s="34"/>
    </row>
    <row r="587">
      <c r="A587" s="37">
        <v>291.0</v>
      </c>
      <c r="B587" s="37">
        <v>1.0</v>
      </c>
      <c r="C587" s="37" t="s">
        <v>1123</v>
      </c>
      <c r="D587" s="37" t="s">
        <v>1124</v>
      </c>
      <c r="E587" s="37" t="s">
        <v>129</v>
      </c>
      <c r="F587" s="37"/>
      <c r="G587" s="34">
        <v>10.0</v>
      </c>
      <c r="H587" s="34" t="s">
        <v>56</v>
      </c>
      <c r="I587" s="34"/>
      <c r="J587" s="34"/>
      <c r="K587" s="34"/>
      <c r="L587" s="34"/>
      <c r="M587" s="34"/>
      <c r="N587" s="34"/>
      <c r="O587" s="34"/>
      <c r="P587" s="34"/>
      <c r="Q587" s="34"/>
      <c r="R587" s="34"/>
      <c r="S587" s="34"/>
      <c r="T587" s="34"/>
      <c r="U587" s="34"/>
      <c r="V587" s="34"/>
    </row>
    <row r="588">
      <c r="A588" s="37">
        <v>291.0</v>
      </c>
      <c r="B588" s="37">
        <v>2.0</v>
      </c>
      <c r="C588" s="31"/>
      <c r="D588" s="37" t="s">
        <v>1125</v>
      </c>
      <c r="E588" s="37" t="s">
        <v>205</v>
      </c>
      <c r="F588" s="37"/>
      <c r="G588" s="34">
        <v>2.0</v>
      </c>
      <c r="H588" s="34" t="s">
        <v>56</v>
      </c>
      <c r="I588" s="34"/>
      <c r="J588" s="34"/>
      <c r="K588" s="34"/>
      <c r="L588" s="34"/>
      <c r="M588" s="34"/>
      <c r="N588" s="34"/>
      <c r="O588" s="34"/>
      <c r="P588" s="34"/>
      <c r="Q588" s="34"/>
      <c r="R588" s="34"/>
      <c r="S588" s="34"/>
      <c r="T588" s="34"/>
      <c r="U588" s="34"/>
      <c r="V588" s="34"/>
    </row>
    <row r="589">
      <c r="A589" s="37">
        <v>291.0</v>
      </c>
      <c r="B589" s="37">
        <v>3.0</v>
      </c>
      <c r="C589" s="31"/>
      <c r="D589" s="37" t="s">
        <v>1126</v>
      </c>
      <c r="E589" s="37" t="s">
        <v>195</v>
      </c>
      <c r="F589" s="37"/>
      <c r="G589" s="34">
        <v>3.0</v>
      </c>
      <c r="H589" s="34" t="s">
        <v>56</v>
      </c>
      <c r="I589" s="34"/>
      <c r="J589" s="34"/>
      <c r="K589" s="34"/>
      <c r="L589" s="34"/>
      <c r="M589" s="34"/>
      <c r="N589" s="34"/>
      <c r="O589" s="34"/>
      <c r="P589" s="34"/>
      <c r="Q589" s="34"/>
      <c r="R589" s="34"/>
      <c r="S589" s="34"/>
      <c r="T589" s="34"/>
      <c r="U589" s="34"/>
      <c r="V589" s="34"/>
    </row>
    <row r="590">
      <c r="A590" s="37">
        <v>292.0</v>
      </c>
      <c r="B590" s="37">
        <v>1.0</v>
      </c>
      <c r="C590" s="37" t="s">
        <v>1127</v>
      </c>
      <c r="D590" s="37" t="s">
        <v>1128</v>
      </c>
      <c r="E590" s="28" t="s">
        <v>140</v>
      </c>
      <c r="F590" s="37"/>
      <c r="G590" s="34">
        <v>3.0</v>
      </c>
      <c r="H590" s="34" t="s">
        <v>56</v>
      </c>
      <c r="I590" s="34"/>
      <c r="J590" s="34"/>
      <c r="K590" s="34"/>
      <c r="L590" s="34"/>
      <c r="M590" s="34"/>
      <c r="N590" s="34"/>
      <c r="O590" s="34"/>
      <c r="P590" s="34"/>
      <c r="Q590" s="34"/>
      <c r="R590" s="34"/>
      <c r="S590" s="34"/>
      <c r="T590" s="34"/>
      <c r="U590" s="34"/>
      <c r="V590" s="34"/>
    </row>
    <row r="591">
      <c r="A591" s="37">
        <v>292.0</v>
      </c>
      <c r="B591" s="37">
        <v>2.0</v>
      </c>
      <c r="C591" s="31"/>
      <c r="D591" s="37" t="s">
        <v>1129</v>
      </c>
      <c r="E591" s="28" t="s">
        <v>884</v>
      </c>
      <c r="F591" s="37"/>
      <c r="G591" s="34">
        <v>3.0</v>
      </c>
      <c r="H591" s="34" t="s">
        <v>56</v>
      </c>
      <c r="I591" s="34"/>
      <c r="J591" s="34"/>
      <c r="K591" s="34"/>
      <c r="L591" s="34"/>
      <c r="M591" s="34"/>
      <c r="N591" s="34"/>
      <c r="O591" s="34"/>
      <c r="P591" s="34"/>
      <c r="Q591" s="34"/>
      <c r="R591" s="34"/>
      <c r="S591" s="34"/>
      <c r="T591" s="34"/>
      <c r="U591" s="34"/>
      <c r="V591" s="34"/>
    </row>
    <row r="592">
      <c r="A592" s="37">
        <v>293.0</v>
      </c>
      <c r="B592" s="37">
        <v>1.0</v>
      </c>
      <c r="C592" s="37" t="s">
        <v>1130</v>
      </c>
      <c r="D592" s="37" t="s">
        <v>1131</v>
      </c>
      <c r="E592" s="28" t="s">
        <v>884</v>
      </c>
      <c r="F592" s="37"/>
      <c r="G592" s="34">
        <v>4.0</v>
      </c>
      <c r="H592" s="34" t="s">
        <v>56</v>
      </c>
      <c r="I592" s="34"/>
      <c r="J592" s="34"/>
      <c r="K592" s="34"/>
      <c r="L592" s="34"/>
      <c r="M592" s="34"/>
      <c r="N592" s="34"/>
      <c r="O592" s="34"/>
      <c r="P592" s="34"/>
      <c r="Q592" s="34"/>
      <c r="R592" s="34"/>
      <c r="S592" s="34"/>
      <c r="T592" s="34"/>
      <c r="U592" s="34"/>
      <c r="V592" s="34"/>
    </row>
    <row r="593">
      <c r="A593" s="37">
        <v>293.0</v>
      </c>
      <c r="B593" s="37">
        <v>2.0</v>
      </c>
      <c r="C593" s="31"/>
      <c r="D593" s="37" t="s">
        <v>1132</v>
      </c>
      <c r="E593" s="37" t="s">
        <v>1133</v>
      </c>
      <c r="F593" s="31"/>
      <c r="G593" s="34">
        <v>1.0</v>
      </c>
      <c r="H593" s="34">
        <v>307.0</v>
      </c>
      <c r="I593" s="34"/>
      <c r="J593" s="34"/>
      <c r="K593" s="34"/>
      <c r="L593" s="34"/>
      <c r="M593" s="34"/>
      <c r="N593" s="34"/>
      <c r="O593" s="34"/>
      <c r="P593" s="34"/>
      <c r="Q593" s="34"/>
      <c r="R593" s="34"/>
      <c r="S593" s="34"/>
      <c r="T593" s="34"/>
      <c r="U593" s="34"/>
      <c r="V593" s="34"/>
    </row>
    <row r="594">
      <c r="A594" s="37">
        <v>294.0</v>
      </c>
      <c r="B594" s="37">
        <v>1.0</v>
      </c>
      <c r="C594" s="37" t="s">
        <v>1134</v>
      </c>
      <c r="D594" s="37" t="s">
        <v>1135</v>
      </c>
      <c r="E594" s="37" t="s">
        <v>205</v>
      </c>
      <c r="F594" s="37"/>
      <c r="G594" s="34">
        <v>3.0</v>
      </c>
      <c r="H594" s="34" t="s">
        <v>56</v>
      </c>
      <c r="I594" s="34"/>
      <c r="J594" s="34"/>
      <c r="K594" s="34"/>
      <c r="L594" s="34"/>
      <c r="M594" s="34"/>
      <c r="N594" s="34"/>
      <c r="O594" s="34"/>
      <c r="P594" s="34"/>
      <c r="Q594" s="34"/>
      <c r="R594" s="34"/>
      <c r="S594" s="34"/>
      <c r="T594" s="34"/>
      <c r="U594" s="34"/>
      <c r="V594" s="34"/>
    </row>
    <row r="595">
      <c r="A595" s="37">
        <v>295.0</v>
      </c>
      <c r="B595" s="37">
        <v>1.0</v>
      </c>
      <c r="C595" s="37" t="s">
        <v>1136</v>
      </c>
      <c r="D595" s="37" t="s">
        <v>1137</v>
      </c>
      <c r="E595" s="37" t="s">
        <v>359</v>
      </c>
      <c r="F595" s="37"/>
      <c r="G595" s="34">
        <v>2.0</v>
      </c>
      <c r="H595" s="34" t="s">
        <v>56</v>
      </c>
      <c r="I595" s="34"/>
      <c r="J595" s="34"/>
      <c r="K595" s="34"/>
      <c r="L595" s="34"/>
      <c r="M595" s="34"/>
      <c r="N595" s="34"/>
      <c r="O595" s="34"/>
      <c r="P595" s="34"/>
      <c r="Q595" s="34"/>
      <c r="R595" s="34"/>
      <c r="S595" s="34"/>
      <c r="T595" s="34"/>
      <c r="U595" s="34"/>
      <c r="V595" s="34"/>
    </row>
    <row r="596">
      <c r="A596" s="37">
        <v>296.0</v>
      </c>
      <c r="B596" s="37">
        <v>1.0</v>
      </c>
      <c r="C596" s="37" t="s">
        <v>1138</v>
      </c>
      <c r="D596" s="37" t="s">
        <v>1139</v>
      </c>
      <c r="E596" s="37" t="s">
        <v>359</v>
      </c>
      <c r="F596" s="31"/>
      <c r="G596" s="34">
        <v>3.0</v>
      </c>
      <c r="H596" s="34" t="s">
        <v>56</v>
      </c>
      <c r="I596" s="34"/>
      <c r="J596" s="34"/>
      <c r="K596" s="34"/>
      <c r="L596" s="34"/>
      <c r="M596" s="34"/>
      <c r="N596" s="34"/>
      <c r="O596" s="34"/>
      <c r="P596" s="34"/>
      <c r="Q596" s="34"/>
      <c r="R596" s="34"/>
      <c r="S596" s="34"/>
      <c r="T596" s="34"/>
      <c r="U596" s="34"/>
      <c r="V596" s="34"/>
    </row>
    <row r="597">
      <c r="A597" s="37">
        <v>297.0</v>
      </c>
      <c r="B597" s="37">
        <v>1.0</v>
      </c>
      <c r="C597" s="37" t="s">
        <v>1140</v>
      </c>
      <c r="D597" s="37" t="s">
        <v>1141</v>
      </c>
      <c r="E597" s="37" t="s">
        <v>1141</v>
      </c>
      <c r="F597" s="31"/>
      <c r="G597" s="34">
        <v>1.0</v>
      </c>
      <c r="H597" s="34">
        <v>308.0</v>
      </c>
      <c r="I597" s="34"/>
      <c r="J597" s="34"/>
      <c r="K597" s="34"/>
      <c r="L597" s="34"/>
      <c r="M597" s="34"/>
      <c r="N597" s="34"/>
      <c r="O597" s="34"/>
      <c r="P597" s="34"/>
      <c r="Q597" s="34"/>
      <c r="R597" s="34"/>
      <c r="S597" s="34"/>
      <c r="T597" s="34"/>
      <c r="U597" s="34"/>
      <c r="V597" s="34"/>
    </row>
    <row r="598">
      <c r="A598" s="37">
        <v>297.0</v>
      </c>
      <c r="B598" s="37">
        <v>2.0</v>
      </c>
      <c r="C598" s="31"/>
      <c r="D598" s="37" t="s">
        <v>165</v>
      </c>
      <c r="E598" s="28">
        <v>1292.0</v>
      </c>
      <c r="F598" s="37"/>
      <c r="G598" s="34">
        <v>7.0</v>
      </c>
      <c r="H598" s="34" t="s">
        <v>56</v>
      </c>
      <c r="I598" s="34"/>
      <c r="J598" s="34"/>
      <c r="K598" s="34"/>
      <c r="L598" s="34"/>
      <c r="M598" s="34"/>
      <c r="N598" s="34"/>
      <c r="O598" s="34"/>
      <c r="P598" s="34"/>
      <c r="Q598" s="34"/>
      <c r="R598" s="34"/>
      <c r="S598" s="34"/>
      <c r="T598" s="34"/>
      <c r="U598" s="34"/>
      <c r="V598" s="34"/>
    </row>
    <row r="599">
      <c r="A599" s="37">
        <v>297.0</v>
      </c>
      <c r="B599" s="37">
        <v>3.0</v>
      </c>
      <c r="C599" s="31"/>
      <c r="D599" s="37" t="s">
        <v>1142</v>
      </c>
      <c r="E599" s="37" t="s">
        <v>496</v>
      </c>
      <c r="F599" s="37"/>
      <c r="G599" s="34">
        <v>3.0</v>
      </c>
      <c r="H599" s="34" t="s">
        <v>56</v>
      </c>
      <c r="I599" s="34"/>
      <c r="J599" s="34"/>
      <c r="K599" s="34"/>
      <c r="L599" s="34"/>
      <c r="M599" s="34"/>
      <c r="N599" s="34"/>
      <c r="O599" s="34"/>
      <c r="P599" s="34"/>
      <c r="Q599" s="34"/>
      <c r="R599" s="34"/>
      <c r="S599" s="34"/>
      <c r="T599" s="34"/>
      <c r="U599" s="34"/>
      <c r="V599" s="34"/>
    </row>
    <row r="600">
      <c r="A600" s="37">
        <v>297.0</v>
      </c>
      <c r="B600" s="37">
        <v>4.0</v>
      </c>
      <c r="C600" s="31"/>
      <c r="D600" s="37" t="s">
        <v>1143</v>
      </c>
      <c r="E600" s="37" t="s">
        <v>1144</v>
      </c>
      <c r="F600" s="31"/>
      <c r="G600" s="34">
        <v>1.0</v>
      </c>
      <c r="H600" s="34">
        <v>309.0</v>
      </c>
      <c r="I600" s="34"/>
      <c r="J600" s="34"/>
      <c r="K600" s="34"/>
      <c r="L600" s="34"/>
      <c r="M600" s="34"/>
      <c r="N600" s="34"/>
      <c r="O600" s="34"/>
      <c r="P600" s="34"/>
      <c r="Q600" s="34"/>
      <c r="R600" s="34"/>
      <c r="S600" s="34"/>
      <c r="T600" s="34"/>
      <c r="U600" s="34"/>
      <c r="V600" s="34"/>
    </row>
    <row r="601">
      <c r="A601" s="37">
        <v>298.0</v>
      </c>
      <c r="B601" s="37">
        <v>1.0</v>
      </c>
      <c r="C601" s="37" t="s">
        <v>1145</v>
      </c>
      <c r="D601" s="37" t="s">
        <v>1146</v>
      </c>
      <c r="E601" s="37" t="s">
        <v>1147</v>
      </c>
      <c r="F601" s="31"/>
      <c r="G601" s="34">
        <v>1.0</v>
      </c>
      <c r="H601" s="34">
        <v>310.0</v>
      </c>
      <c r="I601" s="34"/>
      <c r="J601" s="34"/>
      <c r="K601" s="34"/>
      <c r="L601" s="34"/>
      <c r="M601" s="34"/>
      <c r="N601" s="34"/>
      <c r="O601" s="34"/>
      <c r="P601" s="34"/>
      <c r="Q601" s="34"/>
      <c r="R601" s="34"/>
      <c r="S601" s="34"/>
      <c r="T601" s="34"/>
      <c r="U601" s="34"/>
      <c r="V601" s="34"/>
    </row>
    <row r="602">
      <c r="A602" s="37">
        <v>299.0</v>
      </c>
      <c r="B602" s="37">
        <v>1.0</v>
      </c>
      <c r="C602" s="37" t="s">
        <v>1148</v>
      </c>
      <c r="D602" s="37" t="s">
        <v>1149</v>
      </c>
      <c r="E602" s="37" t="s">
        <v>1150</v>
      </c>
      <c r="F602" s="31"/>
      <c r="G602" s="34">
        <v>1.0</v>
      </c>
      <c r="H602" s="34">
        <v>311.0</v>
      </c>
      <c r="I602" s="34"/>
      <c r="J602" s="34"/>
      <c r="K602" s="34"/>
      <c r="L602" s="34"/>
      <c r="M602" s="34"/>
      <c r="N602" s="34"/>
      <c r="O602" s="34"/>
      <c r="P602" s="34"/>
      <c r="Q602" s="34"/>
      <c r="R602" s="34"/>
      <c r="S602" s="34"/>
      <c r="T602" s="34"/>
      <c r="U602" s="34"/>
      <c r="V602" s="34"/>
    </row>
    <row r="603">
      <c r="A603" s="37">
        <v>300.0</v>
      </c>
      <c r="B603" s="37">
        <v>1.0</v>
      </c>
      <c r="C603" s="37" t="s">
        <v>1151</v>
      </c>
      <c r="D603" s="37" t="s">
        <v>1152</v>
      </c>
      <c r="E603" s="37" t="s">
        <v>101</v>
      </c>
      <c r="F603" s="37"/>
      <c r="G603" s="34">
        <v>8.0</v>
      </c>
      <c r="H603" s="34" t="s">
        <v>56</v>
      </c>
      <c r="I603" s="34"/>
      <c r="J603" s="34"/>
      <c r="K603" s="34"/>
      <c r="L603" s="34"/>
      <c r="M603" s="34"/>
      <c r="N603" s="34"/>
      <c r="O603" s="34"/>
      <c r="P603" s="34"/>
      <c r="Q603" s="34"/>
      <c r="R603" s="34"/>
      <c r="S603" s="34"/>
      <c r="T603" s="34"/>
      <c r="U603" s="34"/>
      <c r="V603" s="34"/>
    </row>
    <row r="604">
      <c r="A604" s="37">
        <v>301.0</v>
      </c>
      <c r="B604" s="37">
        <v>1.0</v>
      </c>
      <c r="C604" s="37" t="s">
        <v>1153</v>
      </c>
      <c r="D604" s="37" t="s">
        <v>1154</v>
      </c>
      <c r="E604" s="37" t="s">
        <v>1155</v>
      </c>
      <c r="F604" s="31"/>
      <c r="G604" s="34">
        <v>1.0</v>
      </c>
      <c r="H604" s="34">
        <v>312.0</v>
      </c>
      <c r="I604" s="34"/>
      <c r="J604" s="34"/>
      <c r="K604" s="34"/>
      <c r="L604" s="34"/>
      <c r="M604" s="34"/>
      <c r="N604" s="34"/>
      <c r="O604" s="34"/>
      <c r="P604" s="34"/>
      <c r="Q604" s="34"/>
      <c r="R604" s="34"/>
      <c r="S604" s="34"/>
      <c r="T604" s="34"/>
      <c r="U604" s="34"/>
      <c r="V604" s="34"/>
    </row>
    <row r="605">
      <c r="A605" s="37">
        <v>302.0</v>
      </c>
      <c r="B605" s="37">
        <v>1.0</v>
      </c>
      <c r="C605" s="37" t="s">
        <v>1156</v>
      </c>
      <c r="D605" s="37" t="s">
        <v>1157</v>
      </c>
      <c r="E605" s="37" t="s">
        <v>1158</v>
      </c>
      <c r="F605" s="31"/>
      <c r="G605" s="34">
        <v>1.0</v>
      </c>
      <c r="H605" s="34">
        <v>313.0</v>
      </c>
      <c r="I605" s="34"/>
      <c r="J605" s="34"/>
      <c r="K605" s="34"/>
      <c r="L605" s="34"/>
      <c r="M605" s="34"/>
      <c r="N605" s="34"/>
      <c r="O605" s="34"/>
      <c r="P605" s="34"/>
      <c r="Q605" s="34"/>
      <c r="R605" s="34"/>
      <c r="S605" s="34"/>
      <c r="T605" s="34"/>
      <c r="U605" s="34"/>
      <c r="V605" s="34"/>
    </row>
    <row r="606">
      <c r="A606" s="37">
        <v>303.0</v>
      </c>
      <c r="B606" s="37">
        <v>1.0</v>
      </c>
      <c r="C606" s="37" t="s">
        <v>1159</v>
      </c>
      <c r="D606" s="37" t="s">
        <v>962</v>
      </c>
      <c r="E606" s="28" t="s">
        <v>963</v>
      </c>
      <c r="F606" s="37"/>
      <c r="G606" s="34">
        <v>2.0</v>
      </c>
      <c r="H606" s="34" t="s">
        <v>56</v>
      </c>
      <c r="I606" s="34"/>
      <c r="J606" s="34"/>
      <c r="K606" s="34"/>
      <c r="L606" s="34"/>
      <c r="M606" s="34"/>
      <c r="N606" s="34"/>
      <c r="O606" s="34"/>
      <c r="P606" s="34"/>
      <c r="Q606" s="34"/>
      <c r="R606" s="34"/>
      <c r="S606" s="34"/>
      <c r="T606" s="34"/>
      <c r="U606" s="34"/>
      <c r="V606" s="34"/>
    </row>
    <row r="607">
      <c r="A607" s="37">
        <v>303.0</v>
      </c>
      <c r="B607" s="37">
        <v>2.0</v>
      </c>
      <c r="C607" s="31"/>
      <c r="D607" s="37" t="s">
        <v>1160</v>
      </c>
      <c r="E607" s="28" t="s">
        <v>267</v>
      </c>
      <c r="F607" s="31"/>
      <c r="G607" s="34">
        <v>2.0</v>
      </c>
      <c r="H607" s="34" t="s">
        <v>56</v>
      </c>
      <c r="I607" s="34"/>
      <c r="J607" s="34"/>
      <c r="K607" s="34"/>
      <c r="L607" s="34"/>
      <c r="M607" s="34"/>
      <c r="N607" s="34"/>
      <c r="O607" s="34"/>
      <c r="P607" s="34"/>
      <c r="Q607" s="34"/>
      <c r="R607" s="34"/>
      <c r="S607" s="34"/>
      <c r="T607" s="34"/>
      <c r="U607" s="34"/>
      <c r="V607" s="34"/>
    </row>
    <row r="608">
      <c r="A608" s="37">
        <v>304.0</v>
      </c>
      <c r="B608" s="37">
        <v>1.0</v>
      </c>
      <c r="C608" s="37" t="s">
        <v>1161</v>
      </c>
      <c r="D608" s="37" t="s">
        <v>1162</v>
      </c>
      <c r="E608" s="37" t="s">
        <v>1163</v>
      </c>
      <c r="F608" s="31"/>
      <c r="G608" s="34">
        <v>1.0</v>
      </c>
      <c r="H608" s="34">
        <v>314.0</v>
      </c>
      <c r="I608" s="34"/>
      <c r="J608" s="34"/>
      <c r="K608" s="34"/>
      <c r="L608" s="34"/>
      <c r="M608" s="34"/>
      <c r="N608" s="34"/>
      <c r="O608" s="34"/>
      <c r="P608" s="34"/>
      <c r="Q608" s="34"/>
      <c r="R608" s="34"/>
      <c r="S608" s="34"/>
      <c r="T608" s="34"/>
      <c r="U608" s="34"/>
      <c r="V608" s="34"/>
    </row>
    <row r="609">
      <c r="A609" s="37">
        <v>304.0</v>
      </c>
      <c r="B609" s="37">
        <v>2.0</v>
      </c>
      <c r="C609" s="31"/>
      <c r="D609" s="37" t="s">
        <v>1164</v>
      </c>
      <c r="E609" s="37" t="s">
        <v>1165</v>
      </c>
      <c r="F609" s="31"/>
      <c r="G609" s="34">
        <v>1.0</v>
      </c>
      <c r="H609" s="34">
        <v>315.0</v>
      </c>
      <c r="I609" s="34"/>
      <c r="J609" s="34"/>
      <c r="K609" s="34"/>
      <c r="L609" s="34"/>
      <c r="M609" s="34"/>
      <c r="N609" s="34"/>
      <c r="O609" s="34"/>
      <c r="P609" s="34"/>
      <c r="Q609" s="34"/>
      <c r="R609" s="34"/>
      <c r="S609" s="34"/>
      <c r="T609" s="34"/>
      <c r="U609" s="34"/>
      <c r="V609" s="34"/>
    </row>
    <row r="610">
      <c r="A610" s="37">
        <v>305.0</v>
      </c>
      <c r="B610" s="37">
        <v>1.0</v>
      </c>
      <c r="C610" s="37" t="s">
        <v>1166</v>
      </c>
      <c r="D610" s="37" t="s">
        <v>1167</v>
      </c>
      <c r="E610" s="37" t="s">
        <v>782</v>
      </c>
      <c r="F610" s="37"/>
      <c r="G610" s="34">
        <v>3.0</v>
      </c>
      <c r="H610" s="34" t="s">
        <v>56</v>
      </c>
      <c r="I610" s="34"/>
      <c r="J610" s="34"/>
      <c r="K610" s="34"/>
      <c r="L610" s="34"/>
      <c r="M610" s="34"/>
      <c r="N610" s="34"/>
      <c r="O610" s="34"/>
      <c r="P610" s="34"/>
      <c r="Q610" s="34"/>
      <c r="R610" s="34"/>
      <c r="S610" s="34"/>
      <c r="T610" s="34"/>
      <c r="U610" s="34"/>
      <c r="V610" s="34"/>
    </row>
    <row r="611">
      <c r="A611" s="37">
        <v>306.0</v>
      </c>
      <c r="B611" s="37">
        <v>1.0</v>
      </c>
      <c r="C611" s="37" t="s">
        <v>1168</v>
      </c>
      <c r="D611" s="37" t="s">
        <v>759</v>
      </c>
      <c r="E611" s="37" t="s">
        <v>486</v>
      </c>
      <c r="F611" s="37"/>
      <c r="G611" s="34">
        <v>6.0</v>
      </c>
      <c r="H611" s="34" t="s">
        <v>56</v>
      </c>
      <c r="I611" s="34"/>
      <c r="J611" s="34"/>
      <c r="K611" s="34"/>
      <c r="L611" s="34"/>
      <c r="M611" s="34"/>
      <c r="N611" s="34"/>
      <c r="O611" s="34"/>
      <c r="P611" s="34"/>
      <c r="Q611" s="34"/>
      <c r="R611" s="34"/>
      <c r="S611" s="34"/>
      <c r="T611" s="34"/>
      <c r="U611" s="34"/>
      <c r="V611" s="34"/>
    </row>
    <row r="612">
      <c r="A612" s="37">
        <v>306.0</v>
      </c>
      <c r="B612" s="37">
        <v>2.0</v>
      </c>
      <c r="C612" s="31"/>
      <c r="D612" s="37" t="s">
        <v>621</v>
      </c>
      <c r="E612" s="37" t="s">
        <v>619</v>
      </c>
      <c r="F612" s="37"/>
      <c r="G612" s="34">
        <v>3.0</v>
      </c>
      <c r="H612" s="34" t="s">
        <v>56</v>
      </c>
      <c r="I612" s="34"/>
      <c r="J612" s="34"/>
      <c r="K612" s="34"/>
      <c r="L612" s="34"/>
      <c r="M612" s="34"/>
      <c r="N612" s="34"/>
      <c r="O612" s="34"/>
      <c r="P612" s="34"/>
      <c r="Q612" s="34"/>
      <c r="R612" s="34"/>
      <c r="S612" s="34"/>
      <c r="T612" s="34"/>
      <c r="U612" s="34"/>
      <c r="V612" s="34"/>
    </row>
    <row r="613">
      <c r="A613" s="37">
        <v>307.0</v>
      </c>
      <c r="B613" s="37">
        <v>1.0</v>
      </c>
      <c r="C613" s="37" t="s">
        <v>1169</v>
      </c>
      <c r="D613" s="37" t="s">
        <v>1170</v>
      </c>
      <c r="E613" s="37" t="s">
        <v>1171</v>
      </c>
      <c r="F613" s="31"/>
      <c r="G613" s="34">
        <v>1.0</v>
      </c>
      <c r="H613" s="34">
        <v>316.0</v>
      </c>
      <c r="I613" s="34"/>
      <c r="J613" s="34"/>
      <c r="K613" s="34"/>
      <c r="L613" s="34"/>
      <c r="M613" s="34"/>
      <c r="N613" s="34"/>
      <c r="O613" s="34"/>
      <c r="P613" s="34"/>
      <c r="Q613" s="34"/>
      <c r="R613" s="34"/>
      <c r="S613" s="34"/>
      <c r="T613" s="34"/>
      <c r="U613" s="34"/>
      <c r="V613" s="34"/>
    </row>
    <row r="614">
      <c r="A614" s="37">
        <v>308.0</v>
      </c>
      <c r="B614" s="37">
        <v>1.0</v>
      </c>
      <c r="C614" s="37" t="s">
        <v>1172</v>
      </c>
      <c r="D614" s="37" t="s">
        <v>1173</v>
      </c>
      <c r="E614" s="37" t="s">
        <v>258</v>
      </c>
      <c r="F614" s="37"/>
      <c r="G614" s="34">
        <v>5.0</v>
      </c>
      <c r="H614" s="34" t="s">
        <v>56</v>
      </c>
      <c r="I614" s="34"/>
      <c r="J614" s="34"/>
      <c r="K614" s="34"/>
      <c r="L614" s="34"/>
      <c r="M614" s="34"/>
      <c r="N614" s="34"/>
      <c r="O614" s="34"/>
      <c r="P614" s="34"/>
      <c r="Q614" s="34"/>
      <c r="R614" s="34"/>
      <c r="S614" s="34"/>
      <c r="T614" s="34"/>
      <c r="U614" s="34"/>
      <c r="V614" s="34"/>
    </row>
    <row r="615">
      <c r="A615" s="37">
        <v>308.0</v>
      </c>
      <c r="B615" s="37">
        <v>2.0</v>
      </c>
      <c r="C615" s="31"/>
      <c r="D615" s="37" t="s">
        <v>398</v>
      </c>
      <c r="E615" s="28" t="s">
        <v>184</v>
      </c>
      <c r="F615" s="37"/>
      <c r="G615" s="34">
        <v>6.0</v>
      </c>
      <c r="H615" s="34" t="s">
        <v>56</v>
      </c>
      <c r="I615" s="34"/>
      <c r="J615" s="34"/>
      <c r="K615" s="34"/>
      <c r="L615" s="34"/>
      <c r="M615" s="34"/>
      <c r="N615" s="34"/>
      <c r="O615" s="34"/>
      <c r="P615" s="34"/>
      <c r="Q615" s="34"/>
      <c r="R615" s="34"/>
      <c r="S615" s="34"/>
      <c r="T615" s="34"/>
      <c r="U615" s="34"/>
      <c r="V615" s="34"/>
    </row>
    <row r="616">
      <c r="A616" s="37">
        <v>309.0</v>
      </c>
      <c r="B616" s="37">
        <v>1.0</v>
      </c>
      <c r="C616" s="37" t="s">
        <v>1174</v>
      </c>
      <c r="D616" s="37" t="s">
        <v>177</v>
      </c>
      <c r="E616" s="37" t="s">
        <v>111</v>
      </c>
      <c r="F616" s="37"/>
      <c r="G616" s="34">
        <v>6.0</v>
      </c>
      <c r="H616" s="34" t="s">
        <v>56</v>
      </c>
      <c r="I616" s="34"/>
      <c r="J616" s="34"/>
      <c r="K616" s="34"/>
      <c r="L616" s="34"/>
      <c r="M616" s="34"/>
      <c r="N616" s="34"/>
      <c r="O616" s="34"/>
      <c r="P616" s="34"/>
      <c r="Q616" s="34"/>
      <c r="R616" s="34"/>
      <c r="S616" s="34"/>
      <c r="T616" s="34"/>
      <c r="U616" s="34"/>
      <c r="V616" s="34"/>
    </row>
    <row r="617">
      <c r="A617" s="37">
        <v>309.0</v>
      </c>
      <c r="B617" s="37">
        <v>2.0</v>
      </c>
      <c r="C617" s="31"/>
      <c r="D617" s="37" t="s">
        <v>364</v>
      </c>
      <c r="E617" s="37" t="s">
        <v>113</v>
      </c>
      <c r="F617" s="37"/>
      <c r="G617" s="34">
        <v>3.0</v>
      </c>
      <c r="H617" s="34" t="s">
        <v>56</v>
      </c>
      <c r="I617" s="34"/>
      <c r="J617" s="34"/>
      <c r="K617" s="34"/>
      <c r="L617" s="34"/>
      <c r="M617" s="34"/>
      <c r="N617" s="34"/>
      <c r="O617" s="34"/>
      <c r="P617" s="34"/>
      <c r="Q617" s="34"/>
      <c r="R617" s="34"/>
      <c r="S617" s="34"/>
      <c r="T617" s="34"/>
      <c r="U617" s="34"/>
      <c r="V617" s="34"/>
    </row>
    <row r="618">
      <c r="A618" s="37">
        <v>310.0</v>
      </c>
      <c r="B618" s="37">
        <v>1.0</v>
      </c>
      <c r="C618" s="37" t="s">
        <v>1175</v>
      </c>
      <c r="D618" s="37" t="s">
        <v>1176</v>
      </c>
      <c r="E618" s="37" t="s">
        <v>423</v>
      </c>
      <c r="F618" s="37"/>
      <c r="G618" s="34">
        <v>3.0</v>
      </c>
      <c r="H618" s="34" t="s">
        <v>56</v>
      </c>
      <c r="I618" s="34"/>
      <c r="J618" s="34"/>
      <c r="K618" s="34"/>
      <c r="L618" s="34"/>
      <c r="M618" s="34"/>
      <c r="N618" s="34"/>
      <c r="O618" s="34"/>
      <c r="P618" s="34"/>
      <c r="Q618" s="34"/>
      <c r="R618" s="34"/>
      <c r="S618" s="34"/>
      <c r="T618" s="34"/>
      <c r="U618" s="34"/>
      <c r="V618" s="34"/>
    </row>
    <row r="619">
      <c r="A619" s="37">
        <v>310.0</v>
      </c>
      <c r="B619" s="37">
        <v>2.0</v>
      </c>
      <c r="C619" s="31"/>
      <c r="D619" s="37" t="s">
        <v>61</v>
      </c>
      <c r="E619" s="37" t="s">
        <v>423</v>
      </c>
      <c r="F619" s="31"/>
      <c r="G619" s="34">
        <v>4.0</v>
      </c>
      <c r="H619" s="34" t="s">
        <v>56</v>
      </c>
      <c r="I619" s="34"/>
      <c r="J619" s="34"/>
      <c r="K619" s="34"/>
      <c r="L619" s="34"/>
      <c r="M619" s="34"/>
      <c r="N619" s="34"/>
      <c r="O619" s="34"/>
      <c r="P619" s="34"/>
      <c r="Q619" s="34"/>
      <c r="R619" s="34"/>
      <c r="S619" s="34"/>
      <c r="T619" s="34"/>
      <c r="U619" s="34"/>
      <c r="V619" s="34"/>
    </row>
    <row r="620">
      <c r="A620" s="37">
        <v>311.0</v>
      </c>
      <c r="B620" s="37">
        <v>1.0</v>
      </c>
      <c r="C620" s="37" t="s">
        <v>1177</v>
      </c>
      <c r="D620" s="37" t="s">
        <v>1178</v>
      </c>
      <c r="E620" s="28" t="s">
        <v>288</v>
      </c>
      <c r="F620" s="37"/>
      <c r="G620" s="34">
        <v>2.0</v>
      </c>
      <c r="H620" s="34" t="s">
        <v>56</v>
      </c>
      <c r="I620" s="34"/>
      <c r="J620" s="34"/>
      <c r="K620" s="34"/>
      <c r="L620" s="34"/>
      <c r="M620" s="34"/>
      <c r="N620" s="34"/>
      <c r="O620" s="34"/>
      <c r="P620" s="34"/>
      <c r="Q620" s="34"/>
      <c r="R620" s="34"/>
      <c r="S620" s="34"/>
      <c r="T620" s="34"/>
      <c r="U620" s="34"/>
      <c r="V620" s="34"/>
    </row>
    <row r="621">
      <c r="A621" s="37">
        <v>312.0</v>
      </c>
      <c r="B621" s="37">
        <v>1.0</v>
      </c>
      <c r="C621" s="37" t="s">
        <v>61</v>
      </c>
      <c r="D621" s="37" t="s">
        <v>61</v>
      </c>
      <c r="E621" s="28" t="s">
        <v>288</v>
      </c>
      <c r="F621" s="31"/>
      <c r="G621" s="34">
        <v>3.0</v>
      </c>
      <c r="H621" s="34" t="s">
        <v>56</v>
      </c>
      <c r="I621" s="34"/>
      <c r="J621" s="34"/>
      <c r="K621" s="34"/>
      <c r="L621" s="34"/>
      <c r="M621" s="34"/>
      <c r="N621" s="34"/>
      <c r="O621" s="34"/>
      <c r="P621" s="34"/>
      <c r="Q621" s="34"/>
      <c r="R621" s="34"/>
      <c r="S621" s="34"/>
      <c r="T621" s="34"/>
      <c r="U621" s="34"/>
      <c r="V621" s="34"/>
    </row>
    <row r="622">
      <c r="A622" s="37">
        <v>313.0</v>
      </c>
      <c r="B622" s="37">
        <v>1.0</v>
      </c>
      <c r="C622" s="37" t="s">
        <v>1179</v>
      </c>
      <c r="D622" s="37" t="s">
        <v>1180</v>
      </c>
      <c r="E622" s="37" t="s">
        <v>1181</v>
      </c>
      <c r="F622" s="31"/>
      <c r="G622" s="34">
        <v>1.0</v>
      </c>
      <c r="H622" s="34">
        <v>317.0</v>
      </c>
      <c r="I622" s="34"/>
      <c r="J622" s="34"/>
      <c r="K622" s="34"/>
      <c r="L622" s="34"/>
      <c r="M622" s="34"/>
      <c r="N622" s="34"/>
      <c r="O622" s="34"/>
      <c r="P622" s="34"/>
      <c r="Q622" s="34"/>
      <c r="R622" s="34"/>
      <c r="S622" s="34"/>
      <c r="T622" s="34"/>
      <c r="U622" s="34"/>
      <c r="V622" s="34"/>
    </row>
    <row r="623">
      <c r="A623" s="37">
        <v>314.0</v>
      </c>
      <c r="B623" s="37">
        <v>1.0</v>
      </c>
      <c r="C623" s="37" t="s">
        <v>1182</v>
      </c>
      <c r="D623" s="37" t="s">
        <v>177</v>
      </c>
      <c r="E623" s="37" t="s">
        <v>111</v>
      </c>
      <c r="F623" s="37"/>
      <c r="G623" s="34">
        <v>7.0</v>
      </c>
      <c r="H623" s="34" t="s">
        <v>56</v>
      </c>
      <c r="I623" s="34"/>
      <c r="J623" s="34"/>
      <c r="K623" s="34"/>
      <c r="L623" s="34"/>
      <c r="M623" s="34"/>
      <c r="N623" s="34"/>
      <c r="O623" s="34"/>
      <c r="P623" s="34"/>
      <c r="Q623" s="34"/>
      <c r="R623" s="34"/>
      <c r="S623" s="34"/>
      <c r="T623" s="34"/>
      <c r="U623" s="34"/>
      <c r="V623" s="34"/>
    </row>
    <row r="624">
      <c r="A624" s="37">
        <v>314.0</v>
      </c>
      <c r="B624" s="37">
        <v>2.0</v>
      </c>
      <c r="C624" s="31"/>
      <c r="D624" s="37" t="s">
        <v>1183</v>
      </c>
      <c r="E624" s="37" t="s">
        <v>1184</v>
      </c>
      <c r="F624" s="31"/>
      <c r="G624" s="34">
        <v>1.0</v>
      </c>
      <c r="H624" s="34">
        <v>318.0</v>
      </c>
      <c r="I624" s="34"/>
      <c r="J624" s="34"/>
      <c r="K624" s="34"/>
      <c r="L624" s="34"/>
      <c r="M624" s="34"/>
      <c r="N624" s="34"/>
      <c r="O624" s="34"/>
      <c r="P624" s="34"/>
      <c r="Q624" s="34"/>
      <c r="R624" s="34"/>
      <c r="S624" s="34"/>
      <c r="T624" s="34"/>
      <c r="U624" s="34"/>
      <c r="V624" s="34"/>
    </row>
    <row r="625">
      <c r="A625" s="37">
        <v>315.0</v>
      </c>
      <c r="B625" s="37">
        <v>1.0</v>
      </c>
      <c r="C625" s="37" t="s">
        <v>1185</v>
      </c>
      <c r="D625" s="37" t="s">
        <v>1186</v>
      </c>
      <c r="E625" s="37" t="s">
        <v>1187</v>
      </c>
      <c r="F625" s="31"/>
      <c r="G625" s="34">
        <v>1.0</v>
      </c>
      <c r="H625" s="34">
        <v>319.0</v>
      </c>
      <c r="I625" s="34"/>
      <c r="J625" s="34"/>
      <c r="K625" s="34"/>
      <c r="L625" s="34"/>
      <c r="M625" s="34"/>
      <c r="N625" s="34"/>
      <c r="O625" s="34"/>
      <c r="P625" s="34"/>
      <c r="Q625" s="34"/>
      <c r="R625" s="34"/>
      <c r="S625" s="34"/>
      <c r="T625" s="34"/>
      <c r="U625" s="34"/>
      <c r="V625" s="34"/>
    </row>
    <row r="626">
      <c r="A626" s="37">
        <v>316.0</v>
      </c>
      <c r="B626" s="37">
        <v>1.0</v>
      </c>
      <c r="C626" s="37" t="s">
        <v>1188</v>
      </c>
      <c r="D626" s="37" t="s">
        <v>1189</v>
      </c>
      <c r="E626" s="28" t="s">
        <v>103</v>
      </c>
      <c r="F626" s="37"/>
      <c r="G626" s="34">
        <v>8.0</v>
      </c>
      <c r="H626" s="34" t="s">
        <v>56</v>
      </c>
      <c r="I626" s="34"/>
      <c r="J626" s="34"/>
      <c r="K626" s="34"/>
      <c r="L626" s="34"/>
      <c r="M626" s="34"/>
      <c r="N626" s="34"/>
      <c r="O626" s="34"/>
      <c r="P626" s="34"/>
      <c r="Q626" s="34"/>
      <c r="R626" s="34"/>
      <c r="S626" s="34"/>
      <c r="T626" s="34"/>
      <c r="U626" s="34"/>
      <c r="V626" s="34"/>
    </row>
    <row r="627">
      <c r="A627" s="37">
        <v>317.0</v>
      </c>
      <c r="B627" s="37">
        <v>1.0</v>
      </c>
      <c r="C627" s="37" t="s">
        <v>61</v>
      </c>
      <c r="D627" s="37" t="s">
        <v>61</v>
      </c>
      <c r="E627" s="28" t="s">
        <v>103</v>
      </c>
      <c r="F627" s="31"/>
      <c r="G627" s="34">
        <v>9.0</v>
      </c>
      <c r="H627" s="34" t="s">
        <v>56</v>
      </c>
      <c r="I627" s="34"/>
      <c r="J627" s="34"/>
      <c r="K627" s="34"/>
      <c r="L627" s="34"/>
      <c r="M627" s="34"/>
      <c r="N627" s="34"/>
      <c r="O627" s="34"/>
      <c r="P627" s="34"/>
      <c r="Q627" s="34"/>
      <c r="R627" s="34"/>
      <c r="S627" s="34"/>
      <c r="T627" s="34"/>
      <c r="U627" s="34"/>
      <c r="V627" s="34"/>
    </row>
    <row r="628">
      <c r="A628" s="37">
        <v>318.0</v>
      </c>
      <c r="B628" s="37">
        <v>1.0</v>
      </c>
      <c r="C628" s="37" t="s">
        <v>1190</v>
      </c>
      <c r="D628" s="37" t="s">
        <v>1191</v>
      </c>
      <c r="E628" s="37" t="s">
        <v>1192</v>
      </c>
      <c r="F628" s="31"/>
      <c r="G628" s="34">
        <v>1.0</v>
      </c>
      <c r="H628" s="34">
        <v>320.0</v>
      </c>
      <c r="I628" s="34"/>
      <c r="J628" s="34"/>
      <c r="K628" s="34"/>
      <c r="L628" s="34"/>
      <c r="M628" s="34"/>
      <c r="N628" s="34"/>
      <c r="O628" s="34"/>
      <c r="P628" s="34"/>
      <c r="Q628" s="34"/>
      <c r="R628" s="34"/>
      <c r="S628" s="34"/>
      <c r="T628" s="34"/>
      <c r="U628" s="34"/>
      <c r="V628" s="34"/>
    </row>
    <row r="629">
      <c r="A629" s="37">
        <v>318.0</v>
      </c>
      <c r="B629" s="37">
        <v>2.0</v>
      </c>
      <c r="C629" s="31"/>
      <c r="D629" s="37" t="s">
        <v>1193</v>
      </c>
      <c r="E629" s="28" t="s">
        <v>1194</v>
      </c>
      <c r="F629" s="37"/>
      <c r="G629" s="34">
        <v>1.0</v>
      </c>
      <c r="H629" s="34">
        <v>321.0</v>
      </c>
      <c r="I629" s="34"/>
      <c r="J629" s="34"/>
      <c r="K629" s="34"/>
      <c r="L629" s="34"/>
      <c r="M629" s="34"/>
      <c r="N629" s="34"/>
      <c r="O629" s="34"/>
      <c r="P629" s="34"/>
      <c r="Q629" s="34"/>
      <c r="R629" s="34"/>
      <c r="S629" s="34"/>
      <c r="T629" s="34"/>
      <c r="U629" s="34"/>
      <c r="V629" s="34"/>
    </row>
    <row r="630">
      <c r="A630" s="37">
        <v>318.0</v>
      </c>
      <c r="B630" s="37">
        <v>3.0</v>
      </c>
      <c r="C630" s="31"/>
      <c r="D630" s="37" t="s">
        <v>1195</v>
      </c>
      <c r="E630" s="28" t="s">
        <v>1196</v>
      </c>
      <c r="F630" s="37"/>
      <c r="G630" s="34">
        <v>1.0</v>
      </c>
      <c r="H630" s="34">
        <v>322.0</v>
      </c>
      <c r="I630" s="34"/>
      <c r="J630" s="34"/>
      <c r="K630" s="34"/>
      <c r="L630" s="34"/>
      <c r="M630" s="34"/>
      <c r="N630" s="34"/>
      <c r="O630" s="34"/>
      <c r="P630" s="34"/>
      <c r="Q630" s="34"/>
      <c r="R630" s="34"/>
      <c r="S630" s="34"/>
      <c r="T630" s="34"/>
      <c r="U630" s="34"/>
      <c r="V630" s="34"/>
    </row>
    <row r="631">
      <c r="A631" s="37">
        <v>318.0</v>
      </c>
      <c r="B631" s="37">
        <v>4.0</v>
      </c>
      <c r="C631" s="31"/>
      <c r="D631" s="37" t="s">
        <v>1197</v>
      </c>
      <c r="E631" s="28" t="s">
        <v>1198</v>
      </c>
      <c r="F631" s="37"/>
      <c r="G631" s="34">
        <v>1.0</v>
      </c>
      <c r="H631" s="34">
        <v>323.0</v>
      </c>
      <c r="I631" s="34"/>
      <c r="J631" s="34"/>
      <c r="K631" s="34"/>
      <c r="L631" s="34"/>
      <c r="M631" s="34"/>
      <c r="N631" s="34"/>
      <c r="O631" s="34"/>
      <c r="P631" s="34"/>
      <c r="Q631" s="34"/>
      <c r="R631" s="34"/>
      <c r="S631" s="34"/>
      <c r="T631" s="34"/>
      <c r="U631" s="34"/>
      <c r="V631" s="34"/>
    </row>
    <row r="632">
      <c r="A632" s="37">
        <v>319.0</v>
      </c>
      <c r="B632" s="37">
        <v>1.0</v>
      </c>
      <c r="C632" s="37" t="s">
        <v>1199</v>
      </c>
      <c r="D632" s="37" t="s">
        <v>1200</v>
      </c>
      <c r="E632" s="37" t="s">
        <v>101</v>
      </c>
      <c r="F632" s="37"/>
      <c r="G632" s="34">
        <v>9.0</v>
      </c>
      <c r="H632" s="34" t="s">
        <v>56</v>
      </c>
      <c r="I632" s="34"/>
      <c r="J632" s="34"/>
      <c r="K632" s="34"/>
      <c r="L632" s="34"/>
      <c r="M632" s="34"/>
      <c r="N632" s="34"/>
      <c r="O632" s="34"/>
      <c r="P632" s="34"/>
      <c r="Q632" s="34"/>
      <c r="R632" s="34"/>
      <c r="S632" s="34"/>
      <c r="T632" s="34"/>
      <c r="U632" s="34"/>
      <c r="V632" s="34"/>
    </row>
    <row r="633">
      <c r="A633" s="37">
        <v>319.0</v>
      </c>
      <c r="B633" s="37">
        <v>2.0</v>
      </c>
      <c r="C633" s="31"/>
      <c r="D633" s="37" t="s">
        <v>1201</v>
      </c>
      <c r="E633" s="28" t="s">
        <v>1202</v>
      </c>
      <c r="F633" s="31"/>
      <c r="G633" s="34">
        <v>1.0</v>
      </c>
      <c r="H633" s="34">
        <v>324.0</v>
      </c>
      <c r="I633" s="34"/>
      <c r="J633" s="34"/>
      <c r="K633" s="34"/>
      <c r="L633" s="34"/>
      <c r="M633" s="34"/>
      <c r="N633" s="34"/>
      <c r="O633" s="34"/>
      <c r="P633" s="34"/>
      <c r="Q633" s="34"/>
      <c r="R633" s="34"/>
      <c r="S633" s="34"/>
      <c r="T633" s="34"/>
      <c r="U633" s="34"/>
      <c r="V633" s="34"/>
    </row>
    <row r="634">
      <c r="A634" s="37">
        <v>320.0</v>
      </c>
      <c r="B634" s="37">
        <v>1.0</v>
      </c>
      <c r="C634" s="37" t="s">
        <v>1203</v>
      </c>
      <c r="D634" s="37" t="s">
        <v>61</v>
      </c>
      <c r="E634" s="28" t="s">
        <v>1202</v>
      </c>
      <c r="F634" s="31"/>
      <c r="G634" s="34">
        <v>2.0</v>
      </c>
      <c r="H634" s="34" t="s">
        <v>56</v>
      </c>
      <c r="I634" s="34"/>
      <c r="J634" s="34"/>
      <c r="K634" s="34"/>
      <c r="L634" s="34"/>
      <c r="M634" s="34"/>
      <c r="N634" s="34"/>
      <c r="O634" s="34"/>
      <c r="P634" s="34"/>
      <c r="Q634" s="34"/>
      <c r="R634" s="34"/>
      <c r="S634" s="34"/>
      <c r="T634" s="34"/>
      <c r="U634" s="34"/>
      <c r="V634" s="34"/>
    </row>
    <row r="635">
      <c r="A635" s="37">
        <v>320.0</v>
      </c>
      <c r="B635" s="37">
        <v>2.0</v>
      </c>
      <c r="C635" s="31"/>
      <c r="D635" s="37" t="s">
        <v>1204</v>
      </c>
      <c r="E635" s="28">
        <v>1292.0</v>
      </c>
      <c r="F635" s="31"/>
      <c r="G635" s="34">
        <v>8.0</v>
      </c>
      <c r="H635" s="34" t="s">
        <v>56</v>
      </c>
      <c r="I635" s="34"/>
      <c r="J635" s="34"/>
      <c r="K635" s="34"/>
      <c r="L635" s="34"/>
      <c r="M635" s="34"/>
      <c r="N635" s="34"/>
      <c r="O635" s="34"/>
      <c r="P635" s="34"/>
      <c r="Q635" s="34"/>
      <c r="R635" s="34"/>
      <c r="S635" s="34"/>
      <c r="T635" s="34"/>
      <c r="U635" s="34"/>
      <c r="V635" s="34"/>
    </row>
    <row r="636">
      <c r="A636" s="37">
        <v>321.0</v>
      </c>
      <c r="B636" s="37">
        <v>1.0</v>
      </c>
      <c r="C636" s="37" t="s">
        <v>1205</v>
      </c>
      <c r="D636" s="37" t="s">
        <v>1206</v>
      </c>
      <c r="E636" s="37" t="s">
        <v>1207</v>
      </c>
      <c r="F636" s="31"/>
      <c r="G636" s="34">
        <v>1.0</v>
      </c>
      <c r="H636" s="34">
        <v>325.0</v>
      </c>
      <c r="I636" s="34"/>
      <c r="J636" s="34"/>
      <c r="K636" s="34"/>
      <c r="L636" s="34"/>
      <c r="M636" s="34"/>
      <c r="N636" s="34"/>
      <c r="O636" s="34"/>
      <c r="P636" s="34"/>
      <c r="Q636" s="34"/>
      <c r="R636" s="34"/>
      <c r="S636" s="34"/>
      <c r="T636" s="34"/>
      <c r="U636" s="34"/>
      <c r="V636" s="34"/>
    </row>
    <row r="637">
      <c r="A637" s="37">
        <v>321.0</v>
      </c>
      <c r="B637" s="37">
        <v>2.0</v>
      </c>
      <c r="C637" s="31"/>
      <c r="D637" s="37" t="s">
        <v>1208</v>
      </c>
      <c r="E637" s="28" t="s">
        <v>197</v>
      </c>
      <c r="F637" s="37"/>
      <c r="G637" s="34">
        <v>3.0</v>
      </c>
      <c r="H637" s="34" t="s">
        <v>56</v>
      </c>
      <c r="I637" s="34"/>
      <c r="J637" s="34"/>
      <c r="K637" s="34"/>
      <c r="L637" s="34"/>
      <c r="M637" s="34"/>
      <c r="N637" s="34"/>
      <c r="O637" s="34"/>
      <c r="P637" s="34"/>
      <c r="Q637" s="34"/>
      <c r="R637" s="34"/>
      <c r="S637" s="34"/>
      <c r="T637" s="34"/>
      <c r="U637" s="34"/>
      <c r="V637" s="34"/>
    </row>
    <row r="638">
      <c r="A638" s="37">
        <v>322.0</v>
      </c>
      <c r="B638" s="37">
        <v>1.0</v>
      </c>
      <c r="C638" s="37" t="s">
        <v>1209</v>
      </c>
      <c r="D638" s="37" t="s">
        <v>1210</v>
      </c>
      <c r="E638" s="28" t="s">
        <v>187</v>
      </c>
      <c r="F638" s="37"/>
      <c r="G638" s="34">
        <v>5.0</v>
      </c>
      <c r="H638" s="34" t="s">
        <v>56</v>
      </c>
      <c r="I638" s="34"/>
      <c r="J638" s="34"/>
      <c r="K638" s="34"/>
      <c r="L638" s="34"/>
      <c r="M638" s="34"/>
      <c r="N638" s="34"/>
      <c r="O638" s="34"/>
      <c r="P638" s="34"/>
      <c r="Q638" s="34"/>
      <c r="R638" s="34"/>
      <c r="S638" s="34"/>
      <c r="T638" s="34"/>
      <c r="U638" s="34"/>
      <c r="V638" s="34"/>
    </row>
    <row r="639">
      <c r="A639" s="37">
        <v>323.0</v>
      </c>
      <c r="B639" s="37">
        <v>1.0</v>
      </c>
      <c r="C639" s="37" t="s">
        <v>1211</v>
      </c>
      <c r="D639" s="37" t="s">
        <v>1212</v>
      </c>
      <c r="E639" s="37" t="s">
        <v>1213</v>
      </c>
      <c r="F639" s="31"/>
      <c r="G639" s="34">
        <v>1.0</v>
      </c>
      <c r="H639" s="34">
        <v>326.0</v>
      </c>
      <c r="I639" s="34"/>
      <c r="J639" s="34"/>
      <c r="K639" s="34"/>
      <c r="L639" s="34"/>
      <c r="M639" s="34"/>
      <c r="N639" s="34"/>
      <c r="O639" s="34"/>
      <c r="P639" s="34"/>
      <c r="Q639" s="34"/>
      <c r="R639" s="34"/>
      <c r="S639" s="34"/>
      <c r="T639" s="34"/>
      <c r="U639" s="34"/>
      <c r="V639" s="34"/>
    </row>
    <row r="640">
      <c r="A640" s="37">
        <v>324.0</v>
      </c>
      <c r="B640" s="37">
        <v>1.0</v>
      </c>
      <c r="C640" s="37" t="s">
        <v>1214</v>
      </c>
      <c r="D640" s="37" t="s">
        <v>1215</v>
      </c>
      <c r="E640" s="37" t="s">
        <v>1216</v>
      </c>
      <c r="F640" s="31"/>
      <c r="G640" s="34">
        <v>1.0</v>
      </c>
      <c r="H640" s="34">
        <v>327.0</v>
      </c>
      <c r="I640" s="34"/>
      <c r="J640" s="34"/>
      <c r="K640" s="34"/>
      <c r="L640" s="34"/>
      <c r="M640" s="34"/>
      <c r="N640" s="34"/>
      <c r="O640" s="34"/>
      <c r="P640" s="34"/>
      <c r="Q640" s="34"/>
      <c r="R640" s="34"/>
      <c r="S640" s="34"/>
      <c r="T640" s="34"/>
      <c r="U640" s="34"/>
      <c r="V640" s="34"/>
    </row>
    <row r="641">
      <c r="A641" s="37">
        <v>324.0</v>
      </c>
      <c r="B641" s="37">
        <v>2.0</v>
      </c>
      <c r="C641" s="31"/>
      <c r="D641" s="37" t="s">
        <v>1217</v>
      </c>
      <c r="E641" s="28" t="s">
        <v>533</v>
      </c>
      <c r="F641" s="37"/>
      <c r="G641" s="34">
        <v>4.0</v>
      </c>
      <c r="H641" s="34" t="s">
        <v>56</v>
      </c>
      <c r="I641" s="34"/>
      <c r="J641" s="34"/>
      <c r="K641" s="34"/>
      <c r="L641" s="34"/>
      <c r="M641" s="34"/>
      <c r="N641" s="34"/>
      <c r="O641" s="34"/>
      <c r="P641" s="34"/>
      <c r="Q641" s="34"/>
      <c r="R641" s="34"/>
      <c r="S641" s="34"/>
      <c r="T641" s="34"/>
      <c r="U641" s="34"/>
      <c r="V641" s="34"/>
    </row>
    <row r="642">
      <c r="A642" s="44"/>
      <c r="B642" s="45"/>
      <c r="C642" s="30"/>
      <c r="D642" s="45"/>
      <c r="E642" s="44"/>
      <c r="F642" s="45"/>
      <c r="G642" s="34" t="s">
        <v>56</v>
      </c>
      <c r="H642" s="34" t="s">
        <v>56</v>
      </c>
      <c r="I642" s="34"/>
      <c r="J642" s="34"/>
      <c r="K642" s="34"/>
      <c r="L642" s="34"/>
      <c r="M642" s="34"/>
      <c r="N642" s="34"/>
      <c r="O642" s="34"/>
      <c r="P642" s="34"/>
      <c r="Q642" s="34"/>
      <c r="R642" s="34"/>
      <c r="S642" s="34"/>
      <c r="T642" s="34"/>
      <c r="U642" s="34"/>
      <c r="V642" s="34"/>
    </row>
    <row r="643">
      <c r="A643" s="45"/>
      <c r="B643" s="45"/>
      <c r="C643" s="45"/>
      <c r="D643" s="45"/>
      <c r="E643" s="45"/>
      <c r="F643" s="46"/>
      <c r="G643" s="34" t="s">
        <v>56</v>
      </c>
      <c r="H643" s="34" t="s">
        <v>56</v>
      </c>
      <c r="I643" s="34"/>
      <c r="J643" s="34"/>
      <c r="K643" s="34"/>
      <c r="L643" s="34"/>
      <c r="M643" s="34"/>
      <c r="N643" s="34"/>
      <c r="O643" s="34"/>
      <c r="P643" s="34"/>
      <c r="Q643" s="34"/>
      <c r="R643" s="34"/>
      <c r="S643" s="34"/>
      <c r="T643" s="34"/>
      <c r="U643" s="34"/>
      <c r="V643" s="34"/>
    </row>
    <row r="644">
      <c r="A644" s="45"/>
      <c r="B644" s="45"/>
      <c r="C644" s="45"/>
      <c r="D644" s="45"/>
      <c r="E644" s="45"/>
      <c r="F644" s="46"/>
      <c r="G644" s="34" t="s">
        <v>56</v>
      </c>
      <c r="H644" s="34" t="s">
        <v>56</v>
      </c>
      <c r="I644" s="34"/>
      <c r="J644" s="34"/>
      <c r="K644" s="34"/>
      <c r="L644" s="34"/>
      <c r="M644" s="34"/>
      <c r="N644" s="34"/>
      <c r="O644" s="34"/>
      <c r="P644" s="34"/>
      <c r="Q644" s="34"/>
      <c r="R644" s="34"/>
      <c r="S644" s="34"/>
      <c r="T644" s="34"/>
      <c r="U644" s="34"/>
      <c r="V644" s="34"/>
    </row>
    <row r="645">
      <c r="A645" s="45"/>
      <c r="B645" s="45"/>
      <c r="C645" s="45"/>
      <c r="D645" s="45"/>
      <c r="E645" s="45"/>
      <c r="F645" s="45"/>
      <c r="G645" s="34" t="s">
        <v>56</v>
      </c>
      <c r="H645" s="34" t="s">
        <v>56</v>
      </c>
      <c r="I645" s="34"/>
      <c r="J645" s="34"/>
      <c r="K645" s="34"/>
      <c r="L645" s="34"/>
      <c r="M645" s="34"/>
      <c r="N645" s="34"/>
      <c r="O645" s="34"/>
      <c r="P645" s="34"/>
      <c r="Q645" s="34"/>
      <c r="R645" s="34"/>
      <c r="S645" s="34"/>
      <c r="T645" s="34"/>
      <c r="U645" s="34"/>
      <c r="V645" s="34"/>
    </row>
    <row r="646">
      <c r="A646" s="45"/>
      <c r="B646" s="45"/>
      <c r="C646" s="45"/>
      <c r="D646" s="45"/>
      <c r="E646" s="45"/>
      <c r="F646" s="46"/>
      <c r="G646" s="34" t="s">
        <v>56</v>
      </c>
      <c r="H646" s="34" t="s">
        <v>56</v>
      </c>
      <c r="I646" s="34"/>
      <c r="J646" s="34"/>
      <c r="K646" s="34"/>
      <c r="L646" s="34"/>
      <c r="M646" s="34"/>
      <c r="N646" s="34"/>
      <c r="O646" s="34"/>
      <c r="P646" s="34"/>
      <c r="Q646" s="34"/>
      <c r="R646" s="34"/>
      <c r="S646" s="34"/>
      <c r="T646" s="34"/>
      <c r="U646" s="34"/>
      <c r="V646" s="34"/>
    </row>
    <row r="647">
      <c r="A647" s="45"/>
      <c r="B647" s="45"/>
      <c r="C647" s="45"/>
      <c r="D647" s="45"/>
      <c r="E647" s="45"/>
      <c r="F647" s="45"/>
      <c r="G647" s="34" t="s">
        <v>56</v>
      </c>
      <c r="H647" s="34" t="s">
        <v>56</v>
      </c>
      <c r="I647" s="34"/>
      <c r="J647" s="34"/>
      <c r="K647" s="34"/>
      <c r="L647" s="34"/>
      <c r="M647" s="34"/>
      <c r="N647" s="34"/>
      <c r="O647" s="34"/>
      <c r="P647" s="34"/>
      <c r="Q647" s="34"/>
      <c r="R647" s="34"/>
      <c r="S647" s="34"/>
      <c r="T647" s="34"/>
      <c r="U647" s="34"/>
      <c r="V647" s="34"/>
    </row>
    <row r="648">
      <c r="A648" s="45"/>
      <c r="B648" s="45"/>
      <c r="C648" s="45"/>
      <c r="D648" s="45"/>
      <c r="E648" s="45"/>
      <c r="F648" s="45"/>
      <c r="G648" s="34" t="s">
        <v>56</v>
      </c>
      <c r="H648" s="34" t="s">
        <v>56</v>
      </c>
      <c r="I648" s="34"/>
      <c r="J648" s="34"/>
      <c r="K648" s="34"/>
      <c r="L648" s="34"/>
      <c r="M648" s="34"/>
      <c r="N648" s="34"/>
      <c r="O648" s="34"/>
      <c r="P648" s="34"/>
      <c r="Q648" s="34"/>
      <c r="R648" s="34"/>
      <c r="S648" s="34"/>
      <c r="T648" s="34"/>
      <c r="U648" s="34"/>
      <c r="V648" s="34"/>
    </row>
    <row r="649">
      <c r="A649" s="45"/>
      <c r="B649" s="45"/>
      <c r="C649" s="45"/>
      <c r="D649" s="45"/>
      <c r="E649" s="45"/>
      <c r="F649" s="46"/>
      <c r="G649" s="34" t="s">
        <v>56</v>
      </c>
      <c r="H649" s="34" t="s">
        <v>56</v>
      </c>
      <c r="I649" s="34"/>
      <c r="J649" s="34"/>
      <c r="K649" s="34"/>
      <c r="L649" s="34"/>
      <c r="M649" s="34"/>
      <c r="N649" s="34"/>
      <c r="O649" s="34"/>
      <c r="P649" s="34"/>
      <c r="Q649" s="34"/>
      <c r="R649" s="34"/>
      <c r="S649" s="34"/>
      <c r="T649" s="34"/>
      <c r="U649" s="34"/>
      <c r="V649" s="34"/>
    </row>
    <row r="650">
      <c r="A650" s="45"/>
      <c r="B650" s="45"/>
      <c r="C650" s="45"/>
      <c r="D650" s="45"/>
      <c r="E650" s="45"/>
      <c r="F650" s="46"/>
      <c r="G650" s="34" t="s">
        <v>56</v>
      </c>
      <c r="H650" s="34" t="s">
        <v>56</v>
      </c>
      <c r="I650" s="34"/>
      <c r="J650" s="34"/>
      <c r="K650" s="34"/>
      <c r="L650" s="34"/>
      <c r="M650" s="34"/>
      <c r="N650" s="34"/>
      <c r="O650" s="34"/>
      <c r="P650" s="34"/>
      <c r="Q650" s="34"/>
      <c r="R650" s="34"/>
      <c r="S650" s="34"/>
      <c r="T650" s="34"/>
      <c r="U650" s="34"/>
      <c r="V650" s="34"/>
    </row>
    <row r="651">
      <c r="A651" s="45"/>
      <c r="B651" s="45"/>
      <c r="C651" s="46"/>
      <c r="D651" s="45"/>
      <c r="E651" s="45"/>
      <c r="F651" s="45"/>
      <c r="G651" s="34" t="s">
        <v>56</v>
      </c>
      <c r="H651" s="34" t="s">
        <v>56</v>
      </c>
      <c r="I651" s="34"/>
      <c r="J651" s="34"/>
      <c r="K651" s="34"/>
      <c r="L651" s="34"/>
      <c r="M651" s="34"/>
      <c r="N651" s="34"/>
      <c r="O651" s="34"/>
      <c r="P651" s="34"/>
      <c r="Q651" s="34"/>
      <c r="R651" s="34"/>
      <c r="S651" s="34"/>
      <c r="T651" s="34"/>
      <c r="U651" s="34"/>
      <c r="V651" s="34"/>
    </row>
    <row r="652">
      <c r="A652" s="45"/>
      <c r="B652" s="45"/>
      <c r="C652" s="45"/>
      <c r="D652" s="45"/>
      <c r="E652" s="45"/>
      <c r="F652" s="45"/>
      <c r="G652" s="34" t="s">
        <v>56</v>
      </c>
      <c r="H652" s="34" t="s">
        <v>56</v>
      </c>
      <c r="I652" s="34"/>
      <c r="J652" s="34"/>
      <c r="K652" s="34"/>
      <c r="L652" s="34"/>
      <c r="M652" s="34"/>
      <c r="N652" s="34"/>
      <c r="O652" s="34"/>
      <c r="P652" s="34"/>
      <c r="Q652" s="34"/>
      <c r="R652" s="34"/>
      <c r="S652" s="34"/>
      <c r="T652" s="34"/>
      <c r="U652" s="34"/>
      <c r="V652" s="34"/>
    </row>
    <row r="653">
      <c r="A653" s="45"/>
      <c r="B653" s="45"/>
      <c r="C653" s="45"/>
      <c r="D653" s="45"/>
      <c r="E653" s="45"/>
      <c r="F653" s="46"/>
      <c r="G653" s="34" t="s">
        <v>56</v>
      </c>
      <c r="H653" s="34" t="s">
        <v>56</v>
      </c>
      <c r="I653" s="34"/>
      <c r="J653" s="34"/>
      <c r="K653" s="34"/>
      <c r="L653" s="34"/>
      <c r="M653" s="34"/>
      <c r="N653" s="34"/>
      <c r="O653" s="34"/>
      <c r="P653" s="34"/>
      <c r="Q653" s="34"/>
      <c r="R653" s="34"/>
      <c r="S653" s="34"/>
      <c r="T653" s="34"/>
      <c r="U653" s="34"/>
      <c r="V653" s="34"/>
    </row>
    <row r="654">
      <c r="A654" s="45"/>
      <c r="B654" s="45"/>
      <c r="C654" s="46"/>
      <c r="D654" s="45"/>
      <c r="E654" s="45"/>
      <c r="F654" s="46"/>
      <c r="G654" s="34" t="s">
        <v>56</v>
      </c>
      <c r="H654" s="34" t="s">
        <v>56</v>
      </c>
      <c r="I654" s="34"/>
      <c r="J654" s="34"/>
      <c r="K654" s="34"/>
      <c r="L654" s="34"/>
      <c r="M654" s="34"/>
      <c r="N654" s="34"/>
      <c r="O654" s="34"/>
      <c r="P654" s="34"/>
      <c r="Q654" s="34"/>
      <c r="R654" s="34"/>
      <c r="S654" s="34"/>
      <c r="T654" s="34"/>
      <c r="U654" s="34"/>
      <c r="V654" s="34"/>
    </row>
    <row r="655">
      <c r="A655" s="45"/>
      <c r="B655" s="45"/>
      <c r="C655" s="45"/>
      <c r="D655" s="45"/>
      <c r="E655" s="45"/>
      <c r="F655" s="46"/>
      <c r="G655" s="34" t="s">
        <v>56</v>
      </c>
      <c r="H655" s="34" t="s">
        <v>56</v>
      </c>
      <c r="I655" s="34"/>
      <c r="J655" s="34"/>
      <c r="K655" s="34"/>
      <c r="L655" s="34"/>
      <c r="M655" s="34"/>
      <c r="N655" s="34"/>
      <c r="O655" s="34"/>
      <c r="P655" s="34"/>
      <c r="Q655" s="34"/>
      <c r="R655" s="34"/>
      <c r="S655" s="34"/>
      <c r="T655" s="34"/>
      <c r="U655" s="34"/>
      <c r="V655" s="34"/>
    </row>
    <row r="656">
      <c r="A656" s="45"/>
      <c r="B656" s="45"/>
      <c r="C656" s="45"/>
      <c r="D656" s="45"/>
      <c r="E656" s="45"/>
      <c r="F656" s="45"/>
      <c r="G656" s="34" t="s">
        <v>56</v>
      </c>
      <c r="H656" s="34" t="s">
        <v>56</v>
      </c>
      <c r="I656" s="34"/>
      <c r="J656" s="34"/>
      <c r="K656" s="34"/>
      <c r="L656" s="34"/>
      <c r="M656" s="34"/>
      <c r="N656" s="34"/>
      <c r="O656" s="34"/>
      <c r="P656" s="34"/>
      <c r="Q656" s="34"/>
      <c r="R656" s="34"/>
      <c r="S656" s="34"/>
      <c r="T656" s="34"/>
      <c r="U656" s="34"/>
      <c r="V656" s="34"/>
    </row>
    <row r="657">
      <c r="A657" s="45"/>
      <c r="B657" s="45"/>
      <c r="C657" s="45"/>
      <c r="D657" s="45"/>
      <c r="E657" s="45"/>
      <c r="F657" s="45"/>
      <c r="G657" s="34" t="s">
        <v>56</v>
      </c>
      <c r="H657" s="34" t="s">
        <v>56</v>
      </c>
      <c r="I657" s="34"/>
      <c r="J657" s="34"/>
      <c r="K657" s="34"/>
      <c r="L657" s="34"/>
      <c r="M657" s="34"/>
      <c r="N657" s="34"/>
      <c r="O657" s="34"/>
      <c r="P657" s="34"/>
      <c r="Q657" s="34"/>
      <c r="R657" s="34"/>
      <c r="S657" s="34"/>
      <c r="T657" s="34"/>
      <c r="U657" s="34"/>
      <c r="V657" s="34"/>
    </row>
    <row r="658">
      <c r="A658" s="45"/>
      <c r="B658" s="45"/>
      <c r="C658" s="45"/>
      <c r="D658" s="45"/>
      <c r="E658" s="45"/>
      <c r="F658" s="46"/>
      <c r="G658" s="34" t="s">
        <v>56</v>
      </c>
      <c r="H658" s="34" t="s">
        <v>56</v>
      </c>
      <c r="I658" s="34"/>
      <c r="J658" s="34"/>
      <c r="K658" s="34"/>
      <c r="L658" s="34"/>
      <c r="M658" s="34"/>
      <c r="N658" s="34"/>
      <c r="O658" s="34"/>
      <c r="P658" s="34"/>
      <c r="Q658" s="34"/>
      <c r="R658" s="34"/>
      <c r="S658" s="34"/>
      <c r="T658" s="34"/>
      <c r="U658" s="34"/>
      <c r="V658" s="34"/>
    </row>
    <row r="659">
      <c r="A659" s="45"/>
      <c r="B659" s="45"/>
      <c r="C659" s="45"/>
      <c r="D659" s="45"/>
      <c r="E659" s="45"/>
      <c r="F659" s="45"/>
      <c r="G659" s="34" t="s">
        <v>56</v>
      </c>
      <c r="H659" s="34" t="s">
        <v>56</v>
      </c>
      <c r="I659" s="34"/>
      <c r="J659" s="34"/>
      <c r="K659" s="34"/>
      <c r="L659" s="34"/>
      <c r="M659" s="34"/>
      <c r="N659" s="34"/>
      <c r="O659" s="34"/>
      <c r="P659" s="34"/>
      <c r="Q659" s="34"/>
      <c r="R659" s="34"/>
      <c r="S659" s="34"/>
      <c r="T659" s="34"/>
      <c r="U659" s="34"/>
      <c r="V659" s="34"/>
    </row>
    <row r="660">
      <c r="A660" s="45"/>
      <c r="B660" s="45"/>
      <c r="C660" s="45"/>
      <c r="D660" s="45"/>
      <c r="E660" s="45"/>
      <c r="F660" s="45"/>
      <c r="G660" s="34" t="s">
        <v>56</v>
      </c>
      <c r="H660" s="34" t="s">
        <v>56</v>
      </c>
      <c r="I660" s="34"/>
      <c r="J660" s="34"/>
      <c r="K660" s="34"/>
      <c r="L660" s="34"/>
      <c r="M660" s="34"/>
      <c r="N660" s="34"/>
      <c r="O660" s="34"/>
      <c r="P660" s="34"/>
      <c r="Q660" s="34"/>
      <c r="R660" s="34"/>
      <c r="S660" s="34"/>
      <c r="T660" s="34"/>
      <c r="U660" s="34"/>
      <c r="V660" s="34"/>
    </row>
    <row r="661">
      <c r="A661" s="45"/>
      <c r="B661" s="45"/>
      <c r="C661" s="45"/>
      <c r="D661" s="45"/>
      <c r="E661" s="45"/>
      <c r="F661" s="45"/>
      <c r="G661" s="34" t="s">
        <v>56</v>
      </c>
      <c r="H661" s="34" t="s">
        <v>56</v>
      </c>
      <c r="I661" s="34"/>
      <c r="J661" s="34"/>
      <c r="K661" s="34"/>
      <c r="L661" s="34"/>
      <c r="M661" s="34"/>
      <c r="N661" s="34"/>
      <c r="O661" s="34"/>
      <c r="P661" s="34"/>
      <c r="Q661" s="34"/>
      <c r="R661" s="34"/>
      <c r="S661" s="34"/>
      <c r="T661" s="34"/>
      <c r="U661" s="34"/>
      <c r="V661" s="34"/>
    </row>
    <row r="662">
      <c r="A662" s="45"/>
      <c r="B662" s="45"/>
      <c r="C662" s="46"/>
      <c r="D662" s="45"/>
      <c r="E662" s="45"/>
      <c r="F662" s="46"/>
      <c r="G662" s="34" t="s">
        <v>56</v>
      </c>
      <c r="H662" s="34" t="s">
        <v>56</v>
      </c>
      <c r="I662" s="34"/>
      <c r="J662" s="34"/>
      <c r="K662" s="34"/>
      <c r="L662" s="34"/>
      <c r="M662" s="34"/>
      <c r="N662" s="34"/>
      <c r="O662" s="34"/>
      <c r="P662" s="34"/>
      <c r="Q662" s="34"/>
      <c r="R662" s="34"/>
      <c r="S662" s="34"/>
      <c r="T662" s="34"/>
      <c r="U662" s="34"/>
      <c r="V662" s="34"/>
    </row>
    <row r="663">
      <c r="A663" s="45"/>
      <c r="B663" s="45"/>
      <c r="C663" s="45"/>
      <c r="D663" s="45"/>
      <c r="E663" s="45"/>
      <c r="F663" s="46"/>
      <c r="G663" s="34" t="s">
        <v>56</v>
      </c>
      <c r="H663" s="34" t="s">
        <v>56</v>
      </c>
      <c r="I663" s="34"/>
      <c r="J663" s="34"/>
      <c r="K663" s="34"/>
      <c r="L663" s="34"/>
      <c r="M663" s="34"/>
      <c r="N663" s="34"/>
      <c r="O663" s="34"/>
      <c r="P663" s="34"/>
      <c r="Q663" s="34"/>
      <c r="R663" s="34"/>
      <c r="S663" s="34"/>
      <c r="T663" s="34"/>
      <c r="U663" s="34"/>
      <c r="V663" s="34"/>
    </row>
    <row r="664">
      <c r="A664" s="45"/>
      <c r="B664" s="45"/>
      <c r="C664" s="45"/>
      <c r="D664" s="45"/>
      <c r="E664" s="45"/>
      <c r="F664" s="46"/>
      <c r="G664" s="34" t="s">
        <v>56</v>
      </c>
      <c r="H664" s="34" t="s">
        <v>56</v>
      </c>
      <c r="I664" s="34"/>
      <c r="J664" s="34"/>
      <c r="K664" s="34"/>
      <c r="L664" s="34"/>
      <c r="M664" s="34"/>
      <c r="N664" s="34"/>
      <c r="O664" s="34"/>
      <c r="P664" s="34"/>
      <c r="Q664" s="34"/>
      <c r="R664" s="34"/>
      <c r="S664" s="34"/>
      <c r="T664" s="34"/>
      <c r="U664" s="34"/>
      <c r="V664" s="34"/>
    </row>
    <row r="665">
      <c r="A665" s="45"/>
      <c r="B665" s="45"/>
      <c r="C665" s="45"/>
      <c r="D665" s="45"/>
      <c r="E665" s="45"/>
      <c r="F665" s="46"/>
      <c r="G665" s="34" t="s">
        <v>56</v>
      </c>
      <c r="H665" s="34" t="s">
        <v>56</v>
      </c>
      <c r="I665" s="34"/>
      <c r="J665" s="34"/>
      <c r="K665" s="34"/>
      <c r="L665" s="34"/>
      <c r="M665" s="34"/>
      <c r="N665" s="34"/>
      <c r="O665" s="34"/>
      <c r="P665" s="34"/>
      <c r="Q665" s="34"/>
      <c r="R665" s="34"/>
      <c r="S665" s="34"/>
      <c r="T665" s="34"/>
      <c r="U665" s="34"/>
      <c r="V665" s="34"/>
    </row>
    <row r="666">
      <c r="A666" s="45"/>
      <c r="B666" s="45"/>
      <c r="C666" s="45"/>
      <c r="D666" s="45"/>
      <c r="E666" s="45"/>
      <c r="F666" s="46"/>
      <c r="G666" s="34" t="s">
        <v>56</v>
      </c>
      <c r="H666" s="34" t="s">
        <v>56</v>
      </c>
      <c r="I666" s="34"/>
      <c r="J666" s="34"/>
      <c r="K666" s="34"/>
      <c r="L666" s="34"/>
      <c r="M666" s="34"/>
      <c r="N666" s="34"/>
      <c r="O666" s="34"/>
      <c r="P666" s="34"/>
      <c r="Q666" s="34"/>
      <c r="R666" s="34"/>
      <c r="S666" s="34"/>
      <c r="T666" s="34"/>
      <c r="U666" s="34"/>
      <c r="V666" s="34"/>
    </row>
    <row r="667">
      <c r="A667" s="45"/>
      <c r="B667" s="45"/>
      <c r="C667" s="45"/>
      <c r="D667" s="45"/>
      <c r="E667" s="45"/>
      <c r="F667" s="45"/>
      <c r="G667" s="34" t="s">
        <v>56</v>
      </c>
      <c r="H667" s="34" t="s">
        <v>56</v>
      </c>
      <c r="I667" s="34"/>
      <c r="J667" s="34"/>
      <c r="K667" s="34"/>
      <c r="L667" s="34"/>
      <c r="M667" s="34"/>
      <c r="N667" s="34"/>
      <c r="O667" s="34"/>
      <c r="P667" s="34"/>
      <c r="Q667" s="34"/>
      <c r="R667" s="34"/>
      <c r="S667" s="34"/>
      <c r="T667" s="34"/>
      <c r="U667" s="34"/>
      <c r="V667" s="34"/>
    </row>
    <row r="668">
      <c r="A668" s="45"/>
      <c r="B668" s="45"/>
      <c r="C668" s="45"/>
      <c r="D668" s="45"/>
      <c r="E668" s="45"/>
      <c r="F668" s="46"/>
      <c r="G668" s="34" t="s">
        <v>56</v>
      </c>
      <c r="H668" s="34" t="s">
        <v>56</v>
      </c>
      <c r="I668" s="34"/>
      <c r="J668" s="34"/>
      <c r="K668" s="34"/>
      <c r="L668" s="34"/>
      <c r="M668" s="34"/>
      <c r="N668" s="34"/>
      <c r="O668" s="34"/>
      <c r="P668" s="34"/>
      <c r="Q668" s="34"/>
      <c r="R668" s="34"/>
      <c r="S668" s="34"/>
      <c r="T668" s="34"/>
      <c r="U668" s="34"/>
      <c r="V668" s="34"/>
    </row>
    <row r="669">
      <c r="A669" s="45"/>
      <c r="B669" s="45"/>
      <c r="C669" s="45"/>
      <c r="D669" s="45"/>
      <c r="E669" s="45"/>
      <c r="F669" s="45"/>
      <c r="G669" s="34" t="s">
        <v>56</v>
      </c>
      <c r="H669" s="34" t="s">
        <v>56</v>
      </c>
      <c r="I669" s="34"/>
      <c r="J669" s="34"/>
      <c r="K669" s="34"/>
      <c r="L669" s="34"/>
      <c r="M669" s="34"/>
      <c r="N669" s="34"/>
      <c r="O669" s="34"/>
      <c r="P669" s="34"/>
      <c r="Q669" s="34"/>
      <c r="R669" s="34"/>
      <c r="S669" s="34"/>
      <c r="T669" s="34"/>
      <c r="U669" s="34"/>
      <c r="V669" s="34"/>
    </row>
    <row r="670">
      <c r="A670" s="45"/>
      <c r="B670" s="45"/>
      <c r="C670" s="45"/>
      <c r="D670" s="45"/>
      <c r="E670" s="45"/>
      <c r="F670" s="46"/>
      <c r="G670" s="34" t="s">
        <v>56</v>
      </c>
      <c r="H670" s="34" t="s">
        <v>56</v>
      </c>
      <c r="I670" s="34"/>
      <c r="J670" s="34"/>
      <c r="K670" s="34"/>
      <c r="L670" s="34"/>
      <c r="M670" s="34"/>
      <c r="N670" s="34"/>
      <c r="O670" s="34"/>
      <c r="P670" s="34"/>
      <c r="Q670" s="34"/>
      <c r="R670" s="34"/>
      <c r="S670" s="34"/>
      <c r="T670" s="34"/>
      <c r="U670" s="34"/>
      <c r="V670" s="34"/>
    </row>
    <row r="671">
      <c r="A671" s="45"/>
      <c r="B671" s="45"/>
      <c r="C671" s="45"/>
      <c r="D671" s="45"/>
      <c r="E671" s="45"/>
      <c r="F671" s="46"/>
      <c r="G671" s="34" t="s">
        <v>56</v>
      </c>
      <c r="H671" s="34" t="s">
        <v>56</v>
      </c>
      <c r="I671" s="34"/>
      <c r="J671" s="34"/>
      <c r="K671" s="34"/>
      <c r="L671" s="34"/>
      <c r="M671" s="34"/>
      <c r="N671" s="34"/>
      <c r="O671" s="34"/>
      <c r="P671" s="34"/>
      <c r="Q671" s="34"/>
      <c r="R671" s="34"/>
      <c r="S671" s="34"/>
      <c r="T671" s="34"/>
      <c r="U671" s="34"/>
      <c r="V671" s="34"/>
    </row>
    <row r="672">
      <c r="A672" s="45"/>
      <c r="B672" s="45"/>
      <c r="C672" s="45"/>
      <c r="D672" s="45"/>
      <c r="E672" s="45"/>
      <c r="F672" s="46"/>
      <c r="G672" s="34" t="s">
        <v>56</v>
      </c>
      <c r="H672" s="34" t="s">
        <v>56</v>
      </c>
      <c r="I672" s="34"/>
      <c r="J672" s="34"/>
      <c r="K672" s="34"/>
      <c r="L672" s="34"/>
      <c r="M672" s="34"/>
      <c r="N672" s="34"/>
      <c r="O672" s="34"/>
      <c r="P672" s="34"/>
      <c r="Q672" s="34"/>
      <c r="R672" s="34"/>
      <c r="S672" s="34"/>
      <c r="T672" s="34"/>
      <c r="U672" s="34"/>
      <c r="V672" s="34"/>
    </row>
    <row r="673">
      <c r="A673" s="45"/>
      <c r="B673" s="45"/>
      <c r="C673" s="46"/>
      <c r="D673" s="45"/>
      <c r="E673" s="45"/>
      <c r="F673" s="45"/>
      <c r="G673" s="34" t="s">
        <v>56</v>
      </c>
      <c r="H673" s="34" t="s">
        <v>56</v>
      </c>
      <c r="I673" s="34"/>
      <c r="J673" s="34"/>
      <c r="K673" s="34"/>
      <c r="L673" s="34"/>
      <c r="M673" s="34"/>
      <c r="N673" s="34"/>
      <c r="O673" s="34"/>
      <c r="P673" s="34"/>
      <c r="Q673" s="34"/>
      <c r="R673" s="34"/>
      <c r="S673" s="34"/>
      <c r="T673" s="34"/>
      <c r="U673" s="34"/>
      <c r="V673" s="34"/>
    </row>
    <row r="674">
      <c r="A674" s="45"/>
      <c r="B674" s="45"/>
      <c r="C674" s="45"/>
      <c r="D674" s="45"/>
      <c r="E674" s="45"/>
      <c r="F674" s="45"/>
      <c r="G674" s="34" t="s">
        <v>56</v>
      </c>
      <c r="H674" s="34" t="s">
        <v>56</v>
      </c>
      <c r="I674" s="34"/>
      <c r="J674" s="34"/>
      <c r="K674" s="34"/>
      <c r="L674" s="34"/>
      <c r="M674" s="34"/>
      <c r="N674" s="34"/>
      <c r="O674" s="34"/>
      <c r="P674" s="34"/>
      <c r="Q674" s="34"/>
      <c r="R674" s="34"/>
      <c r="S674" s="34"/>
      <c r="T674" s="34"/>
      <c r="U674" s="34"/>
      <c r="V674" s="34"/>
    </row>
    <row r="675">
      <c r="A675" s="45"/>
      <c r="B675" s="45"/>
      <c r="C675" s="45"/>
      <c r="D675" s="45"/>
      <c r="E675" s="45"/>
      <c r="F675" s="46"/>
      <c r="G675" s="34" t="s">
        <v>56</v>
      </c>
      <c r="H675" s="34" t="s">
        <v>56</v>
      </c>
      <c r="I675" s="34"/>
      <c r="J675" s="34"/>
      <c r="K675" s="34"/>
      <c r="L675" s="34"/>
      <c r="M675" s="34"/>
      <c r="N675" s="34"/>
      <c r="O675" s="34"/>
      <c r="P675" s="34"/>
      <c r="Q675" s="34"/>
      <c r="R675" s="34"/>
      <c r="S675" s="34"/>
      <c r="T675" s="34"/>
      <c r="U675" s="34"/>
      <c r="V675" s="34"/>
    </row>
    <row r="676">
      <c r="A676" s="45"/>
      <c r="B676" s="45"/>
      <c r="C676" s="45"/>
      <c r="D676" s="45"/>
      <c r="E676" s="45"/>
      <c r="F676" s="46"/>
      <c r="G676" s="34" t="s">
        <v>56</v>
      </c>
      <c r="H676" s="34" t="s">
        <v>56</v>
      </c>
      <c r="I676" s="34"/>
      <c r="J676" s="34"/>
      <c r="K676" s="34"/>
      <c r="L676" s="34"/>
      <c r="M676" s="34"/>
      <c r="N676" s="34"/>
      <c r="O676" s="34"/>
      <c r="P676" s="34"/>
      <c r="Q676" s="34"/>
      <c r="R676" s="34"/>
      <c r="S676" s="34"/>
      <c r="T676" s="34"/>
      <c r="U676" s="34"/>
      <c r="V676" s="34"/>
    </row>
    <row r="677">
      <c r="A677" s="45"/>
      <c r="B677" s="45"/>
      <c r="C677" s="45"/>
      <c r="D677" s="45"/>
      <c r="E677" s="45"/>
      <c r="F677" s="46"/>
      <c r="G677" s="34" t="s">
        <v>56</v>
      </c>
      <c r="H677" s="34" t="s">
        <v>56</v>
      </c>
      <c r="I677" s="34"/>
      <c r="J677" s="34"/>
      <c r="K677" s="34"/>
      <c r="L677" s="34"/>
      <c r="M677" s="34"/>
      <c r="N677" s="34"/>
      <c r="O677" s="34"/>
      <c r="P677" s="34"/>
      <c r="Q677" s="34"/>
      <c r="R677" s="34"/>
      <c r="S677" s="34"/>
      <c r="T677" s="34"/>
      <c r="U677" s="34"/>
      <c r="V677" s="34"/>
    </row>
    <row r="678">
      <c r="A678" s="45"/>
      <c r="B678" s="45"/>
      <c r="C678" s="45"/>
      <c r="D678" s="45"/>
      <c r="E678" s="45"/>
      <c r="F678" s="46"/>
      <c r="G678" s="34" t="s">
        <v>56</v>
      </c>
      <c r="H678" s="34" t="s">
        <v>56</v>
      </c>
      <c r="I678" s="34"/>
      <c r="J678" s="34"/>
      <c r="K678" s="34"/>
      <c r="L678" s="34"/>
      <c r="M678" s="34"/>
      <c r="N678" s="34"/>
      <c r="O678" s="34"/>
      <c r="P678" s="34"/>
      <c r="Q678" s="34"/>
      <c r="R678" s="34"/>
      <c r="S678" s="34"/>
      <c r="T678" s="34"/>
      <c r="U678" s="34"/>
      <c r="V678" s="34"/>
    </row>
    <row r="679">
      <c r="A679" s="45"/>
      <c r="B679" s="45"/>
      <c r="C679" s="45"/>
      <c r="D679" s="45"/>
      <c r="E679" s="45"/>
      <c r="F679" s="46"/>
      <c r="G679" s="34" t="s">
        <v>56</v>
      </c>
      <c r="H679" s="34" t="s">
        <v>56</v>
      </c>
      <c r="I679" s="34"/>
      <c r="J679" s="34"/>
      <c r="K679" s="34"/>
      <c r="L679" s="34"/>
      <c r="M679" s="34"/>
      <c r="N679" s="34"/>
      <c r="O679" s="34"/>
      <c r="P679" s="34"/>
      <c r="Q679" s="34"/>
      <c r="R679" s="34"/>
      <c r="S679" s="34"/>
      <c r="T679" s="34"/>
      <c r="U679" s="34"/>
      <c r="V679" s="34"/>
    </row>
    <row r="680">
      <c r="A680" s="45"/>
      <c r="B680" s="45"/>
      <c r="C680" s="45"/>
      <c r="D680" s="45"/>
      <c r="E680" s="45"/>
      <c r="F680" s="45"/>
      <c r="G680" s="34" t="s">
        <v>56</v>
      </c>
      <c r="H680" s="34" t="s">
        <v>56</v>
      </c>
      <c r="I680" s="34"/>
      <c r="J680" s="34"/>
      <c r="K680" s="34"/>
      <c r="L680" s="34"/>
      <c r="M680" s="34"/>
      <c r="N680" s="34"/>
      <c r="O680" s="34"/>
      <c r="P680" s="34"/>
      <c r="Q680" s="34"/>
      <c r="R680" s="34"/>
      <c r="S680" s="34"/>
      <c r="T680" s="34"/>
      <c r="U680" s="34"/>
      <c r="V680" s="34"/>
    </row>
    <row r="681">
      <c r="A681" s="45"/>
      <c r="B681" s="45"/>
      <c r="C681" s="45"/>
      <c r="D681" s="45"/>
      <c r="E681" s="45"/>
      <c r="F681" s="45"/>
      <c r="G681" s="34" t="s">
        <v>56</v>
      </c>
      <c r="H681" s="34" t="s">
        <v>56</v>
      </c>
      <c r="I681" s="34"/>
      <c r="J681" s="34"/>
      <c r="K681" s="34"/>
      <c r="L681" s="34"/>
      <c r="M681" s="34"/>
      <c r="N681" s="34"/>
      <c r="O681" s="34"/>
      <c r="P681" s="34"/>
      <c r="Q681" s="34"/>
      <c r="R681" s="34"/>
      <c r="S681" s="34"/>
      <c r="T681" s="34"/>
      <c r="U681" s="34"/>
      <c r="V681" s="34"/>
    </row>
    <row r="682">
      <c r="A682" s="45"/>
      <c r="B682" s="45"/>
      <c r="C682" s="46"/>
      <c r="D682" s="45"/>
      <c r="E682" s="45"/>
      <c r="F682" s="45"/>
      <c r="G682" s="34" t="s">
        <v>56</v>
      </c>
      <c r="H682" s="34" t="s">
        <v>56</v>
      </c>
      <c r="I682" s="34"/>
      <c r="J682" s="34"/>
      <c r="K682" s="34"/>
      <c r="L682" s="34"/>
      <c r="M682" s="34"/>
      <c r="N682" s="34"/>
      <c r="O682" s="34"/>
      <c r="P682" s="34"/>
      <c r="Q682" s="34"/>
      <c r="R682" s="34"/>
      <c r="S682" s="34"/>
      <c r="T682" s="34"/>
      <c r="U682" s="34"/>
      <c r="V682" s="34"/>
    </row>
    <row r="683">
      <c r="A683" s="45"/>
      <c r="B683" s="45"/>
      <c r="C683" s="45"/>
      <c r="D683" s="45"/>
      <c r="E683" s="45"/>
      <c r="F683" s="45"/>
      <c r="G683" s="34" t="s">
        <v>56</v>
      </c>
      <c r="H683" s="34" t="s">
        <v>56</v>
      </c>
      <c r="I683" s="34"/>
      <c r="J683" s="34"/>
      <c r="K683" s="34"/>
      <c r="L683" s="34"/>
      <c r="M683" s="34"/>
      <c r="N683" s="34"/>
      <c r="O683" s="34"/>
      <c r="P683" s="34"/>
      <c r="Q683" s="34"/>
      <c r="R683" s="34"/>
      <c r="S683" s="34"/>
      <c r="T683" s="34"/>
      <c r="U683" s="34"/>
      <c r="V683" s="34"/>
    </row>
    <row r="684">
      <c r="A684" s="45"/>
      <c r="B684" s="45"/>
      <c r="C684" s="45"/>
      <c r="D684" s="45"/>
      <c r="E684" s="45"/>
      <c r="F684" s="45"/>
      <c r="G684" s="34" t="s">
        <v>56</v>
      </c>
      <c r="H684" s="34" t="s">
        <v>56</v>
      </c>
      <c r="I684" s="34"/>
      <c r="J684" s="34"/>
      <c r="K684" s="34"/>
      <c r="L684" s="34"/>
      <c r="M684" s="34"/>
      <c r="N684" s="34"/>
      <c r="O684" s="34"/>
      <c r="P684" s="34"/>
      <c r="Q684" s="34"/>
      <c r="R684" s="34"/>
      <c r="S684" s="34"/>
      <c r="T684" s="34"/>
      <c r="U684" s="34"/>
      <c r="V684" s="34"/>
    </row>
    <row r="685">
      <c r="A685" s="45"/>
      <c r="B685" s="45"/>
      <c r="C685" s="45"/>
      <c r="D685" s="45"/>
      <c r="E685" s="45"/>
      <c r="F685" s="45"/>
      <c r="G685" s="34" t="s">
        <v>56</v>
      </c>
      <c r="H685" s="34" t="s">
        <v>56</v>
      </c>
      <c r="I685" s="34"/>
      <c r="J685" s="34"/>
      <c r="K685" s="34"/>
      <c r="L685" s="34"/>
      <c r="M685" s="34"/>
      <c r="N685" s="34"/>
      <c r="O685" s="34"/>
      <c r="P685" s="34"/>
      <c r="Q685" s="34"/>
      <c r="R685" s="34"/>
      <c r="S685" s="34"/>
      <c r="T685" s="34"/>
      <c r="U685" s="34"/>
      <c r="V685" s="34"/>
    </row>
    <row r="686">
      <c r="A686" s="45"/>
      <c r="B686" s="45"/>
      <c r="C686" s="45"/>
      <c r="D686" s="45"/>
      <c r="E686" s="45"/>
      <c r="F686" s="45"/>
      <c r="G686" s="34" t="s">
        <v>56</v>
      </c>
      <c r="H686" s="34" t="s">
        <v>56</v>
      </c>
      <c r="I686" s="34"/>
      <c r="J686" s="34"/>
      <c r="K686" s="34"/>
      <c r="L686" s="34"/>
      <c r="M686" s="34"/>
      <c r="N686" s="34"/>
      <c r="O686" s="34"/>
      <c r="P686" s="34"/>
      <c r="Q686" s="34"/>
      <c r="R686" s="34"/>
      <c r="S686" s="34"/>
      <c r="T686" s="34"/>
      <c r="U686" s="34"/>
      <c r="V686" s="34"/>
    </row>
    <row r="687">
      <c r="A687" s="45"/>
      <c r="B687" s="45"/>
      <c r="C687" s="45"/>
      <c r="D687" s="45"/>
      <c r="E687" s="45"/>
      <c r="F687" s="46"/>
      <c r="G687" s="34" t="s">
        <v>56</v>
      </c>
      <c r="H687" s="34" t="s">
        <v>56</v>
      </c>
      <c r="I687" s="34"/>
      <c r="J687" s="34"/>
      <c r="K687" s="34"/>
      <c r="L687" s="34"/>
      <c r="M687" s="34"/>
      <c r="N687" s="34"/>
      <c r="O687" s="34"/>
      <c r="P687" s="34"/>
      <c r="Q687" s="34"/>
      <c r="R687" s="34"/>
      <c r="S687" s="34"/>
      <c r="T687" s="34"/>
      <c r="U687" s="34"/>
      <c r="V687" s="34"/>
    </row>
    <row r="688">
      <c r="A688" s="45"/>
      <c r="B688" s="45"/>
      <c r="C688" s="45"/>
      <c r="D688" s="45"/>
      <c r="E688" s="45"/>
      <c r="F688" s="45"/>
      <c r="G688" s="34" t="s">
        <v>56</v>
      </c>
      <c r="H688" s="34" t="s">
        <v>56</v>
      </c>
      <c r="I688" s="34"/>
      <c r="J688" s="34"/>
      <c r="K688" s="34"/>
      <c r="L688" s="34"/>
      <c r="M688" s="34"/>
      <c r="N688" s="34"/>
      <c r="O688" s="34"/>
      <c r="P688" s="34"/>
      <c r="Q688" s="34"/>
      <c r="R688" s="34"/>
      <c r="S688" s="34"/>
      <c r="T688" s="34"/>
      <c r="U688" s="34"/>
      <c r="V688" s="34"/>
    </row>
    <row r="689">
      <c r="A689" s="45"/>
      <c r="B689" s="45"/>
      <c r="C689" s="45"/>
      <c r="D689" s="45"/>
      <c r="E689" s="45"/>
      <c r="F689" s="45"/>
      <c r="G689" s="34" t="s">
        <v>56</v>
      </c>
      <c r="H689" s="34" t="s">
        <v>56</v>
      </c>
      <c r="I689" s="34"/>
      <c r="J689" s="34"/>
      <c r="K689" s="34"/>
      <c r="L689" s="34"/>
      <c r="M689" s="34"/>
      <c r="N689" s="34"/>
      <c r="O689" s="34"/>
      <c r="P689" s="34"/>
      <c r="Q689" s="34"/>
      <c r="R689" s="34"/>
      <c r="S689" s="34"/>
      <c r="T689" s="34"/>
      <c r="U689" s="34"/>
      <c r="V689" s="34"/>
    </row>
    <row r="690">
      <c r="A690" s="45"/>
      <c r="B690" s="45"/>
      <c r="C690" s="45"/>
      <c r="D690" s="45"/>
      <c r="E690" s="45"/>
      <c r="F690" s="45"/>
      <c r="G690" s="34" t="s">
        <v>56</v>
      </c>
      <c r="H690" s="34" t="s">
        <v>56</v>
      </c>
      <c r="I690" s="34"/>
      <c r="J690" s="34"/>
      <c r="K690" s="34"/>
      <c r="L690" s="34"/>
      <c r="M690" s="34"/>
      <c r="N690" s="34"/>
      <c r="O690" s="34"/>
      <c r="P690" s="34"/>
      <c r="Q690" s="34"/>
      <c r="R690" s="34"/>
      <c r="S690" s="34"/>
      <c r="T690" s="34"/>
      <c r="U690" s="34"/>
      <c r="V690" s="34"/>
    </row>
    <row r="691">
      <c r="A691" s="45"/>
      <c r="B691" s="45"/>
      <c r="C691" s="45"/>
      <c r="D691" s="45"/>
      <c r="E691" s="45"/>
      <c r="F691" s="45"/>
      <c r="G691" s="34" t="s">
        <v>56</v>
      </c>
      <c r="H691" s="34" t="s">
        <v>56</v>
      </c>
      <c r="I691" s="34"/>
      <c r="J691" s="34"/>
      <c r="K691" s="34"/>
      <c r="L691" s="34"/>
      <c r="M691" s="34"/>
      <c r="N691" s="34"/>
      <c r="O691" s="34"/>
      <c r="P691" s="34"/>
      <c r="Q691" s="34"/>
      <c r="R691" s="34"/>
      <c r="S691" s="34"/>
      <c r="T691" s="34"/>
      <c r="U691" s="34"/>
      <c r="V691" s="34"/>
    </row>
    <row r="692">
      <c r="A692" s="45"/>
      <c r="B692" s="45"/>
      <c r="C692" s="45"/>
      <c r="D692" s="45"/>
      <c r="E692" s="45"/>
      <c r="F692" s="45"/>
      <c r="G692" s="34" t="s">
        <v>56</v>
      </c>
      <c r="H692" s="34" t="s">
        <v>56</v>
      </c>
      <c r="I692" s="34"/>
      <c r="J692" s="34"/>
      <c r="K692" s="34"/>
      <c r="L692" s="34"/>
      <c r="M692" s="34"/>
      <c r="N692" s="34"/>
      <c r="O692" s="34"/>
      <c r="P692" s="34"/>
      <c r="Q692" s="34"/>
      <c r="R692" s="34"/>
      <c r="S692" s="34"/>
      <c r="T692" s="34"/>
      <c r="U692" s="34"/>
      <c r="V692" s="34"/>
    </row>
    <row r="693">
      <c r="A693" s="45"/>
      <c r="B693" s="45"/>
      <c r="C693" s="45"/>
      <c r="D693" s="45"/>
      <c r="E693" s="45"/>
      <c r="F693" s="46"/>
      <c r="G693" s="34" t="s">
        <v>56</v>
      </c>
      <c r="H693" s="34" t="s">
        <v>56</v>
      </c>
      <c r="I693" s="34"/>
      <c r="J693" s="34"/>
      <c r="K693" s="34"/>
      <c r="L693" s="34"/>
      <c r="M693" s="34"/>
      <c r="N693" s="34"/>
      <c r="O693" s="34"/>
      <c r="P693" s="34"/>
      <c r="Q693" s="34"/>
      <c r="R693" s="34"/>
      <c r="S693" s="34"/>
      <c r="T693" s="34"/>
      <c r="U693" s="34"/>
      <c r="V693" s="34"/>
    </row>
    <row r="694">
      <c r="A694" s="45"/>
      <c r="B694" s="45"/>
      <c r="C694" s="45"/>
      <c r="D694" s="45"/>
      <c r="E694" s="45"/>
      <c r="F694" s="46"/>
      <c r="G694" s="34" t="s">
        <v>56</v>
      </c>
      <c r="H694" s="34" t="s">
        <v>56</v>
      </c>
      <c r="I694" s="34"/>
      <c r="J694" s="34"/>
      <c r="K694" s="34"/>
      <c r="L694" s="34"/>
      <c r="M694" s="34"/>
      <c r="N694" s="34"/>
      <c r="O694" s="34"/>
      <c r="P694" s="34"/>
      <c r="Q694" s="34"/>
      <c r="R694" s="34"/>
      <c r="S694" s="34"/>
      <c r="T694" s="34"/>
      <c r="U694" s="34"/>
      <c r="V694" s="34"/>
    </row>
    <row r="695">
      <c r="A695" s="45"/>
      <c r="B695" s="45"/>
      <c r="C695" s="46"/>
      <c r="D695" s="45"/>
      <c r="E695" s="45"/>
      <c r="F695" s="45"/>
      <c r="G695" s="34" t="s">
        <v>56</v>
      </c>
      <c r="H695" s="34" t="s">
        <v>56</v>
      </c>
      <c r="I695" s="34"/>
      <c r="J695" s="34"/>
      <c r="K695" s="34"/>
      <c r="L695" s="34"/>
      <c r="M695" s="34"/>
      <c r="N695" s="34"/>
      <c r="O695" s="34"/>
      <c r="P695" s="34"/>
      <c r="Q695" s="34"/>
      <c r="R695" s="34"/>
      <c r="S695" s="34"/>
      <c r="T695" s="34"/>
      <c r="U695" s="34"/>
      <c r="V695" s="34"/>
    </row>
    <row r="696">
      <c r="A696" s="45"/>
      <c r="B696" s="45"/>
      <c r="C696" s="45"/>
      <c r="D696" s="45"/>
      <c r="E696" s="45"/>
      <c r="F696" s="45"/>
      <c r="G696" s="34" t="s">
        <v>56</v>
      </c>
      <c r="H696" s="34" t="s">
        <v>56</v>
      </c>
      <c r="I696" s="34"/>
      <c r="J696" s="34"/>
      <c r="K696" s="34"/>
      <c r="L696" s="34"/>
      <c r="M696" s="34"/>
      <c r="N696" s="34"/>
      <c r="O696" s="34"/>
      <c r="P696" s="34"/>
      <c r="Q696" s="34"/>
      <c r="R696" s="34"/>
      <c r="S696" s="34"/>
      <c r="T696" s="34"/>
      <c r="U696" s="34"/>
      <c r="V696" s="34"/>
    </row>
    <row r="697">
      <c r="A697" s="45"/>
      <c r="B697" s="45"/>
      <c r="C697" s="46"/>
      <c r="D697" s="45"/>
      <c r="E697" s="45"/>
      <c r="F697" s="46"/>
      <c r="G697" s="34" t="s">
        <v>56</v>
      </c>
      <c r="H697" s="34" t="s">
        <v>56</v>
      </c>
      <c r="I697" s="34"/>
      <c r="J697" s="34"/>
      <c r="K697" s="34"/>
      <c r="L697" s="34"/>
      <c r="M697" s="34"/>
      <c r="N697" s="34"/>
      <c r="O697" s="34"/>
      <c r="P697" s="34"/>
      <c r="Q697" s="34"/>
      <c r="R697" s="34"/>
      <c r="S697" s="34"/>
      <c r="T697" s="34"/>
      <c r="U697" s="34"/>
      <c r="V697" s="34"/>
    </row>
    <row r="698">
      <c r="A698" s="45"/>
      <c r="B698" s="45"/>
      <c r="C698" s="45"/>
      <c r="D698" s="45"/>
      <c r="E698" s="45"/>
      <c r="F698" s="45"/>
      <c r="G698" s="34" t="s">
        <v>56</v>
      </c>
      <c r="H698" s="34" t="s">
        <v>56</v>
      </c>
      <c r="I698" s="34"/>
      <c r="J698" s="34"/>
      <c r="K698" s="34"/>
      <c r="L698" s="34"/>
      <c r="M698" s="34"/>
      <c r="N698" s="34"/>
      <c r="O698" s="34"/>
      <c r="P698" s="34"/>
      <c r="Q698" s="34"/>
      <c r="R698" s="34"/>
      <c r="S698" s="34"/>
      <c r="T698" s="34"/>
      <c r="U698" s="34"/>
      <c r="V698" s="34"/>
    </row>
    <row r="699">
      <c r="A699" s="45"/>
      <c r="B699" s="45"/>
      <c r="C699" s="45"/>
      <c r="D699" s="45"/>
      <c r="E699" s="45"/>
      <c r="F699" s="45"/>
      <c r="G699" s="34" t="s">
        <v>56</v>
      </c>
      <c r="H699" s="34" t="s">
        <v>56</v>
      </c>
      <c r="I699" s="34"/>
      <c r="J699" s="34"/>
      <c r="K699" s="34"/>
      <c r="L699" s="34"/>
      <c r="M699" s="34"/>
      <c r="N699" s="34"/>
      <c r="O699" s="34"/>
      <c r="P699" s="34"/>
      <c r="Q699" s="34"/>
      <c r="R699" s="34"/>
      <c r="S699" s="34"/>
      <c r="T699" s="34"/>
      <c r="U699" s="34"/>
      <c r="V699" s="34"/>
    </row>
    <row r="700">
      <c r="A700" s="45"/>
      <c r="B700" s="45"/>
      <c r="C700" s="45"/>
      <c r="D700" s="45"/>
      <c r="E700" s="45"/>
      <c r="F700" s="45"/>
      <c r="G700" s="34" t="s">
        <v>56</v>
      </c>
      <c r="H700" s="34" t="s">
        <v>56</v>
      </c>
      <c r="I700" s="34"/>
      <c r="J700" s="34"/>
      <c r="K700" s="34"/>
      <c r="L700" s="34"/>
      <c r="M700" s="34"/>
      <c r="N700" s="34"/>
      <c r="O700" s="34"/>
      <c r="P700" s="34"/>
      <c r="Q700" s="34"/>
      <c r="R700" s="34"/>
      <c r="S700" s="34"/>
      <c r="T700" s="34"/>
      <c r="U700" s="34"/>
      <c r="V700" s="34"/>
    </row>
    <row r="701">
      <c r="A701" s="45"/>
      <c r="B701" s="45"/>
      <c r="C701" s="45"/>
      <c r="D701" s="45"/>
      <c r="E701" s="45"/>
      <c r="F701" s="46"/>
      <c r="G701" s="34" t="s">
        <v>56</v>
      </c>
      <c r="H701" s="34" t="s">
        <v>56</v>
      </c>
      <c r="I701" s="34"/>
      <c r="J701" s="34"/>
      <c r="K701" s="34"/>
      <c r="L701" s="34"/>
      <c r="M701" s="34"/>
      <c r="N701" s="34"/>
      <c r="O701" s="34"/>
      <c r="P701" s="34"/>
      <c r="Q701" s="34"/>
      <c r="R701" s="34"/>
      <c r="S701" s="34"/>
      <c r="T701" s="34"/>
      <c r="U701" s="34"/>
      <c r="V701" s="34"/>
    </row>
    <row r="702">
      <c r="A702" s="45"/>
      <c r="B702" s="45"/>
      <c r="C702" s="45"/>
      <c r="D702" s="45"/>
      <c r="E702" s="45"/>
      <c r="F702" s="45"/>
      <c r="G702" s="34" t="s">
        <v>56</v>
      </c>
      <c r="H702" s="34" t="s">
        <v>56</v>
      </c>
      <c r="I702" s="34"/>
      <c r="J702" s="34"/>
      <c r="K702" s="34"/>
      <c r="L702" s="34"/>
      <c r="M702" s="34"/>
      <c r="N702" s="34"/>
      <c r="O702" s="34"/>
      <c r="P702" s="34"/>
      <c r="Q702" s="34"/>
      <c r="R702" s="34"/>
      <c r="S702" s="34"/>
      <c r="T702" s="34"/>
      <c r="U702" s="34"/>
      <c r="V702" s="34"/>
    </row>
    <row r="703">
      <c r="A703" s="45"/>
      <c r="B703" s="45"/>
      <c r="C703" s="45"/>
      <c r="D703" s="45"/>
      <c r="E703" s="45"/>
      <c r="F703" s="46"/>
      <c r="G703" s="34" t="s">
        <v>56</v>
      </c>
      <c r="H703" s="34" t="s">
        <v>56</v>
      </c>
      <c r="I703" s="34"/>
      <c r="J703" s="34"/>
      <c r="K703" s="34"/>
      <c r="L703" s="34"/>
      <c r="M703" s="34"/>
      <c r="N703" s="34"/>
      <c r="O703" s="34"/>
      <c r="P703" s="34"/>
      <c r="Q703" s="34"/>
      <c r="R703" s="34"/>
      <c r="S703" s="34"/>
      <c r="T703" s="34"/>
      <c r="U703" s="34"/>
      <c r="V703" s="34"/>
    </row>
    <row r="704">
      <c r="A704" s="45"/>
      <c r="B704" s="45"/>
      <c r="C704" s="45"/>
      <c r="D704" s="45"/>
      <c r="E704" s="45"/>
      <c r="F704" s="45"/>
      <c r="G704" s="34" t="s">
        <v>56</v>
      </c>
      <c r="H704" s="34" t="s">
        <v>56</v>
      </c>
      <c r="I704" s="34"/>
      <c r="J704" s="34"/>
      <c r="K704" s="34"/>
      <c r="L704" s="34"/>
      <c r="M704" s="34"/>
      <c r="N704" s="34"/>
      <c r="O704" s="34"/>
      <c r="P704" s="34"/>
      <c r="Q704" s="34"/>
      <c r="R704" s="34"/>
      <c r="S704" s="34"/>
      <c r="T704" s="34"/>
      <c r="U704" s="34"/>
      <c r="V704" s="34"/>
    </row>
    <row r="705">
      <c r="A705" s="45"/>
      <c r="B705" s="45"/>
      <c r="C705" s="45"/>
      <c r="D705" s="45"/>
      <c r="E705" s="45"/>
      <c r="F705" s="45"/>
      <c r="G705" s="34" t="s">
        <v>56</v>
      </c>
      <c r="H705" s="34" t="s">
        <v>56</v>
      </c>
      <c r="I705" s="34"/>
      <c r="J705" s="34"/>
      <c r="K705" s="34"/>
      <c r="L705" s="34"/>
      <c r="M705" s="34"/>
      <c r="N705" s="34"/>
      <c r="O705" s="34"/>
      <c r="P705" s="34"/>
      <c r="Q705" s="34"/>
      <c r="R705" s="34"/>
      <c r="S705" s="34"/>
      <c r="T705" s="34"/>
      <c r="U705" s="34"/>
      <c r="V705" s="34"/>
    </row>
    <row r="706">
      <c r="A706" s="45"/>
      <c r="B706" s="45"/>
      <c r="C706" s="45"/>
      <c r="D706" s="45"/>
      <c r="E706" s="45"/>
      <c r="F706" s="46"/>
      <c r="G706" s="34" t="s">
        <v>56</v>
      </c>
      <c r="H706" s="34" t="s">
        <v>56</v>
      </c>
      <c r="I706" s="34"/>
      <c r="J706" s="34"/>
      <c r="K706" s="34"/>
      <c r="L706" s="34"/>
      <c r="M706" s="34"/>
      <c r="N706" s="34"/>
      <c r="O706" s="34"/>
      <c r="P706" s="34"/>
      <c r="Q706" s="34"/>
      <c r="R706" s="34"/>
      <c r="S706" s="34"/>
      <c r="T706" s="34"/>
      <c r="U706" s="34"/>
      <c r="V706" s="34"/>
    </row>
    <row r="707">
      <c r="A707" s="45"/>
      <c r="B707" s="45"/>
      <c r="C707" s="45"/>
      <c r="D707" s="45"/>
      <c r="E707" s="45"/>
      <c r="F707" s="46"/>
      <c r="G707" s="34" t="s">
        <v>56</v>
      </c>
      <c r="H707" s="34" t="s">
        <v>56</v>
      </c>
      <c r="I707" s="34"/>
      <c r="J707" s="34"/>
      <c r="K707" s="34"/>
      <c r="L707" s="34"/>
      <c r="M707" s="34"/>
      <c r="N707" s="34"/>
      <c r="O707" s="34"/>
      <c r="P707" s="34"/>
      <c r="Q707" s="34"/>
      <c r="R707" s="34"/>
      <c r="S707" s="34"/>
      <c r="T707" s="34"/>
      <c r="U707" s="34"/>
      <c r="V707" s="34"/>
    </row>
    <row r="708">
      <c r="A708" s="45"/>
      <c r="B708" s="45"/>
      <c r="C708" s="45"/>
      <c r="D708" s="45"/>
      <c r="E708" s="45"/>
      <c r="F708" s="45"/>
      <c r="G708" s="34" t="s">
        <v>56</v>
      </c>
      <c r="H708" s="34" t="s">
        <v>56</v>
      </c>
      <c r="I708" s="34"/>
      <c r="J708" s="34"/>
      <c r="K708" s="34"/>
      <c r="L708" s="34"/>
      <c r="M708" s="34"/>
      <c r="N708" s="34"/>
      <c r="O708" s="34"/>
      <c r="P708" s="34"/>
      <c r="Q708" s="34"/>
      <c r="R708" s="34"/>
      <c r="S708" s="34"/>
      <c r="T708" s="34"/>
      <c r="U708" s="34"/>
      <c r="V708" s="34"/>
    </row>
    <row r="709">
      <c r="A709" s="45"/>
      <c r="B709" s="45"/>
      <c r="C709" s="45"/>
      <c r="D709" s="45"/>
      <c r="E709" s="45"/>
      <c r="F709" s="46"/>
      <c r="G709" s="34" t="s">
        <v>56</v>
      </c>
      <c r="H709" s="34" t="s">
        <v>56</v>
      </c>
      <c r="I709" s="34"/>
      <c r="J709" s="34"/>
      <c r="K709" s="34"/>
      <c r="L709" s="34"/>
      <c r="M709" s="34"/>
      <c r="N709" s="34"/>
      <c r="O709" s="34"/>
      <c r="P709" s="34"/>
      <c r="Q709" s="34"/>
      <c r="R709" s="34"/>
      <c r="S709" s="34"/>
      <c r="T709" s="34"/>
      <c r="U709" s="34"/>
      <c r="V709" s="34"/>
    </row>
    <row r="710">
      <c r="A710" s="45"/>
      <c r="B710" s="45"/>
      <c r="C710" s="45"/>
      <c r="D710" s="45"/>
      <c r="E710" s="45"/>
      <c r="F710" s="45"/>
      <c r="G710" s="34" t="s">
        <v>56</v>
      </c>
      <c r="H710" s="34" t="s">
        <v>56</v>
      </c>
      <c r="I710" s="34"/>
      <c r="J710" s="34"/>
      <c r="K710" s="34"/>
      <c r="L710" s="34"/>
      <c r="M710" s="34"/>
      <c r="N710" s="34"/>
      <c r="O710" s="34"/>
      <c r="P710" s="34"/>
      <c r="Q710" s="34"/>
      <c r="R710" s="34"/>
      <c r="S710" s="34"/>
      <c r="T710" s="34"/>
      <c r="U710" s="34"/>
      <c r="V710" s="34"/>
    </row>
    <row r="711">
      <c r="A711" s="45"/>
      <c r="B711" s="45"/>
      <c r="C711" s="45"/>
      <c r="D711" s="45"/>
      <c r="E711" s="45"/>
      <c r="F711" s="46"/>
      <c r="G711" s="34" t="s">
        <v>56</v>
      </c>
      <c r="H711" s="34" t="s">
        <v>56</v>
      </c>
      <c r="I711" s="34"/>
      <c r="J711" s="34"/>
      <c r="K711" s="34"/>
      <c r="L711" s="34"/>
      <c r="M711" s="34"/>
      <c r="N711" s="34"/>
      <c r="O711" s="34"/>
      <c r="P711" s="34"/>
      <c r="Q711" s="34"/>
      <c r="R711" s="34"/>
      <c r="S711" s="34"/>
      <c r="T711" s="34"/>
      <c r="U711" s="34"/>
      <c r="V711" s="34"/>
    </row>
    <row r="712">
      <c r="A712" s="45"/>
      <c r="B712" s="45"/>
      <c r="C712" s="45"/>
      <c r="D712" s="45"/>
      <c r="E712" s="45"/>
      <c r="F712" s="46"/>
      <c r="G712" s="34" t="s">
        <v>56</v>
      </c>
      <c r="H712" s="34" t="s">
        <v>56</v>
      </c>
      <c r="I712" s="34"/>
      <c r="J712" s="34"/>
      <c r="K712" s="34"/>
      <c r="L712" s="34"/>
      <c r="M712" s="34"/>
      <c r="N712" s="34"/>
      <c r="O712" s="34"/>
      <c r="P712" s="34"/>
      <c r="Q712" s="34"/>
      <c r="R712" s="34"/>
      <c r="S712" s="34"/>
      <c r="T712" s="34"/>
      <c r="U712" s="34"/>
      <c r="V712" s="34"/>
    </row>
    <row r="713">
      <c r="A713" s="45"/>
      <c r="B713" s="45"/>
      <c r="C713" s="45"/>
      <c r="D713" s="45"/>
      <c r="E713" s="45"/>
      <c r="F713" s="46"/>
      <c r="G713" s="34" t="s">
        <v>56</v>
      </c>
      <c r="H713" s="34" t="s">
        <v>56</v>
      </c>
      <c r="I713" s="34"/>
      <c r="J713" s="34"/>
      <c r="K713" s="34"/>
      <c r="L713" s="34"/>
      <c r="M713" s="34"/>
      <c r="N713" s="34"/>
      <c r="O713" s="34"/>
      <c r="P713" s="34"/>
      <c r="Q713" s="34"/>
      <c r="R713" s="34"/>
      <c r="S713" s="34"/>
      <c r="T713" s="34"/>
      <c r="U713" s="34"/>
      <c r="V713" s="34"/>
    </row>
    <row r="714">
      <c r="A714" s="45"/>
      <c r="B714" s="45"/>
      <c r="C714" s="45"/>
      <c r="D714" s="45"/>
      <c r="E714" s="45"/>
      <c r="F714" s="46"/>
      <c r="G714" s="34" t="s">
        <v>56</v>
      </c>
      <c r="H714" s="34" t="s">
        <v>56</v>
      </c>
      <c r="I714" s="34"/>
      <c r="J714" s="34"/>
      <c r="K714" s="34"/>
      <c r="L714" s="34"/>
      <c r="M714" s="34"/>
      <c r="N714" s="34"/>
      <c r="O714" s="34"/>
      <c r="P714" s="34"/>
      <c r="Q714" s="34"/>
      <c r="R714" s="34"/>
      <c r="S714" s="34"/>
      <c r="T714" s="34"/>
      <c r="U714" s="34"/>
      <c r="V714" s="34"/>
    </row>
    <row r="715">
      <c r="A715" s="45"/>
      <c r="B715" s="45"/>
      <c r="C715" s="46"/>
      <c r="D715" s="45"/>
      <c r="E715" s="45"/>
      <c r="F715" s="46"/>
      <c r="G715" s="34" t="s">
        <v>56</v>
      </c>
      <c r="H715" s="34" t="s">
        <v>56</v>
      </c>
      <c r="I715" s="34"/>
      <c r="J715" s="34"/>
      <c r="K715" s="34"/>
      <c r="L715" s="34"/>
      <c r="M715" s="34"/>
      <c r="N715" s="34"/>
      <c r="O715" s="34"/>
      <c r="P715" s="34"/>
      <c r="Q715" s="34"/>
      <c r="R715" s="34"/>
      <c r="S715" s="34"/>
      <c r="T715" s="34"/>
      <c r="U715" s="34"/>
      <c r="V715" s="34"/>
    </row>
    <row r="716">
      <c r="A716" s="45"/>
      <c r="B716" s="45"/>
      <c r="C716" s="45"/>
      <c r="D716" s="45"/>
      <c r="E716" s="45"/>
      <c r="F716" s="46"/>
      <c r="G716" s="34" t="s">
        <v>56</v>
      </c>
      <c r="H716" s="34" t="s">
        <v>56</v>
      </c>
      <c r="I716" s="34"/>
      <c r="J716" s="34"/>
      <c r="K716" s="34"/>
      <c r="L716" s="34"/>
      <c r="M716" s="34"/>
      <c r="N716" s="34"/>
      <c r="O716" s="34"/>
      <c r="P716" s="34"/>
      <c r="Q716" s="34"/>
      <c r="R716" s="34"/>
      <c r="S716" s="34"/>
      <c r="T716" s="34"/>
      <c r="U716" s="34"/>
      <c r="V716" s="34"/>
    </row>
    <row r="717">
      <c r="A717" s="45"/>
      <c r="B717" s="45"/>
      <c r="C717" s="45"/>
      <c r="D717" s="45"/>
      <c r="E717" s="45"/>
      <c r="F717" s="46"/>
      <c r="G717" s="34" t="s">
        <v>56</v>
      </c>
      <c r="H717" s="34" t="s">
        <v>56</v>
      </c>
      <c r="I717" s="34"/>
      <c r="J717" s="34"/>
      <c r="K717" s="34"/>
      <c r="L717" s="34"/>
      <c r="M717" s="34"/>
      <c r="N717" s="34"/>
      <c r="O717" s="34"/>
      <c r="P717" s="34"/>
      <c r="Q717" s="34"/>
      <c r="R717" s="34"/>
      <c r="S717" s="34"/>
      <c r="T717" s="34"/>
      <c r="U717" s="34"/>
      <c r="V717" s="34"/>
    </row>
    <row r="718">
      <c r="A718" s="45"/>
      <c r="B718" s="45"/>
      <c r="C718" s="45"/>
      <c r="D718" s="45"/>
      <c r="E718" s="45"/>
      <c r="F718" s="46"/>
      <c r="G718" s="34" t="s">
        <v>56</v>
      </c>
      <c r="H718" s="34" t="s">
        <v>56</v>
      </c>
      <c r="I718" s="34"/>
      <c r="J718" s="34"/>
      <c r="K718" s="34"/>
      <c r="L718" s="34"/>
      <c r="M718" s="34"/>
      <c r="N718" s="34"/>
      <c r="O718" s="34"/>
      <c r="P718" s="34"/>
      <c r="Q718" s="34"/>
      <c r="R718" s="34"/>
      <c r="S718" s="34"/>
      <c r="T718" s="34"/>
      <c r="U718" s="34"/>
      <c r="V718" s="34"/>
    </row>
    <row r="719">
      <c r="A719" s="45"/>
      <c r="B719" s="45"/>
      <c r="C719" s="45"/>
      <c r="D719" s="45"/>
      <c r="E719" s="45"/>
      <c r="F719" s="46"/>
      <c r="G719" s="34" t="s">
        <v>56</v>
      </c>
      <c r="H719" s="34" t="s">
        <v>56</v>
      </c>
      <c r="I719" s="34"/>
      <c r="J719" s="34"/>
      <c r="K719" s="34"/>
      <c r="L719" s="34"/>
      <c r="M719" s="34"/>
      <c r="N719" s="34"/>
      <c r="O719" s="34"/>
      <c r="P719" s="34"/>
      <c r="Q719" s="34"/>
      <c r="R719" s="34"/>
      <c r="S719" s="34"/>
      <c r="T719" s="34"/>
      <c r="U719" s="34"/>
      <c r="V719" s="34"/>
    </row>
    <row r="720">
      <c r="A720" s="45"/>
      <c r="B720" s="45"/>
      <c r="C720" s="45"/>
      <c r="D720" s="45"/>
      <c r="E720" s="45"/>
      <c r="F720" s="46"/>
      <c r="G720" s="34" t="s">
        <v>56</v>
      </c>
      <c r="H720" s="34" t="s">
        <v>56</v>
      </c>
      <c r="I720" s="34"/>
      <c r="J720" s="34"/>
      <c r="K720" s="34"/>
      <c r="L720" s="34"/>
      <c r="M720" s="34"/>
      <c r="N720" s="34"/>
      <c r="O720" s="34"/>
      <c r="P720" s="34"/>
      <c r="Q720" s="34"/>
      <c r="R720" s="34"/>
      <c r="S720" s="34"/>
      <c r="T720" s="34"/>
      <c r="U720" s="34"/>
      <c r="V720" s="34"/>
    </row>
    <row r="721">
      <c r="A721" s="45"/>
      <c r="B721" s="45"/>
      <c r="C721" s="45"/>
      <c r="D721" s="45"/>
      <c r="E721" s="45"/>
      <c r="F721" s="46"/>
      <c r="G721" s="34" t="s">
        <v>56</v>
      </c>
      <c r="H721" s="34" t="s">
        <v>56</v>
      </c>
      <c r="I721" s="34"/>
      <c r="J721" s="34"/>
      <c r="K721" s="34"/>
      <c r="L721" s="34"/>
      <c r="M721" s="34"/>
      <c r="N721" s="34"/>
      <c r="O721" s="34"/>
      <c r="P721" s="34"/>
      <c r="Q721" s="34"/>
      <c r="R721" s="34"/>
      <c r="S721" s="34"/>
      <c r="T721" s="34"/>
      <c r="U721" s="34"/>
      <c r="V721" s="34"/>
    </row>
    <row r="722">
      <c r="A722" s="45"/>
      <c r="B722" s="45"/>
      <c r="C722" s="46"/>
      <c r="D722" s="45"/>
      <c r="E722" s="45"/>
      <c r="F722" s="45"/>
      <c r="G722" s="34" t="s">
        <v>56</v>
      </c>
      <c r="H722" s="34" t="s">
        <v>56</v>
      </c>
      <c r="I722" s="34"/>
      <c r="J722" s="34"/>
      <c r="K722" s="34"/>
      <c r="L722" s="34"/>
      <c r="M722" s="34"/>
      <c r="N722" s="34"/>
      <c r="O722" s="34"/>
      <c r="P722" s="34"/>
      <c r="Q722" s="34"/>
      <c r="R722" s="34"/>
      <c r="S722" s="34"/>
      <c r="T722" s="34"/>
      <c r="U722" s="34"/>
      <c r="V722" s="34"/>
    </row>
    <row r="723">
      <c r="A723" s="45"/>
      <c r="B723" s="45"/>
      <c r="C723" s="45"/>
      <c r="D723" s="45"/>
      <c r="E723" s="45"/>
      <c r="F723" s="46"/>
      <c r="G723" s="34" t="s">
        <v>56</v>
      </c>
      <c r="H723" s="34" t="s">
        <v>56</v>
      </c>
      <c r="I723" s="34"/>
      <c r="J723" s="34"/>
      <c r="K723" s="34"/>
      <c r="L723" s="34"/>
      <c r="M723" s="34"/>
      <c r="N723" s="34"/>
      <c r="O723" s="34"/>
      <c r="P723" s="34"/>
      <c r="Q723" s="34"/>
      <c r="R723" s="34"/>
      <c r="S723" s="34"/>
      <c r="T723" s="34"/>
      <c r="U723" s="34"/>
      <c r="V723" s="34"/>
    </row>
    <row r="724">
      <c r="A724" s="45"/>
      <c r="B724" s="45"/>
      <c r="C724" s="45"/>
      <c r="D724" s="45"/>
      <c r="E724" s="45"/>
      <c r="F724" s="46"/>
      <c r="G724" s="34" t="s">
        <v>56</v>
      </c>
      <c r="H724" s="34" t="s">
        <v>56</v>
      </c>
      <c r="I724" s="34"/>
      <c r="J724" s="34"/>
      <c r="K724" s="34"/>
      <c r="L724" s="34"/>
      <c r="M724" s="34"/>
      <c r="N724" s="34"/>
      <c r="O724" s="34"/>
      <c r="P724" s="34"/>
      <c r="Q724" s="34"/>
      <c r="R724" s="34"/>
      <c r="S724" s="34"/>
      <c r="T724" s="34"/>
      <c r="U724" s="34"/>
      <c r="V724" s="34"/>
    </row>
    <row r="725">
      <c r="A725" s="45"/>
      <c r="B725" s="45"/>
      <c r="C725" s="45"/>
      <c r="D725" s="45"/>
      <c r="E725" s="45"/>
      <c r="F725" s="46"/>
      <c r="G725" s="34" t="s">
        <v>56</v>
      </c>
      <c r="H725" s="34" t="s">
        <v>56</v>
      </c>
      <c r="I725" s="34"/>
      <c r="J725" s="34"/>
      <c r="K725" s="34"/>
      <c r="L725" s="34"/>
      <c r="M725" s="34"/>
      <c r="N725" s="34"/>
      <c r="O725" s="34"/>
      <c r="P725" s="34"/>
      <c r="Q725" s="34"/>
      <c r="R725" s="34"/>
      <c r="S725" s="34"/>
      <c r="T725" s="34"/>
      <c r="U725" s="34"/>
      <c r="V725" s="34"/>
    </row>
    <row r="726">
      <c r="A726" s="45"/>
      <c r="B726" s="45"/>
      <c r="C726" s="45"/>
      <c r="D726" s="45"/>
      <c r="E726" s="45"/>
      <c r="F726" s="46"/>
      <c r="G726" s="34" t="s">
        <v>56</v>
      </c>
      <c r="H726" s="34" t="s">
        <v>56</v>
      </c>
      <c r="I726" s="34"/>
      <c r="J726" s="34"/>
      <c r="K726" s="34"/>
      <c r="L726" s="34"/>
      <c r="M726" s="34"/>
      <c r="N726" s="34"/>
      <c r="O726" s="34"/>
      <c r="P726" s="34"/>
      <c r="Q726" s="34"/>
      <c r="R726" s="34"/>
      <c r="S726" s="34"/>
      <c r="T726" s="34"/>
      <c r="U726" s="34"/>
      <c r="V726" s="34"/>
    </row>
    <row r="727">
      <c r="A727" s="45"/>
      <c r="B727" s="45"/>
      <c r="C727" s="45"/>
      <c r="D727" s="45"/>
      <c r="E727" s="45"/>
      <c r="F727" s="46"/>
      <c r="G727" s="34" t="s">
        <v>56</v>
      </c>
      <c r="H727" s="34" t="s">
        <v>56</v>
      </c>
      <c r="I727" s="34"/>
      <c r="J727" s="34"/>
      <c r="K727" s="34"/>
      <c r="L727" s="34"/>
      <c r="M727" s="34"/>
      <c r="N727" s="34"/>
      <c r="O727" s="34"/>
      <c r="P727" s="34"/>
      <c r="Q727" s="34"/>
      <c r="R727" s="34"/>
      <c r="S727" s="34"/>
      <c r="T727" s="34"/>
      <c r="U727" s="34"/>
      <c r="V727" s="34"/>
    </row>
    <row r="728">
      <c r="A728" s="45"/>
      <c r="B728" s="45"/>
      <c r="C728" s="46"/>
      <c r="D728" s="45"/>
      <c r="E728" s="45"/>
      <c r="F728" s="46"/>
      <c r="G728" s="34" t="s">
        <v>56</v>
      </c>
      <c r="H728" s="34" t="s">
        <v>56</v>
      </c>
      <c r="I728" s="34"/>
      <c r="J728" s="34"/>
      <c r="K728" s="34"/>
      <c r="L728" s="34"/>
      <c r="M728" s="34"/>
      <c r="N728" s="34"/>
      <c r="O728" s="34"/>
      <c r="P728" s="34"/>
      <c r="Q728" s="34"/>
      <c r="R728" s="34"/>
      <c r="S728" s="34"/>
      <c r="T728" s="34"/>
      <c r="U728" s="34"/>
      <c r="V728" s="34"/>
    </row>
    <row r="729">
      <c r="A729" s="45"/>
      <c r="B729" s="45"/>
      <c r="C729" s="45"/>
      <c r="D729" s="45"/>
      <c r="E729" s="45"/>
      <c r="F729" s="46"/>
      <c r="G729" s="34" t="s">
        <v>56</v>
      </c>
      <c r="H729" s="34" t="s">
        <v>56</v>
      </c>
      <c r="I729" s="34"/>
      <c r="J729" s="34"/>
      <c r="K729" s="34"/>
      <c r="L729" s="34"/>
      <c r="M729" s="34"/>
      <c r="N729" s="34"/>
      <c r="O729" s="34"/>
      <c r="P729" s="34"/>
      <c r="Q729" s="34"/>
      <c r="R729" s="34"/>
      <c r="S729" s="34"/>
      <c r="T729" s="34"/>
      <c r="U729" s="34"/>
      <c r="V729" s="34"/>
    </row>
    <row r="730">
      <c r="A730" s="45"/>
      <c r="B730" s="45"/>
      <c r="C730" s="45"/>
      <c r="D730" s="45"/>
      <c r="E730" s="45"/>
      <c r="F730" s="46"/>
      <c r="G730" s="34" t="s">
        <v>56</v>
      </c>
      <c r="H730" s="34" t="s">
        <v>56</v>
      </c>
      <c r="I730" s="34"/>
      <c r="J730" s="34"/>
      <c r="K730" s="34"/>
      <c r="L730" s="34"/>
      <c r="M730" s="34"/>
      <c r="N730" s="34"/>
      <c r="O730" s="34"/>
      <c r="P730" s="34"/>
      <c r="Q730" s="34"/>
      <c r="R730" s="34"/>
      <c r="S730" s="34"/>
      <c r="T730" s="34"/>
      <c r="U730" s="34"/>
      <c r="V730" s="34"/>
    </row>
    <row r="731">
      <c r="A731" s="45"/>
      <c r="B731" s="45"/>
      <c r="C731" s="46"/>
      <c r="D731" s="45"/>
      <c r="E731" s="45"/>
      <c r="F731" s="46"/>
      <c r="G731" s="34" t="s">
        <v>56</v>
      </c>
      <c r="H731" s="34" t="s">
        <v>56</v>
      </c>
      <c r="I731" s="34"/>
      <c r="J731" s="34"/>
      <c r="K731" s="34"/>
      <c r="L731" s="34"/>
      <c r="M731" s="34"/>
      <c r="N731" s="34"/>
      <c r="O731" s="34"/>
      <c r="P731" s="34"/>
      <c r="Q731" s="34"/>
      <c r="R731" s="34"/>
      <c r="S731" s="34"/>
      <c r="T731" s="34"/>
      <c r="U731" s="34"/>
      <c r="V731" s="34"/>
    </row>
    <row r="732">
      <c r="A732" s="45"/>
      <c r="B732" s="45"/>
      <c r="C732" s="46"/>
      <c r="D732" s="45"/>
      <c r="E732" s="45"/>
      <c r="F732" s="46"/>
      <c r="G732" s="34" t="s">
        <v>56</v>
      </c>
      <c r="H732" s="34" t="s">
        <v>56</v>
      </c>
      <c r="I732" s="34"/>
      <c r="J732" s="34"/>
      <c r="K732" s="34"/>
      <c r="L732" s="34"/>
      <c r="M732" s="34"/>
      <c r="N732" s="34"/>
      <c r="O732" s="34"/>
      <c r="P732" s="34"/>
      <c r="Q732" s="34"/>
      <c r="R732" s="34"/>
      <c r="S732" s="34"/>
      <c r="T732" s="34"/>
      <c r="U732" s="34"/>
      <c r="V732" s="34"/>
    </row>
    <row r="733">
      <c r="A733" s="45"/>
      <c r="B733" s="45"/>
      <c r="C733" s="46"/>
      <c r="D733" s="45"/>
      <c r="E733" s="45"/>
      <c r="F733" s="46"/>
      <c r="G733" s="34" t="s">
        <v>56</v>
      </c>
      <c r="H733" s="34" t="s">
        <v>56</v>
      </c>
      <c r="I733" s="34"/>
      <c r="J733" s="34"/>
      <c r="K733" s="34"/>
      <c r="L733" s="34"/>
      <c r="M733" s="34"/>
      <c r="N733" s="34"/>
      <c r="O733" s="34"/>
      <c r="P733" s="34"/>
      <c r="Q733" s="34"/>
      <c r="R733" s="34"/>
      <c r="S733" s="34"/>
      <c r="T733" s="34"/>
      <c r="U733" s="34"/>
      <c r="V733" s="34"/>
    </row>
    <row r="734">
      <c r="G734" s="47" t="s">
        <v>56</v>
      </c>
      <c r="H734" s="47" t="s">
        <v>56</v>
      </c>
      <c r="I734" s="47"/>
      <c r="J734" s="47"/>
      <c r="K734" s="47"/>
      <c r="L734" s="47"/>
      <c r="M734" s="47"/>
      <c r="N734" s="47"/>
      <c r="O734" s="47"/>
      <c r="P734" s="47"/>
      <c r="Q734" s="47"/>
      <c r="R734" s="47"/>
      <c r="S734" s="47"/>
      <c r="T734" s="47"/>
      <c r="U734" s="47"/>
      <c r="V734" s="47"/>
    </row>
    <row r="735">
      <c r="G735" s="47" t="s">
        <v>56</v>
      </c>
      <c r="H735" s="47" t="s">
        <v>56</v>
      </c>
      <c r="I735" s="47"/>
      <c r="J735" s="47"/>
      <c r="K735" s="47"/>
      <c r="L735" s="47"/>
      <c r="M735" s="47"/>
      <c r="N735" s="47"/>
      <c r="O735" s="47"/>
      <c r="P735" s="47"/>
      <c r="Q735" s="47"/>
      <c r="R735" s="47"/>
      <c r="S735" s="47"/>
      <c r="T735" s="47"/>
      <c r="U735" s="47"/>
      <c r="V735" s="47"/>
    </row>
  </sheetData>
  <conditionalFormatting sqref="F2:F733">
    <cfRule type="notContainsBlanks" dxfId="0" priority="1">
      <formula>LEN(TRIM(F2))&gt;0</formula>
    </cfRule>
  </conditionalFormatting>
  <conditionalFormatting sqref="A2:B733 C2:C641 E2:V733 D7:D733 C643:C733">
    <cfRule type="expression" dxfId="1" priority="2">
      <formula>AND(NOT($G2=""),$G2&gt;1)</formula>
    </cfRule>
  </conditionalFormatting>
  <conditionalFormatting sqref="A2:B733 C2:C641 E2:V733 D7:D733 C643:C733">
    <cfRule type="expression" dxfId="2" priority="3">
      <formula>AND($A2 &lt;&gt;"", $G2="")</formula>
    </cfRule>
  </conditionalFormatting>
  <hyperlinks>
    <hyperlink r:id="rId1" ref="C2"/>
    <hyperlink r:id="rId2" ref="C7"/>
    <hyperlink r:id="rId3" ref="D8"/>
    <hyperlink r:id="rId4" ref="C9"/>
    <hyperlink r:id="rId5" ref="D9"/>
    <hyperlink r:id="rId6" location="v=onepage&amp;q&amp;f=false." ref="C249"/>
    <hyperlink r:id="rId7" location="v=onepage&amp;q&amp;f=false" ref="D249"/>
    <hyperlink r:id="rId8" location="v=onepage&amp;q&amp;f=false" ref="D250"/>
    <hyperlink r:id="rId9" ref="D474"/>
    <hyperlink r:id="rId10" ref="C475"/>
    <hyperlink r:id="rId11" ref="D476"/>
    <hyperlink r:id="rId12" ref="D477"/>
  </hyperlinks>
  <drawing r:id="rId1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topLeftCell="F1" activePane="topRight" state="frozen"/>
      <selection activeCell="G2" sqref="G2" pane="topRight"/>
    </sheetView>
  </sheetViews>
  <sheetFormatPr customHeight="1" defaultColWidth="12.63" defaultRowHeight="15.75"/>
  <cols>
    <col customWidth="1" min="1" max="1" width="3.88"/>
    <col customWidth="1" min="2" max="2" width="17.75"/>
    <col customWidth="1" min="3" max="3" width="4.5"/>
    <col customWidth="1" min="4" max="4" width="31.25"/>
    <col customWidth="1" min="5" max="5" width="3.38"/>
    <col customWidth="1" hidden="1" min="6" max="6" width="22.38"/>
    <col customWidth="1" min="11" max="11" width="19.63"/>
    <col customWidth="1" min="12" max="12" width="16.75"/>
    <col customWidth="1" min="13" max="13" width="20.13"/>
    <col customWidth="1" min="14" max="14" width="21.0"/>
    <col customWidth="1" min="15" max="15" width="15.13"/>
  </cols>
  <sheetData>
    <row r="1">
      <c r="A1" s="48" t="s">
        <v>1218</v>
      </c>
      <c r="B1" s="49" t="s">
        <v>1219</v>
      </c>
      <c r="C1" s="49" t="s">
        <v>1220</v>
      </c>
      <c r="D1" s="50" t="s">
        <v>1221</v>
      </c>
      <c r="E1" s="49"/>
      <c r="F1" s="51" t="s">
        <v>1222</v>
      </c>
      <c r="G1" s="49" t="s">
        <v>1223</v>
      </c>
      <c r="H1" s="52" t="s">
        <v>1224</v>
      </c>
      <c r="I1" s="49" t="s">
        <v>1225</v>
      </c>
      <c r="J1" s="52" t="s">
        <v>1226</v>
      </c>
      <c r="K1" s="51" t="s">
        <v>1227</v>
      </c>
      <c r="L1" s="51" t="s">
        <v>1228</v>
      </c>
      <c r="M1" s="52" t="s">
        <v>1229</v>
      </c>
      <c r="N1" s="52" t="s">
        <v>1230</v>
      </c>
      <c r="O1" s="52" t="s">
        <v>1231</v>
      </c>
      <c r="P1" s="53"/>
      <c r="Q1" s="53"/>
      <c r="R1" s="53"/>
      <c r="S1" s="53"/>
      <c r="T1" s="53"/>
      <c r="U1" s="53"/>
      <c r="V1" s="53"/>
      <c r="W1" s="53"/>
      <c r="X1" s="53"/>
      <c r="Y1" s="53"/>
    </row>
    <row r="2" hidden="1">
      <c r="A2" s="54"/>
      <c r="B2" s="55" t="str">
        <f>IFERROR(__xludf.DUMMYFUNCTION("FILTER('Raw Output'!E:E, 'Raw Output'!$G:$G=1)"),"Source Name")</f>
        <v>Source Name</v>
      </c>
      <c r="C2" s="55" t="str">
        <f>IFERROR(__xludf.DUMMYFUNCTION("FILTER(TEXT('Raw Output'!A:A, ""000""), 'Raw Output'!$G:$G=1)"),"001")</f>
        <v>001</v>
      </c>
      <c r="D2" s="55" t="str">
        <f>IFERROR(__xludf.DUMMYFUNCTION("FILTER('Raw Output'!D:D, 'Raw Output'!$G:$G=1)"),"Citation Text")</f>
        <v>Citation Text</v>
      </c>
      <c r="E2" s="56" t="str">
        <f t="array" ref="E2:E952">if($B$2:$B952 &lt;&gt; "", hyperlink("https://drive.google.com/drive/search?q=parent:" &amp; Properties!$C$8 &amp; "%20" &amp; char(34) &amp; $F$2:$F952 &amp; char(34), "➔"), "")</f>
        <v>➔</v>
      </c>
      <c r="F2" s="57" t="str">
        <f t="array" ref="F2:F952">if($B$2:$B952&lt;&gt;"","SP-"&amp;$A$2:$A952 &amp;"-"&amp;$B$2:$B952&amp;".pdf", "")</f>
        <v>SP--Source Name.pdf</v>
      </c>
      <c r="G2" s="58"/>
      <c r="H2" s="58"/>
      <c r="I2" s="58"/>
      <c r="J2" s="57"/>
      <c r="K2" s="57"/>
      <c r="L2" s="57"/>
      <c r="M2" s="57"/>
      <c r="N2" s="57"/>
      <c r="O2" s="59"/>
      <c r="P2" s="59"/>
      <c r="Q2" s="59"/>
      <c r="R2" s="59"/>
      <c r="S2" s="59"/>
      <c r="T2" s="59"/>
      <c r="U2" s="59"/>
      <c r="V2" s="59"/>
      <c r="W2" s="59"/>
      <c r="X2" s="59"/>
      <c r="Y2" s="59"/>
    </row>
    <row r="3">
      <c r="A3" s="60" t="s">
        <v>1232</v>
      </c>
      <c r="B3" s="61" t="str">
        <f>IFERROR(__xludf.DUMMYFUNCTION("""COMPUTED_VALUE"""),"Tortorich")</f>
        <v>Tortorich</v>
      </c>
      <c r="C3" s="61" t="str">
        <f>IFERROR(__xludf.DUMMYFUNCTION("""COMPUTED_VALUE"""),"002")</f>
        <v>002</v>
      </c>
      <c r="D3" s="61" t="str">
        <f>IFERROR(__xludf.DUMMYFUNCTION("""COMPUTED_VALUE"""),"Frank Tortorich, Jr., The Opening of the Carson River Route, 18 Overland Journal 1, 22 (Spring 2000)")</f>
        <v>Frank Tortorich, Jr., The Opening of the Carson River Route, 18 Overland Journal 1, 22 (Spring 2000)</v>
      </c>
      <c r="E3" s="62" t="s">
        <v>1233</v>
      </c>
      <c r="F3" s="63" t="s">
        <v>1234</v>
      </c>
      <c r="G3" s="64" t="s">
        <v>1235</v>
      </c>
      <c r="H3" s="65"/>
      <c r="I3" s="66"/>
      <c r="J3" s="67"/>
      <c r="K3" s="68"/>
      <c r="L3" s="67"/>
      <c r="M3" s="67"/>
      <c r="N3" s="69"/>
      <c r="O3" s="70"/>
      <c r="P3" s="71"/>
      <c r="Q3" s="71"/>
      <c r="R3" s="72"/>
      <c r="S3" s="72"/>
      <c r="T3" s="72"/>
      <c r="U3" s="72"/>
      <c r="V3" s="72"/>
      <c r="W3" s="72"/>
      <c r="X3" s="72"/>
      <c r="Y3" s="72"/>
    </row>
    <row r="4">
      <c r="A4" s="60" t="s">
        <v>1236</v>
      </c>
      <c r="B4" s="61" t="str">
        <f>IFERROR(__xludf.DUMMYFUNCTION("""COMPUTED_VALUE"""),"Munson")</f>
        <v>Munson</v>
      </c>
      <c r="C4" s="63" t="str">
        <f>IFERROR(__xludf.DUMMYFUNCTION("""COMPUTED_VALUE"""),"002")</f>
        <v>002</v>
      </c>
      <c r="D4" s="73" t="str">
        <f>IFERROR(__xludf.DUMMYFUNCTION("""COMPUTED_VALUE"""),"Jeff Munson, “Emigrant Trail tour promises spectacular colors,” Tahoe Daily Tribune (Oct. 12, 2005), https://www.tahoedailytribune.com/news/emigrant-trail-tour-promises-spectacular-colors/")</f>
        <v>Jeff Munson, “Emigrant Trail tour promises spectacular colors,” Tahoe Daily Tribune (Oct. 12, 2005), https://www.tahoedailytribune.com/news/emigrant-trail-tour-promises-spectacular-colors/</v>
      </c>
      <c r="E4" s="74" t="s">
        <v>1233</v>
      </c>
      <c r="F4" s="63" t="s">
        <v>1237</v>
      </c>
      <c r="G4" s="64" t="s">
        <v>1235</v>
      </c>
      <c r="H4" s="34"/>
      <c r="I4" s="75"/>
      <c r="J4" s="67"/>
      <c r="K4" s="68"/>
      <c r="L4" s="67"/>
      <c r="M4" s="67"/>
      <c r="N4" s="68"/>
      <c r="O4" s="70"/>
      <c r="P4" s="71"/>
      <c r="Q4" s="71"/>
      <c r="R4" s="72"/>
      <c r="S4" s="72"/>
      <c r="T4" s="72"/>
      <c r="U4" s="72"/>
      <c r="V4" s="72"/>
      <c r="W4" s="72"/>
      <c r="X4" s="72"/>
      <c r="Y4" s="72"/>
    </row>
    <row r="5">
      <c r="A5" s="60" t="s">
        <v>1238</v>
      </c>
      <c r="B5" s="61" t="str">
        <f>IFERROR(__xludf.DUMMYFUNCTION("""COMPUTED_VALUE"""),"Hope Valley Recreation")</f>
        <v>Hope Valley Recreation</v>
      </c>
      <c r="C5" s="63" t="str">
        <f>IFERROR(__xludf.DUMMYFUNCTION("""COMPUTED_VALUE"""),"003")</f>
        <v>003</v>
      </c>
      <c r="D5" s="76" t="str">
        <f>IFERROR(__xludf.DUMMYFUNCTION("""COMPUTED_VALUE"""),"https://www.fs.usda.gov/Internet/FSE_DOCUMENTS/stelprdb5294291.pdf.")</f>
        <v>https://www.fs.usda.gov/Internet/FSE_DOCUMENTS/stelprdb5294291.pdf.</v>
      </c>
      <c r="E5" s="74" t="s">
        <v>1233</v>
      </c>
      <c r="F5" s="63" t="s">
        <v>1239</v>
      </c>
      <c r="G5" s="64" t="s">
        <v>1235</v>
      </c>
      <c r="H5" s="65"/>
      <c r="I5" s="66"/>
      <c r="J5" s="67"/>
      <c r="K5" s="67"/>
      <c r="L5" s="67"/>
      <c r="M5" s="67"/>
      <c r="N5" s="68"/>
      <c r="O5" s="70"/>
      <c r="P5" s="71"/>
      <c r="Q5" s="71"/>
      <c r="R5" s="72"/>
      <c r="S5" s="72"/>
      <c r="T5" s="72"/>
      <c r="U5" s="72"/>
      <c r="V5" s="72"/>
      <c r="W5" s="72"/>
      <c r="X5" s="72"/>
      <c r="Y5" s="72"/>
    </row>
    <row r="6">
      <c r="A6" s="60" t="s">
        <v>1240</v>
      </c>
      <c r="B6" s="61" t="str">
        <f>IFERROR(__xludf.DUMMYFUNCTION("""COMPUTED_VALUE"""),"Memorandum")</f>
        <v>Memorandum</v>
      </c>
      <c r="C6" s="63" t="str">
        <f>IFERROR(__xludf.DUMMYFUNCTION("""COMPUTED_VALUE"""),"004")</f>
        <v>004</v>
      </c>
      <c r="D6" s="77" t="str">
        <f>IFERROR(__xludf.DUMMYFUNCTION("""COMPUTED_VALUE"""),"Memorandum of Opinion and Order, Friends of Hope Valley v. U.S. Forest Serv., No. 2:00-cv-01900-DFL-KJM, 2 (E.D. Cal. Sept. 30, 2004)")</f>
        <v>Memorandum of Opinion and Order, Friends of Hope Valley v. U.S. Forest Serv., No. 2:00-cv-01900-DFL-KJM, 2 (E.D. Cal. Sept. 30, 2004)</v>
      </c>
      <c r="E6" s="74" t="s">
        <v>1233</v>
      </c>
      <c r="F6" s="63" t="s">
        <v>1241</v>
      </c>
      <c r="G6" s="64" t="s">
        <v>1235</v>
      </c>
      <c r="H6" s="65"/>
      <c r="I6" s="66"/>
      <c r="J6" s="67"/>
      <c r="K6" s="68"/>
      <c r="L6" s="67"/>
      <c r="M6" s="67"/>
      <c r="N6" s="67"/>
      <c r="O6" s="70"/>
      <c r="P6" s="78"/>
      <c r="Q6" s="78"/>
      <c r="R6" s="72"/>
      <c r="S6" s="72"/>
      <c r="T6" s="72"/>
      <c r="U6" s="72"/>
      <c r="V6" s="72"/>
      <c r="W6" s="72"/>
      <c r="X6" s="72"/>
      <c r="Y6" s="72"/>
    </row>
    <row r="7">
      <c r="A7" s="60" t="s">
        <v>1242</v>
      </c>
      <c r="B7" s="61" t="str">
        <f>IFERROR(__xludf.DUMMYFUNCTION("""COMPUTED_VALUE"""),"Friends of Hope Valley v US Forest Service")</f>
        <v>Friends of Hope Valley v US Forest Service</v>
      </c>
      <c r="C7" s="63" t="str">
        <f>IFERROR(__xludf.DUMMYFUNCTION("""COMPUTED_VALUE"""),"006")</f>
        <v>006</v>
      </c>
      <c r="D7" s="73" t="str">
        <f>IFERROR(__xludf.DUMMYFUNCTION("""COMPUTED_VALUE"""),"Friends of Hope Valley v. U.S. Forest Service, 203 Fed. Appx. 883 (9th Cir. 2006) (unpublished)")</f>
        <v>Friends of Hope Valley v. U.S. Forest Service, 203 Fed. Appx. 883 (9th Cir. 2006) (unpublished)</v>
      </c>
      <c r="E7" s="74" t="s">
        <v>1233</v>
      </c>
      <c r="F7" s="63" t="s">
        <v>1243</v>
      </c>
      <c r="G7" s="64" t="s">
        <v>1235</v>
      </c>
      <c r="H7" s="78"/>
      <c r="I7" s="66"/>
      <c r="J7" s="68"/>
      <c r="K7" s="67"/>
      <c r="L7" s="67"/>
      <c r="M7" s="67"/>
      <c r="N7" s="67"/>
      <c r="O7" s="70"/>
      <c r="P7" s="71"/>
      <c r="Q7" s="71"/>
      <c r="R7" s="72"/>
      <c r="S7" s="72"/>
      <c r="T7" s="72"/>
      <c r="U7" s="72"/>
      <c r="V7" s="72"/>
      <c r="W7" s="72"/>
      <c r="X7" s="72"/>
      <c r="Y7" s="72"/>
    </row>
    <row r="8">
      <c r="A8" s="60" t="s">
        <v>1244</v>
      </c>
      <c r="B8" s="61" t="str">
        <f>IFERROR(__xludf.DUMMYFUNCTION("""COMPUTED_VALUE"""),"APA")</f>
        <v>APA</v>
      </c>
      <c r="C8" s="63" t="str">
        <f>IFERROR(__xludf.DUMMYFUNCTION("""COMPUTED_VALUE"""),"007")</f>
        <v>007</v>
      </c>
      <c r="D8" s="79" t="str">
        <f>IFERROR(__xludf.DUMMYFUNCTION("""COMPUTED_VALUE"""),"5 U.S.C. §§ 551-553, 701-706")</f>
        <v>5 U.S.C. §§ 551-553, 701-706</v>
      </c>
      <c r="E8" s="74" t="s">
        <v>1233</v>
      </c>
      <c r="F8" s="63" t="s">
        <v>1245</v>
      </c>
      <c r="G8" s="64" t="s">
        <v>1235</v>
      </c>
      <c r="H8" s="78"/>
      <c r="I8" s="66"/>
      <c r="J8" s="67"/>
      <c r="K8" s="68"/>
      <c r="L8" s="67"/>
      <c r="M8" s="67"/>
      <c r="N8" s="67"/>
      <c r="O8" s="70"/>
      <c r="P8" s="71"/>
      <c r="Q8" s="71"/>
      <c r="R8" s="72"/>
      <c r="S8" s="72"/>
      <c r="T8" s="72"/>
      <c r="U8" s="72"/>
      <c r="V8" s="72"/>
      <c r="W8" s="72"/>
      <c r="X8" s="72"/>
      <c r="Y8" s="72"/>
    </row>
    <row r="9">
      <c r="A9" s="60" t="s">
        <v>1246</v>
      </c>
      <c r="B9" s="61" t="str">
        <f>IFERROR(__xludf.DUMMYFUNCTION("""COMPUTED_VALUE"""),"Infra Notes 113, 151-153")</f>
        <v>Infra Notes 113, 151-153</v>
      </c>
      <c r="C9" s="63" t="str">
        <f>IFERROR(__xludf.DUMMYFUNCTION("""COMPUTED_VALUE"""),"007")</f>
        <v>007</v>
      </c>
      <c r="D9" s="79" t="str">
        <f>IFERROR(__xludf.DUMMYFUNCTION("""COMPUTED_VALUE"""),"infra notes 113, 151-153")</f>
        <v>infra notes 113, 151-153</v>
      </c>
      <c r="E9" s="74" t="s">
        <v>1233</v>
      </c>
      <c r="F9" s="63" t="s">
        <v>1247</v>
      </c>
      <c r="G9" s="64" t="s">
        <v>1235</v>
      </c>
      <c r="H9" s="78"/>
      <c r="I9" s="66"/>
      <c r="J9" s="68"/>
      <c r="K9" s="67"/>
      <c r="L9" s="67"/>
      <c r="M9" s="67"/>
      <c r="N9" s="67"/>
      <c r="O9" s="71"/>
      <c r="P9" s="71"/>
      <c r="Q9" s="71"/>
      <c r="R9" s="72"/>
      <c r="S9" s="72"/>
      <c r="T9" s="72"/>
      <c r="U9" s="72"/>
      <c r="V9" s="72"/>
      <c r="W9" s="72"/>
      <c r="X9" s="72"/>
      <c r="Y9" s="72"/>
    </row>
    <row r="10">
      <c r="A10" s="60" t="s">
        <v>1248</v>
      </c>
      <c r="B10" s="61" t="str">
        <f>IFERROR(__xludf.DUMMYFUNCTION("""COMPUTED_VALUE"""),"Alsea Valley Alliance v Dep't of Commerce")</f>
        <v>Alsea Valley Alliance v Dep't of Commerce</v>
      </c>
      <c r="C10" s="63" t="str">
        <f>IFERROR(__xludf.DUMMYFUNCTION("""COMPUTED_VALUE"""),"008")</f>
        <v>008</v>
      </c>
      <c r="D10" s="73" t="str">
        <f>IFERROR(__xludf.DUMMYFUNCTION("""COMPUTED_VALUE"""),"Alsea Valley Alliance v. Dep’t of Commerce, 358 F.3d 1181, 1184 (9th Cir. 2004)")</f>
        <v>Alsea Valley Alliance v. Dep’t of Commerce, 358 F.3d 1181, 1184 (9th Cir. 2004)</v>
      </c>
      <c r="E10" s="74" t="s">
        <v>1233</v>
      </c>
      <c r="F10" s="63" t="s">
        <v>1249</v>
      </c>
      <c r="G10" s="64" t="s">
        <v>1235</v>
      </c>
      <c r="H10" s="78"/>
      <c r="I10" s="66"/>
      <c r="J10" s="67"/>
      <c r="K10" s="67"/>
      <c r="L10" s="67"/>
      <c r="M10" s="67"/>
      <c r="N10" s="67"/>
      <c r="O10" s="70"/>
      <c r="P10" s="71"/>
      <c r="Q10" s="71"/>
      <c r="R10" s="72"/>
      <c r="S10" s="72"/>
      <c r="T10" s="72"/>
      <c r="U10" s="72"/>
      <c r="V10" s="72"/>
      <c r="W10" s="72"/>
      <c r="X10" s="72"/>
      <c r="Y10" s="72"/>
    </row>
    <row r="11">
      <c r="A11" s="60" t="s">
        <v>1250</v>
      </c>
      <c r="B11" s="61" t="str">
        <f>IFERROR(__xludf.DUMMYFUNCTION("""COMPUTED_VALUE"""),"Infra Part IB")</f>
        <v>Infra Part IB</v>
      </c>
      <c r="C11" s="80" t="str">
        <f>IFERROR(__xludf.DUMMYFUNCTION("""COMPUTED_VALUE"""),"009")</f>
        <v>009</v>
      </c>
      <c r="D11" s="81" t="str">
        <f>IFERROR(__xludf.DUMMYFUNCTION("""COMPUTED_VALUE"""),"infra Part I.B")</f>
        <v>infra Part I.B</v>
      </c>
      <c r="E11" s="82" t="s">
        <v>1233</v>
      </c>
      <c r="F11" s="63" t="s">
        <v>1251</v>
      </c>
      <c r="G11" s="64" t="s">
        <v>1235</v>
      </c>
      <c r="H11" s="78"/>
      <c r="I11" s="66"/>
      <c r="J11" s="68"/>
      <c r="K11" s="67"/>
      <c r="L11" s="67"/>
      <c r="M11" s="67"/>
      <c r="N11" s="67"/>
      <c r="O11" s="70"/>
      <c r="P11" s="71"/>
      <c r="Q11" s="71"/>
      <c r="R11" s="72"/>
      <c r="S11" s="72"/>
      <c r="T11" s="72"/>
      <c r="U11" s="72"/>
      <c r="V11" s="72"/>
      <c r="W11" s="72"/>
      <c r="X11" s="72"/>
      <c r="Y11" s="72"/>
    </row>
    <row r="12">
      <c r="A12" s="60" t="s">
        <v>1252</v>
      </c>
      <c r="B12" s="61" t="str">
        <f>IFERROR(__xludf.DUMMYFUNCTION("""COMPUTED_VALUE"""),"Infra Note 23")</f>
        <v>Infra Note 23</v>
      </c>
      <c r="C12" s="63" t="str">
        <f>IFERROR(__xludf.DUMMYFUNCTION("""COMPUTED_VALUE"""),"009")</f>
        <v>009</v>
      </c>
      <c r="D12" s="73" t="str">
        <f>IFERROR(__xludf.DUMMYFUNCTION("""COMPUTED_VALUE"""),"infra note 23")</f>
        <v>infra note 23</v>
      </c>
      <c r="E12" s="74" t="s">
        <v>1233</v>
      </c>
      <c r="F12" s="63" t="s">
        <v>1253</v>
      </c>
      <c r="G12" s="64" t="s">
        <v>1235</v>
      </c>
      <c r="H12" s="78"/>
      <c r="I12" s="66"/>
      <c r="J12" s="68"/>
      <c r="K12" s="67"/>
      <c r="L12" s="67"/>
      <c r="M12" s="67"/>
      <c r="N12" s="67"/>
      <c r="O12" s="70"/>
      <c r="P12" s="71"/>
      <c r="Q12" s="71"/>
      <c r="R12" s="72"/>
      <c r="S12" s="72"/>
      <c r="T12" s="72"/>
      <c r="U12" s="72"/>
      <c r="V12" s="72"/>
      <c r="W12" s="72"/>
      <c r="X12" s="72"/>
      <c r="Y12" s="72"/>
    </row>
    <row r="13">
      <c r="A13" s="60" t="s">
        <v>1254</v>
      </c>
      <c r="B13" s="61" t="str">
        <f>IFERROR(__xludf.DUMMYFUNCTION("""COMPUTED_VALUE"""),"Denver Cnty")</f>
        <v>Denver Cnty</v>
      </c>
      <c r="C13" s="63" t="str">
        <f>IFERROR(__xludf.DUMMYFUNCTION("""COMPUTED_VALUE"""),"010")</f>
        <v>010</v>
      </c>
      <c r="D13" s="79" t="str">
        <f>IFERROR(__xludf.DUMMYFUNCTION("""COMPUTED_VALUE"""),"C.W. by and through B.W. v. Denver Cnty. Sch. Dist. No. 1, 994 F.3d 1215, 1220 n.2 (10th Cir. 2021)")</f>
        <v>C.W. by and through B.W. v. Denver Cnty. Sch. Dist. No. 1, 994 F.3d 1215, 1220 n.2 (10th Cir. 2021)</v>
      </c>
      <c r="E13" s="74" t="s">
        <v>1233</v>
      </c>
      <c r="F13" s="63" t="s">
        <v>1255</v>
      </c>
      <c r="G13" s="64" t="s">
        <v>1235</v>
      </c>
      <c r="H13" s="65"/>
      <c r="I13" s="66"/>
      <c r="J13" s="67"/>
      <c r="K13" s="67"/>
      <c r="L13" s="67"/>
      <c r="M13" s="67"/>
      <c r="N13" s="68"/>
      <c r="O13" s="71"/>
      <c r="P13" s="71"/>
      <c r="Q13" s="71"/>
      <c r="R13" s="72"/>
      <c r="S13" s="72"/>
      <c r="T13" s="72"/>
      <c r="U13" s="72"/>
      <c r="V13" s="72"/>
      <c r="W13" s="72"/>
      <c r="X13" s="72"/>
      <c r="Y13" s="72"/>
    </row>
    <row r="14">
      <c r="A14" s="60" t="s">
        <v>1256</v>
      </c>
      <c r="B14" s="61" t="str">
        <f>IFERROR(__xludf.DUMMYFUNCTION("""COMPUTED_VALUE"""),"Montana Env't Info CTR")</f>
        <v>Montana Env't Info CTR</v>
      </c>
      <c r="C14" s="63" t="str">
        <f>IFERROR(__xludf.DUMMYFUNCTION("""COMPUTED_VALUE"""),"010")</f>
        <v>010</v>
      </c>
      <c r="D14" s="79" t="str">
        <f>IFERROR(__xludf.DUMMYFUNCTION("""COMPUTED_VALUE"""),"Montana Env’t Info. Ctr. v. Haaland, No. 22-36002, 2023 WL 8166779, at *1 (9th Cir. Nov. 24, 2023)")</f>
        <v>Montana Env’t Info. Ctr. v. Haaland, No. 22-36002, 2023 WL 8166779, at *1 (9th Cir. Nov. 24, 2023)</v>
      </c>
      <c r="E14" s="74" t="s">
        <v>1233</v>
      </c>
      <c r="F14" s="63" t="s">
        <v>1257</v>
      </c>
      <c r="G14" s="64" t="s">
        <v>1235</v>
      </c>
      <c r="H14" s="78"/>
      <c r="I14" s="66"/>
      <c r="J14" s="68"/>
      <c r="K14" s="67"/>
      <c r="L14" s="67"/>
      <c r="M14" s="67"/>
      <c r="N14" s="67"/>
      <c r="O14" s="70"/>
      <c r="P14" s="71"/>
      <c r="Q14" s="71"/>
      <c r="R14" s="72"/>
      <c r="S14" s="72"/>
      <c r="T14" s="72"/>
      <c r="U14" s="72"/>
      <c r="V14" s="72"/>
      <c r="W14" s="72"/>
      <c r="X14" s="72"/>
      <c r="Y14" s="72"/>
    </row>
    <row r="15">
      <c r="A15" s="60" t="s">
        <v>1258</v>
      </c>
      <c r="B15" s="61" t="str">
        <f>IFERROR(__xludf.DUMMYFUNCTION("""COMPUTED_VALUE"""),"Dcor")</f>
        <v>Dcor</v>
      </c>
      <c r="C15" s="63" t="str">
        <f>IFERROR(__xludf.DUMMYFUNCTION("""COMPUTED_VALUE"""),"010")</f>
        <v>010</v>
      </c>
      <c r="D15" s="77" t="str">
        <f>IFERROR(__xludf.DUMMYFUNCTION("""COMPUTED_VALUE"""),"DCOR, LLC v. U.S. Dep’t of the Interior, No. 3:21-CV-00120-N, 2023 WL 8628322, at *1 (N.D. Tex. Dec. 13, 2023)")</f>
        <v>DCOR, LLC v. U.S. Dep’t of the Interior, No. 3:21-CV-00120-N, 2023 WL 8628322, at *1 (N.D. Tex. Dec. 13, 2023)</v>
      </c>
      <c r="E15" s="74" t="s">
        <v>1233</v>
      </c>
      <c r="F15" s="63" t="s">
        <v>1259</v>
      </c>
      <c r="G15" s="64" t="s">
        <v>1235</v>
      </c>
      <c r="H15" s="78"/>
      <c r="I15" s="66"/>
      <c r="J15" s="68"/>
      <c r="K15" s="67"/>
      <c r="L15" s="67"/>
      <c r="M15" s="67"/>
      <c r="N15" s="68"/>
      <c r="O15" s="70"/>
      <c r="P15" s="71"/>
      <c r="Q15" s="71"/>
      <c r="R15" s="72"/>
      <c r="S15" s="72"/>
      <c r="T15" s="72"/>
      <c r="U15" s="72"/>
      <c r="V15" s="72"/>
      <c r="W15" s="72"/>
      <c r="X15" s="72"/>
      <c r="Y15" s="72"/>
    </row>
    <row r="16">
      <c r="A16" s="60" t="s">
        <v>1260</v>
      </c>
      <c r="B16" s="61" t="str">
        <f>IFERROR(__xludf.DUMMYFUNCTION("""COMPUTED_VALUE"""),"Infra Part I")</f>
        <v>Infra Part I</v>
      </c>
      <c r="C16" s="63" t="str">
        <f>IFERROR(__xludf.DUMMYFUNCTION("""COMPUTED_VALUE"""),"011")</f>
        <v>011</v>
      </c>
      <c r="D16" s="79" t="str">
        <f>IFERROR(__xludf.DUMMYFUNCTION("""COMPUTED_VALUE"""),"Part I, infra")</f>
        <v>Part I, infra</v>
      </c>
      <c r="E16" s="74" t="s">
        <v>1233</v>
      </c>
      <c r="F16" s="63" t="s">
        <v>1261</v>
      </c>
      <c r="G16" s="64" t="s">
        <v>1235</v>
      </c>
      <c r="H16" s="65"/>
      <c r="I16" s="66"/>
      <c r="J16" s="68"/>
      <c r="K16" s="68"/>
      <c r="L16" s="67"/>
      <c r="M16" s="67"/>
      <c r="N16" s="67"/>
      <c r="O16" s="70"/>
      <c r="P16" s="71"/>
      <c r="Q16" s="71"/>
      <c r="R16" s="72"/>
      <c r="S16" s="72"/>
      <c r="T16" s="72"/>
      <c r="U16" s="72"/>
      <c r="V16" s="72"/>
      <c r="W16" s="72"/>
      <c r="X16" s="72"/>
      <c r="Y16" s="72"/>
    </row>
    <row r="17">
      <c r="A17" s="60" t="s">
        <v>1262</v>
      </c>
      <c r="B17" s="61" t="str">
        <f>IFERROR(__xludf.DUMMYFUNCTION("""COMPUTED_VALUE"""),"Michaels")</f>
        <v>Michaels</v>
      </c>
      <c r="C17" s="80" t="str">
        <f>IFERROR(__xludf.DUMMYFUNCTION("""COMPUTED_VALUE"""),"001")</f>
        <v>001</v>
      </c>
      <c r="D17" s="83" t="str">
        <f>IFERROR(__xludf.DUMMYFUNCTION("""COMPUTED_VALUE"""),"Jon D. Michaels, Constitutional Coup: Privatization’s Threat to the American Republic, 21-77 (2017)")</f>
        <v>Jon D. Michaels, Constitutional Coup: Privatization’s Threat to the American Republic, 21-77 (2017)</v>
      </c>
      <c r="E17" s="82" t="s">
        <v>1233</v>
      </c>
      <c r="F17" s="63" t="s">
        <v>1263</v>
      </c>
      <c r="G17" s="64" t="s">
        <v>1235</v>
      </c>
      <c r="H17" s="71"/>
      <c r="I17" s="66"/>
      <c r="J17" s="68"/>
      <c r="K17" s="68"/>
      <c r="L17" s="69"/>
      <c r="M17" s="67"/>
      <c r="N17" s="67"/>
      <c r="O17" s="84"/>
      <c r="P17" s="71"/>
      <c r="Q17" s="78"/>
      <c r="R17" s="72"/>
      <c r="S17" s="72"/>
      <c r="T17" s="72"/>
      <c r="U17" s="72"/>
      <c r="V17" s="72"/>
      <c r="W17" s="72"/>
      <c r="X17" s="72"/>
      <c r="Y17" s="72"/>
    </row>
    <row r="18">
      <c r="A18" s="60" t="s">
        <v>1264</v>
      </c>
      <c r="B18" s="61" t="str">
        <f>IFERROR(__xludf.DUMMYFUNCTION("""COMPUTED_VALUE"""),"Developments")</f>
        <v>Developments</v>
      </c>
      <c r="C18" s="63" t="str">
        <f>IFERROR(__xludf.DUMMYFUNCTION("""COMPUTED_VALUE"""),"011")</f>
        <v>011</v>
      </c>
      <c r="D18" s="85" t="str">
        <f>IFERROR(__xludf.DUMMYFUNCTION("""COMPUTED_VALUE"""),"Developments in the Law—Presidential Authority, V. Executive Appointments, 125 Harv. L. Rev. 2135, 2138 (2012)")</f>
        <v>Developments in the Law—Presidential Authority, V. Executive Appointments, 125 Harv. L. Rev. 2135, 2138 (2012)</v>
      </c>
      <c r="E18" s="74" t="s">
        <v>1233</v>
      </c>
      <c r="F18" s="63" t="s">
        <v>1265</v>
      </c>
      <c r="G18" s="64" t="s">
        <v>1235</v>
      </c>
      <c r="H18" s="65"/>
      <c r="I18" s="66"/>
      <c r="J18" s="67"/>
      <c r="K18" s="68"/>
      <c r="L18" s="67"/>
      <c r="M18" s="67"/>
      <c r="N18" s="67"/>
      <c r="O18" s="86"/>
      <c r="P18" s="71"/>
      <c r="Q18" s="71"/>
      <c r="R18" s="72"/>
      <c r="S18" s="72"/>
      <c r="T18" s="72"/>
      <c r="U18" s="72"/>
      <c r="V18" s="72"/>
      <c r="W18" s="72"/>
      <c r="X18" s="72"/>
      <c r="Y18" s="72"/>
    </row>
    <row r="19">
      <c r="A19" s="60" t="s">
        <v>1266</v>
      </c>
      <c r="B19" s="61" t="str">
        <f>IFERROR(__xludf.DUMMYFUNCTION("""COMPUTED_VALUE"""),"Ho")</f>
        <v>Ho</v>
      </c>
      <c r="C19" s="80" t="str">
        <f>IFERROR(__xludf.DUMMYFUNCTION("""COMPUTED_VALUE"""),"011")</f>
        <v>011</v>
      </c>
      <c r="D19" s="79" t="str">
        <f>IFERROR(__xludf.DUMMYFUNCTION("""COMPUTED_VALUE"""),"Daniel E. Ho &amp; Erica L. Ross, Did Liberal Justices Invent the Standing Doctrine? An Empirical Study of the Evolution of Standing, 1921-2006, 62 Stan. L. Rev. 591, 647 &amp; n.231 (2010)")</f>
        <v>Daniel E. Ho &amp; Erica L. Ross, Did Liberal Justices Invent the Standing Doctrine? An Empirical Study of the Evolution of Standing, 1921-2006, 62 Stan. L. Rev. 591, 647 &amp; n.231 (2010)</v>
      </c>
      <c r="E19" s="82" t="s">
        <v>1233</v>
      </c>
      <c r="F19" s="63" t="s">
        <v>1267</v>
      </c>
      <c r="G19" s="64" t="s">
        <v>1235</v>
      </c>
      <c r="H19" s="65"/>
      <c r="I19" s="66"/>
      <c r="J19" s="68"/>
      <c r="K19" s="67"/>
      <c r="L19" s="67"/>
      <c r="M19" s="67"/>
      <c r="N19" s="68"/>
      <c r="O19" s="86"/>
      <c r="P19" s="86"/>
      <c r="Q19" s="71"/>
      <c r="R19" s="72"/>
      <c r="S19" s="72"/>
      <c r="T19" s="72"/>
      <c r="U19" s="72"/>
      <c r="V19" s="72"/>
      <c r="W19" s="72"/>
      <c r="X19" s="72"/>
      <c r="Y19" s="72"/>
    </row>
    <row r="20">
      <c r="A20" s="60" t="s">
        <v>1268</v>
      </c>
      <c r="B20" s="61" t="str">
        <f>IFERROR(__xludf.DUMMYFUNCTION("""COMPUTED_VALUE"""),"Jordan")</f>
        <v>Jordan</v>
      </c>
      <c r="C20" s="80" t="str">
        <f>IFERROR(__xludf.DUMMYFUNCTION("""COMPUTED_VALUE"""),"011")</f>
        <v>011</v>
      </c>
      <c r="D20" s="85" t="str">
        <f>IFERROR(__xludf.DUMMYFUNCTION("""COMPUTED_VALUE"""),"William S. Jordan, III, Judges, Ideology, and Policy in the Administrative State: Lessons from A Decade of Hard Look Remands of EPA Rules, 53 Admin. L. Rev. 45, 46 (2001)")</f>
        <v>William S. Jordan, III, Judges, Ideology, and Policy in the Administrative State: Lessons from A Decade of Hard Look Remands of EPA Rules, 53 Admin. L. Rev. 45, 46 (2001)</v>
      </c>
      <c r="E20" s="82" t="s">
        <v>1233</v>
      </c>
      <c r="F20" s="63" t="s">
        <v>1269</v>
      </c>
      <c r="G20" s="64" t="s">
        <v>1235</v>
      </c>
      <c r="H20" s="78"/>
      <c r="I20" s="66"/>
      <c r="J20" s="68"/>
      <c r="K20" s="67"/>
      <c r="L20" s="67"/>
      <c r="M20" s="67"/>
      <c r="N20" s="67"/>
      <c r="O20" s="86"/>
      <c r="P20" s="71"/>
      <c r="Q20" s="71"/>
      <c r="R20" s="72"/>
      <c r="S20" s="72"/>
      <c r="T20" s="72"/>
      <c r="U20" s="72"/>
      <c r="V20" s="72"/>
      <c r="W20" s="72"/>
      <c r="X20" s="72"/>
      <c r="Y20" s="72"/>
    </row>
    <row r="21">
      <c r="A21" s="60" t="s">
        <v>1270</v>
      </c>
      <c r="B21" s="61" t="str">
        <f>IFERROR(__xludf.DUMMYFUNCTION("""COMPUTED_VALUE"""),"Finkelstein")</f>
        <v>Finkelstein</v>
      </c>
      <c r="C21" s="80" t="str">
        <f>IFERROR(__xludf.DUMMYFUNCTION("""COMPUTED_VALUE"""),"012")</f>
        <v>012</v>
      </c>
      <c r="D21" s="61" t="str">
        <f>IFERROR(__xludf.DUMMYFUNCTION("""COMPUTED_VALUE"""),"Sullivan v. Finkelstein, 496 U.S. 617, 625 (1990)")</f>
        <v>Sullivan v. Finkelstein, 496 U.S. 617, 625 (1990)</v>
      </c>
      <c r="E21" s="82" t="s">
        <v>1233</v>
      </c>
      <c r="F21" s="63" t="s">
        <v>1271</v>
      </c>
      <c r="G21" s="64" t="s">
        <v>1235</v>
      </c>
      <c r="H21" s="78"/>
      <c r="I21" s="66"/>
      <c r="J21" s="68"/>
      <c r="K21" s="67"/>
      <c r="L21" s="67"/>
      <c r="M21" s="67"/>
      <c r="N21" s="67"/>
      <c r="O21" s="70"/>
      <c r="P21" s="87"/>
      <c r="Q21" s="71"/>
      <c r="R21" s="72"/>
      <c r="S21" s="72"/>
      <c r="T21" s="72"/>
      <c r="U21" s="72"/>
      <c r="V21" s="72"/>
      <c r="W21" s="72"/>
      <c r="X21" s="72"/>
      <c r="Y21" s="72"/>
    </row>
    <row r="22">
      <c r="A22" s="60" t="s">
        <v>1272</v>
      </c>
      <c r="B22" s="61" t="str">
        <f>IFERROR(__xludf.DUMMYFUNCTION("""COMPUTED_VALUE"""),"Infra Notes 89-97 and Accompanying Text Pp 17-19")</f>
        <v>Infra Notes 89-97 and Accompanying Text Pp 17-19</v>
      </c>
      <c r="C22" s="80" t="str">
        <f>IFERROR(__xludf.DUMMYFUNCTION("""COMPUTED_VALUE"""),"012")</f>
        <v>012</v>
      </c>
      <c r="D22" s="61" t="str">
        <f>IFERROR(__xludf.DUMMYFUNCTION("""COMPUTED_VALUE"""),"infra notes 89-97 and accompanying text pp. 17-19")</f>
        <v>infra notes 89-97 and accompanying text pp. 17-19</v>
      </c>
      <c r="E22" s="82" t="s">
        <v>1233</v>
      </c>
      <c r="F22" s="63" t="s">
        <v>1273</v>
      </c>
      <c r="G22" s="64" t="s">
        <v>1235</v>
      </c>
      <c r="H22" s="78"/>
      <c r="I22" s="66"/>
      <c r="J22" s="68"/>
      <c r="K22" s="67"/>
      <c r="L22" s="67"/>
      <c r="M22" s="67"/>
      <c r="N22" s="68"/>
      <c r="O22" s="70"/>
      <c r="P22" s="71"/>
      <c r="Q22" s="78"/>
      <c r="R22" s="72"/>
      <c r="S22" s="72"/>
      <c r="T22" s="72"/>
      <c r="U22" s="72"/>
      <c r="V22" s="72"/>
      <c r="W22" s="72"/>
      <c r="X22" s="72"/>
      <c r="Y22" s="72"/>
    </row>
    <row r="23">
      <c r="A23" s="60" t="s">
        <v>1274</v>
      </c>
      <c r="B23" s="61" t="str">
        <f>IFERROR(__xludf.DUMMYFUNCTION("""COMPUTED_VALUE"""),"Lammon Appealability")</f>
        <v>Lammon Appealability</v>
      </c>
      <c r="C23" s="80" t="str">
        <f>IFERROR(__xludf.DUMMYFUNCTION("""COMPUTED_VALUE"""),"013")</f>
        <v>013</v>
      </c>
      <c r="D23" s="79" t="str">
        <f>IFERROR(__xludf.DUMMYFUNCTION("""COMPUTED_VALUE"""),"Bryan Lammon, Finality, Appealability, and the Scope of Interlocutory Review, 93 Wash. L. Rev. 1809, 1834-37 (2018)")</f>
        <v>Bryan Lammon, Finality, Appealability, and the Scope of Interlocutory Review, 93 Wash. L. Rev. 1809, 1834-37 (2018)</v>
      </c>
      <c r="E23" s="82" t="s">
        <v>1233</v>
      </c>
      <c r="F23" s="63" t="s">
        <v>1275</v>
      </c>
      <c r="G23" s="64" t="s">
        <v>1235</v>
      </c>
      <c r="H23" s="78"/>
      <c r="I23" s="66"/>
      <c r="J23" s="68"/>
      <c r="K23" s="68"/>
      <c r="L23" s="67"/>
      <c r="M23" s="67"/>
      <c r="N23" s="68"/>
      <c r="O23" s="71"/>
      <c r="P23" s="78"/>
      <c r="Q23" s="78"/>
      <c r="R23" s="72"/>
      <c r="S23" s="72"/>
      <c r="T23" s="72"/>
      <c r="U23" s="72"/>
      <c r="V23" s="72"/>
      <c r="W23" s="72"/>
      <c r="X23" s="72"/>
      <c r="Y23" s="72"/>
    </row>
    <row r="24">
      <c r="A24" s="60" t="s">
        <v>1276</v>
      </c>
      <c r="B24" s="61" t="str">
        <f>IFERROR(__xludf.DUMMYFUNCTION("""COMPUTED_VALUE"""),"Lammon Dizzying")</f>
        <v>Lammon Dizzying</v>
      </c>
      <c r="C24" s="80" t="str">
        <f>IFERROR(__xludf.DUMMYFUNCTION("""COMPUTED_VALUE"""),"013")</f>
        <v>013</v>
      </c>
      <c r="D24" s="73" t="str">
        <f>IFERROR(__xludf.DUMMYFUNCTION("""COMPUTED_VALUE"""),"Bryan Lammon, Dizzying Gillespie: The Exaggerated Death of the Balancing Approach and the Inescapable Allure of Flexibility in Appellate Jurisdiction, 51 U. Rich. L. Rev. 371, 386-93 (2017)")</f>
        <v>Bryan Lammon, Dizzying Gillespie: The Exaggerated Death of the Balancing Approach and the Inescapable Allure of Flexibility in Appellate Jurisdiction, 51 U. Rich. L. Rev. 371, 386-93 (2017)</v>
      </c>
      <c r="E24" s="82" t="s">
        <v>1233</v>
      </c>
      <c r="F24" s="63" t="s">
        <v>1277</v>
      </c>
      <c r="G24" s="64" t="s">
        <v>1235</v>
      </c>
      <c r="H24" s="78"/>
      <c r="I24" s="66"/>
      <c r="J24" s="68"/>
      <c r="K24" s="68"/>
      <c r="L24" s="67"/>
      <c r="M24" s="67"/>
      <c r="N24" s="67"/>
      <c r="O24" s="70"/>
      <c r="P24" s="71"/>
      <c r="Q24" s="78"/>
      <c r="R24" s="72"/>
      <c r="S24" s="72"/>
      <c r="T24" s="72"/>
      <c r="U24" s="72"/>
      <c r="V24" s="72"/>
      <c r="W24" s="72"/>
      <c r="X24" s="72"/>
      <c r="Y24" s="72"/>
    </row>
    <row r="25">
      <c r="A25" s="60" t="s">
        <v>1278</v>
      </c>
      <c r="B25" s="61" t="str">
        <f>IFERROR(__xludf.DUMMYFUNCTION("""COMPUTED_VALUE"""),"Krent")</f>
        <v>Krent</v>
      </c>
      <c r="C25" s="80" t="str">
        <f>IFERROR(__xludf.DUMMYFUNCTION("""COMPUTED_VALUE"""),"013")</f>
        <v>013</v>
      </c>
      <c r="D25" s="83" t="str">
        <f>IFERROR(__xludf.DUMMYFUNCTION("""COMPUTED_VALUE"""),"Harold J. Krent, Situating Structural Challenges to Agency Authority Within the Framework of the Finality Principle, 98 Ind. L.J. Supplement 1, 10 n.73 (2023)")</f>
        <v>Harold J. Krent, Situating Structural Challenges to Agency Authority Within the Framework of the Finality Principle, 98 Ind. L.J. Supplement 1, 10 n.73 (2023)</v>
      </c>
      <c r="E25" s="82" t="s">
        <v>1233</v>
      </c>
      <c r="F25" s="63" t="s">
        <v>1279</v>
      </c>
      <c r="G25" s="64" t="s">
        <v>1235</v>
      </c>
      <c r="H25" s="78"/>
      <c r="I25" s="66"/>
      <c r="J25" s="68"/>
      <c r="K25" s="68"/>
      <c r="L25" s="67"/>
      <c r="M25" s="67"/>
      <c r="N25" s="67"/>
      <c r="O25" s="71"/>
      <c r="P25" s="71"/>
      <c r="Q25" s="71"/>
      <c r="R25" s="72"/>
      <c r="S25" s="72"/>
      <c r="T25" s="72"/>
      <c r="U25" s="72"/>
      <c r="V25" s="72"/>
      <c r="W25" s="72"/>
      <c r="X25" s="72"/>
      <c r="Y25" s="72"/>
    </row>
    <row r="26">
      <c r="A26" s="60" t="s">
        <v>1280</v>
      </c>
      <c r="B26" s="61" t="str">
        <f>IFERROR(__xludf.DUMMYFUNCTION("""COMPUTED_VALUE"""),"Biever")</f>
        <v>Biever</v>
      </c>
      <c r="C26" s="80" t="str">
        <f>IFERROR(__xludf.DUMMYFUNCTION("""COMPUTED_VALUE"""),"013")</f>
        <v>013</v>
      </c>
      <c r="D26" s="79" t="str">
        <f>IFERROR(__xludf.DUMMYFUNCTION("""COMPUTED_VALUE"""),"Jennifer L. Biever &amp; Ana Maria Gutierrez, The Uncertain Question of Remedies Should a Challenge Prevail, 2016 NO. 5 RMMLF-INST PAPER NO. 13, 28-29 (2016)")</f>
        <v>Jennifer L. Biever &amp; Ana Maria Gutierrez, The Uncertain Question of Remedies Should a Challenge Prevail, 2016 NO. 5 RMMLF-INST PAPER NO. 13, 28-29 (2016)</v>
      </c>
      <c r="E26" s="82" t="s">
        <v>1233</v>
      </c>
      <c r="F26" s="63" t="s">
        <v>1281</v>
      </c>
      <c r="G26" s="64" t="s">
        <v>1235</v>
      </c>
      <c r="H26" s="78"/>
      <c r="I26" s="66"/>
      <c r="J26" s="68"/>
      <c r="K26" s="68"/>
      <c r="L26" s="67"/>
      <c r="M26" s="67"/>
      <c r="N26" s="67"/>
      <c r="O26" s="88"/>
      <c r="P26" s="88"/>
      <c r="Q26" s="88"/>
      <c r="R26" s="72"/>
      <c r="S26" s="72"/>
      <c r="T26" s="72"/>
      <c r="U26" s="72"/>
      <c r="V26" s="72"/>
      <c r="W26" s="72"/>
      <c r="X26" s="72"/>
      <c r="Y26" s="72"/>
    </row>
    <row r="27">
      <c r="A27" s="60" t="s">
        <v>1282</v>
      </c>
      <c r="B27" s="61" t="str">
        <f>IFERROR(__xludf.DUMMYFUNCTION("""COMPUTED_VALUE"""),"Lynch")</f>
        <v>Lynch</v>
      </c>
      <c r="C27" s="63" t="str">
        <f>IFERROR(__xludf.DUMMYFUNCTION("""COMPUTED_VALUE"""),"013")</f>
        <v>013</v>
      </c>
      <c r="D27" s="73" t="str">
        <f>IFERROR(__xludf.DUMMYFUNCTION("""COMPUTED_VALUE"""),"Michele D. Lynch, Remands Are A Consequence of Administrative Law, So Why Are We All So Frustrated?, 23 Tul. J. Int’l &amp; Comp. L. 383, 392 (2015)")</f>
        <v>Michele D. Lynch, Remands Are A Consequence of Administrative Law, So Why Are We All So Frustrated?, 23 Tul. J. Int’l &amp; Comp. L. 383, 392 (2015)</v>
      </c>
      <c r="E27" s="74" t="s">
        <v>1233</v>
      </c>
      <c r="F27" s="63" t="s">
        <v>1283</v>
      </c>
      <c r="G27" s="64" t="s">
        <v>1235</v>
      </c>
      <c r="H27" s="78"/>
      <c r="I27" s="66"/>
      <c r="J27" s="68"/>
      <c r="K27" s="67"/>
      <c r="L27" s="67"/>
      <c r="M27" s="67"/>
      <c r="N27" s="67"/>
      <c r="O27" s="88"/>
      <c r="P27" s="89"/>
      <c r="Q27" s="90"/>
      <c r="R27" s="72"/>
      <c r="S27" s="72"/>
      <c r="T27" s="72"/>
      <c r="U27" s="72"/>
      <c r="V27" s="72"/>
      <c r="W27" s="72"/>
      <c r="X27" s="72"/>
      <c r="Y27" s="72"/>
    </row>
    <row r="28">
      <c r="A28" s="60" t="s">
        <v>1284</v>
      </c>
      <c r="B28" s="79" t="str">
        <f>IFERROR(__xludf.DUMMYFUNCTION("""COMPUTED_VALUE"""),"Federal Practice 3914 32")</f>
        <v>Federal Practice 3914 32</v>
      </c>
      <c r="C28" s="63" t="str">
        <f>IFERROR(__xludf.DUMMYFUNCTION("""COMPUTED_VALUE"""),"013")</f>
        <v>013</v>
      </c>
      <c r="D28" s="91" t="str">
        <f>IFERROR(__xludf.DUMMYFUNCTION("""COMPUTED_VALUE"""),"Federal Practice &amp; Procedure, § 3914.32 Orders Prior to Trial—Administrative Review, 15B Fed. Prac. &amp; Proc. Juris. § 3914.32 (2d ed. June 2024 Update)")</f>
        <v>Federal Practice &amp; Procedure, § 3914.32 Orders Prior to Trial—Administrative Review, 15B Fed. Prac. &amp; Proc. Juris. § 3914.32 (2d ed. June 2024 Update)</v>
      </c>
      <c r="E28" s="74" t="s">
        <v>1233</v>
      </c>
      <c r="F28" s="63" t="s">
        <v>1285</v>
      </c>
      <c r="G28" s="64" t="s">
        <v>1235</v>
      </c>
      <c r="H28" s="78"/>
      <c r="I28" s="66"/>
      <c r="J28" s="68"/>
      <c r="K28" s="67"/>
      <c r="L28" s="67"/>
      <c r="M28" s="67"/>
      <c r="N28" s="68"/>
      <c r="O28" s="88"/>
      <c r="P28" s="88"/>
      <c r="Q28" s="88"/>
      <c r="R28" s="72"/>
      <c r="S28" s="72"/>
      <c r="T28" s="72"/>
      <c r="U28" s="72"/>
      <c r="V28" s="72"/>
      <c r="W28" s="72"/>
      <c r="X28" s="72"/>
      <c r="Y28" s="72"/>
    </row>
    <row r="29">
      <c r="A29" s="60" t="s">
        <v>1286</v>
      </c>
      <c r="B29" s="61" t="str">
        <f>IFERROR(__xludf.DUMMYFUNCTION("""COMPUTED_VALUE"""),"Federal Practice 3903")</f>
        <v>Federal Practice 3903</v>
      </c>
      <c r="C29" s="63" t="str">
        <f>IFERROR(__xludf.DUMMYFUNCTION("""COMPUTED_VALUE"""),"013")</f>
        <v>013</v>
      </c>
      <c r="D29" s="79" t="str">
        <f>IFERROR(__xludf.DUMMYFUNCTION("""COMPUTED_VALUE"""),"Federal Practice &amp; Procedure, § 3903 Pragmatic Finality, 15A Fed. Prac. &amp; Proc. Juris. § 3913 (3d ed. June 2024 Update)")</f>
        <v>Federal Practice &amp; Procedure, § 3903 Pragmatic Finality, 15A Fed. Prac. &amp; Proc. Juris. § 3913 (3d ed. June 2024 Update)</v>
      </c>
      <c r="E29" s="74" t="s">
        <v>1233</v>
      </c>
      <c r="F29" s="63" t="s">
        <v>1287</v>
      </c>
      <c r="G29" s="64" t="s">
        <v>1235</v>
      </c>
      <c r="H29" s="78"/>
      <c r="I29" s="66"/>
      <c r="J29" s="68"/>
      <c r="K29" s="68"/>
      <c r="L29" s="67"/>
      <c r="M29" s="67"/>
      <c r="N29" s="67"/>
      <c r="O29" s="88"/>
      <c r="P29" s="92"/>
      <c r="Q29" s="90"/>
      <c r="R29" s="72"/>
      <c r="S29" s="72"/>
      <c r="T29" s="72"/>
      <c r="U29" s="72"/>
      <c r="V29" s="72"/>
      <c r="W29" s="72"/>
      <c r="X29" s="72"/>
      <c r="Y29" s="72"/>
    </row>
    <row r="30">
      <c r="A30" s="60" t="s">
        <v>1288</v>
      </c>
      <c r="B30" s="61" t="str">
        <f>IFERROR(__xludf.DUMMYFUNCTION("""COMPUTED_VALUE"""),"73a CJS")</f>
        <v>73a CJS</v>
      </c>
      <c r="C30" s="63" t="str">
        <f>IFERROR(__xludf.DUMMYFUNCTION("""COMPUTED_VALUE"""),"013")</f>
        <v>013</v>
      </c>
      <c r="D30" s="79" t="str">
        <f>IFERROR(__xludf.DUMMYFUNCTION("""COMPUTED_VALUE"""),"73A C.J.S. Pub. Admin. Law &amp; Proc. § 561 (May 2024)")</f>
        <v>73A C.J.S. Pub. Admin. Law &amp; Proc. § 561 (May 2024)</v>
      </c>
      <c r="E30" s="74" t="s">
        <v>1233</v>
      </c>
      <c r="F30" s="63" t="s">
        <v>1289</v>
      </c>
      <c r="G30" s="64" t="s">
        <v>1235</v>
      </c>
      <c r="H30" s="78"/>
      <c r="I30" s="66"/>
      <c r="J30" s="67"/>
      <c r="K30" s="68"/>
      <c r="L30" s="67"/>
      <c r="M30" s="67"/>
      <c r="N30" s="67"/>
      <c r="O30" s="88"/>
      <c r="P30" s="88"/>
      <c r="Q30" s="88"/>
      <c r="R30" s="72"/>
      <c r="S30" s="72"/>
      <c r="T30" s="72"/>
      <c r="U30" s="72"/>
      <c r="V30" s="72"/>
      <c r="W30" s="72"/>
      <c r="X30" s="72"/>
      <c r="Y30" s="72"/>
    </row>
    <row r="31">
      <c r="A31" s="60" t="s">
        <v>1290</v>
      </c>
      <c r="B31" s="61" t="str">
        <f>IFERROR(__xludf.DUMMYFUNCTION("""COMPUTED_VALUE"""),"Fed Ct")</f>
        <v>Fed Ct</v>
      </c>
      <c r="C31" s="63" t="str">
        <f>IFERROR(__xludf.DUMMYFUNCTION("""COMPUTED_VALUE"""),"013")</f>
        <v>013</v>
      </c>
      <c r="D31" s="91" t="str">
        <f>IFERROR(__xludf.DUMMYFUNCTION("""COMPUTED_VALUE"""),"Fed. Ct. App. Manual § 2:3 (7th ed. May 2024)")</f>
        <v>Fed. Ct. App. Manual § 2:3 (7th ed. May 2024)</v>
      </c>
      <c r="E31" s="74" t="s">
        <v>1233</v>
      </c>
      <c r="F31" s="63" t="s">
        <v>1291</v>
      </c>
      <c r="G31" s="64" t="s">
        <v>1235</v>
      </c>
      <c r="H31" s="78"/>
      <c r="I31" s="66"/>
      <c r="J31" s="67"/>
      <c r="K31" s="68"/>
      <c r="L31" s="67"/>
      <c r="M31" s="67"/>
      <c r="N31" s="68"/>
      <c r="O31" s="88"/>
      <c r="P31" s="88"/>
      <c r="Q31" s="88"/>
      <c r="R31" s="72"/>
      <c r="S31" s="72"/>
      <c r="T31" s="72"/>
      <c r="U31" s="72"/>
      <c r="V31" s="72"/>
      <c r="W31" s="72"/>
      <c r="X31" s="72"/>
      <c r="Y31" s="72"/>
    </row>
    <row r="32">
      <c r="A32" s="60" t="s">
        <v>1292</v>
      </c>
      <c r="B32" s="61" t="str">
        <f>IFERROR(__xludf.DUMMYFUNCTION("""COMPUTED_VALUE"""),"Infra Notes 39-51 and Accompanying Text")</f>
        <v>Infra Notes 39-51 and Accompanying Text</v>
      </c>
      <c r="C32" s="63" t="str">
        <f>IFERROR(__xludf.DUMMYFUNCTION("""COMPUTED_VALUE"""),"014")</f>
        <v>014</v>
      </c>
      <c r="D32" s="81" t="str">
        <f>IFERROR(__xludf.DUMMYFUNCTION("""COMPUTED_VALUE"""),"infra notes 39-51 and accompanying text")</f>
        <v>infra notes 39-51 and accompanying text</v>
      </c>
      <c r="E32" s="74" t="s">
        <v>1233</v>
      </c>
      <c r="F32" s="63" t="s">
        <v>1293</v>
      </c>
      <c r="G32" s="64" t="s">
        <v>1235</v>
      </c>
      <c r="H32" s="78"/>
      <c r="I32" s="66"/>
      <c r="J32" s="68"/>
      <c r="K32" s="68"/>
      <c r="L32" s="67"/>
      <c r="M32" s="67"/>
      <c r="N32" s="67"/>
      <c r="O32" s="88"/>
      <c r="P32" s="88"/>
      <c r="Q32" s="90"/>
      <c r="R32" s="72"/>
      <c r="S32" s="72"/>
      <c r="T32" s="72"/>
      <c r="U32" s="72"/>
      <c r="V32" s="72"/>
      <c r="W32" s="72"/>
      <c r="X32" s="72"/>
      <c r="Y32" s="72"/>
    </row>
    <row r="33">
      <c r="A33" s="60" t="s">
        <v>1294</v>
      </c>
      <c r="B33" s="61" t="str">
        <f>IFERROR(__xludf.DUMMYFUNCTION("""COMPUTED_VALUE"""),"Infra Notes 46-48 and Accompanying Text")</f>
        <v>Infra Notes 46-48 and Accompanying Text</v>
      </c>
      <c r="C33" s="63" t="str">
        <f>IFERROR(__xludf.DUMMYFUNCTION("""COMPUTED_VALUE"""),"015")</f>
        <v>015</v>
      </c>
      <c r="D33" s="81" t="str">
        <f>IFERROR(__xludf.DUMMYFUNCTION("""COMPUTED_VALUE"""),"infra notes 46-48 and accompanying text")</f>
        <v>infra notes 46-48 and accompanying text</v>
      </c>
      <c r="E33" s="74" t="s">
        <v>1233</v>
      </c>
      <c r="F33" s="63" t="s">
        <v>1295</v>
      </c>
      <c r="G33" s="64" t="s">
        <v>1235</v>
      </c>
      <c r="H33" s="78"/>
      <c r="I33" s="66"/>
      <c r="J33" s="68"/>
      <c r="K33" s="68"/>
      <c r="L33" s="67"/>
      <c r="M33" s="67"/>
      <c r="N33" s="67"/>
      <c r="O33" s="93"/>
      <c r="P33" s="88"/>
      <c r="Q33" s="90"/>
      <c r="R33" s="72"/>
      <c r="S33" s="72"/>
      <c r="T33" s="72"/>
      <c r="U33" s="72"/>
      <c r="V33" s="72"/>
      <c r="W33" s="72"/>
      <c r="X33" s="72"/>
      <c r="Y33" s="72"/>
    </row>
    <row r="34">
      <c r="A34" s="60" t="s">
        <v>1296</v>
      </c>
      <c r="B34" s="61" t="str">
        <f>IFERROR(__xludf.DUMMYFUNCTION("""COMPUTED_VALUE"""),"Pueblo of Sandia v Babbitt")</f>
        <v>Pueblo of Sandia v Babbitt</v>
      </c>
      <c r="C34" s="63" t="str">
        <f>IFERROR(__xludf.DUMMYFUNCTION("""COMPUTED_VALUE"""),"016")</f>
        <v>016</v>
      </c>
      <c r="D34" s="83" t="str">
        <f>IFERROR(__xludf.DUMMYFUNCTION("""COMPUTED_VALUE"""),"Pueblo of Sandia v. Babbitt, 231 F.3d 878, 880 (D.C. Cir. 2000)")</f>
        <v>Pueblo of Sandia v. Babbitt, 231 F.3d 878, 880 (D.C. Cir. 2000)</v>
      </c>
      <c r="E34" s="74" t="s">
        <v>1233</v>
      </c>
      <c r="F34" s="63" t="s">
        <v>1297</v>
      </c>
      <c r="G34" s="64" t="s">
        <v>1235</v>
      </c>
      <c r="H34" s="78"/>
      <c r="I34" s="66"/>
      <c r="J34" s="68"/>
      <c r="K34" s="68"/>
      <c r="L34" s="67"/>
      <c r="M34" s="67"/>
      <c r="N34" s="67"/>
      <c r="O34" s="93"/>
      <c r="P34" s="90"/>
      <c r="Q34" s="90"/>
      <c r="R34" s="72"/>
      <c r="S34" s="72"/>
      <c r="T34" s="72"/>
      <c r="U34" s="72"/>
      <c r="V34" s="72"/>
      <c r="W34" s="72"/>
      <c r="X34" s="72"/>
      <c r="Y34" s="72"/>
    </row>
    <row r="35">
      <c r="A35" s="60" t="s">
        <v>1298</v>
      </c>
      <c r="B35" s="61" t="str">
        <f>IFERROR(__xludf.DUMMYFUNCTION("""COMPUTED_VALUE"""),"CTR for Biological Diversity v Bureau of Land MGMT")</f>
        <v>CTR for Biological Diversity v Bureau of Land MGMT</v>
      </c>
      <c r="C35" s="63" t="str">
        <f>IFERROR(__xludf.DUMMYFUNCTION("""COMPUTED_VALUE"""),"017")</f>
        <v>017</v>
      </c>
      <c r="D35" s="79" t="str">
        <f>IFERROR(__xludf.DUMMYFUNCTION("""COMPUTED_VALUE"""),"Ctr. for Biological Diversity v. Bureau of Land Mgmt., 69 F.4th 588, 597-98 (9th Cir. 2023) (Friedland and Bennett, JJ., concurring)")</f>
        <v>Ctr. for Biological Diversity v. Bureau of Land Mgmt., 69 F.4th 588, 597-98 (9th Cir. 2023) (Friedland and Bennett, JJ., concurring)</v>
      </c>
      <c r="E35" s="74" t="s">
        <v>1233</v>
      </c>
      <c r="F35" s="63" t="s">
        <v>1299</v>
      </c>
      <c r="G35" s="64" t="s">
        <v>1235</v>
      </c>
      <c r="H35" s="78"/>
      <c r="I35" s="66"/>
      <c r="J35" s="68"/>
      <c r="K35" s="68"/>
      <c r="L35" s="67"/>
      <c r="M35" s="67"/>
      <c r="N35" s="67"/>
      <c r="O35" s="93"/>
      <c r="P35" s="90"/>
      <c r="Q35" s="90"/>
      <c r="R35" s="72"/>
      <c r="S35" s="72"/>
      <c r="T35" s="72"/>
      <c r="U35" s="72"/>
      <c r="V35" s="72"/>
      <c r="W35" s="72"/>
      <c r="X35" s="72"/>
      <c r="Y35" s="72"/>
    </row>
    <row r="36">
      <c r="A36" s="60" t="s">
        <v>1300</v>
      </c>
      <c r="B36" s="61" t="str">
        <f>IFERROR(__xludf.DUMMYFUNCTION("""COMPUTED_VALUE"""),"NY Legal Assistance GRP v Cardona")</f>
        <v>NY Legal Assistance GRP v Cardona</v>
      </c>
      <c r="C36" s="63" t="str">
        <f>IFERROR(__xludf.DUMMYFUNCTION("""COMPUTED_VALUE"""),"017")</f>
        <v>017</v>
      </c>
      <c r="D36" s="85" t="str">
        <f>IFERROR(__xludf.DUMMYFUNCTION("""COMPUTED_VALUE"""),"N.Y. Legal Assistance Grp. v. Cardona, No. 21-888-CV, 2024 WL 64220, at *3-4 (2d Cir. Jan. 5, 2024)")</f>
        <v>N.Y. Legal Assistance Grp. v. Cardona, No. 21-888-CV, 2024 WL 64220, at *3-4 (2d Cir. Jan. 5, 2024)</v>
      </c>
      <c r="E36" s="74" t="s">
        <v>1233</v>
      </c>
      <c r="F36" s="63" t="s">
        <v>1301</v>
      </c>
      <c r="G36" s="64" t="s">
        <v>1235</v>
      </c>
      <c r="H36" s="78"/>
      <c r="I36" s="66"/>
      <c r="J36" s="68"/>
      <c r="K36" s="68"/>
      <c r="L36" s="67"/>
      <c r="M36" s="67"/>
      <c r="N36" s="67"/>
      <c r="O36" s="93"/>
      <c r="P36" s="88"/>
      <c r="Q36" s="90"/>
      <c r="R36" s="72"/>
      <c r="S36" s="72"/>
      <c r="T36" s="72"/>
      <c r="U36" s="72"/>
      <c r="V36" s="72"/>
      <c r="W36" s="72"/>
      <c r="X36" s="72"/>
      <c r="Y36" s="72"/>
    </row>
    <row r="37">
      <c r="A37" s="60" t="s">
        <v>1302</v>
      </c>
      <c r="B37" s="61" t="str">
        <f>IFERROR(__xludf.DUMMYFUNCTION("""COMPUTED_VALUE"""),"Infra Notes 132-192 and Accompanying Text")</f>
        <v>Infra Notes 132-192 and Accompanying Text</v>
      </c>
      <c r="C37" s="63" t="str">
        <f>IFERROR(__xludf.DUMMYFUNCTION("""COMPUTED_VALUE"""),"018")</f>
        <v>018</v>
      </c>
      <c r="D37" s="83" t="str">
        <f>IFERROR(__xludf.DUMMYFUNCTION("""COMPUTED_VALUE"""),"infra notes 132-192 and accompanying text")</f>
        <v>infra notes 132-192 and accompanying text</v>
      </c>
      <c r="E37" s="74" t="s">
        <v>1233</v>
      </c>
      <c r="F37" s="63" t="s">
        <v>1303</v>
      </c>
      <c r="G37" s="64" t="s">
        <v>1235</v>
      </c>
      <c r="H37" s="78"/>
      <c r="I37" s="66"/>
      <c r="J37" s="68"/>
      <c r="K37" s="68"/>
      <c r="L37" s="67"/>
      <c r="M37" s="67"/>
      <c r="N37" s="67"/>
      <c r="O37" s="93"/>
      <c r="P37" s="88"/>
      <c r="Q37" s="90"/>
      <c r="R37" s="72"/>
      <c r="S37" s="72"/>
      <c r="T37" s="72"/>
      <c r="U37" s="72"/>
      <c r="V37" s="72"/>
      <c r="W37" s="72"/>
      <c r="X37" s="72"/>
      <c r="Y37" s="72"/>
    </row>
    <row r="38">
      <c r="A38" s="60" t="s">
        <v>1304</v>
      </c>
      <c r="B38" s="61" t="str">
        <f>IFERROR(__xludf.DUMMYFUNCTION("""COMPUTED_VALUE"""),"Infra Notes 193-194")</f>
        <v>Infra Notes 193-194</v>
      </c>
      <c r="C38" s="63" t="str">
        <f>IFERROR(__xludf.DUMMYFUNCTION("""COMPUTED_VALUE"""),"019")</f>
        <v>019</v>
      </c>
      <c r="D38" s="81" t="str">
        <f>IFERROR(__xludf.DUMMYFUNCTION("""COMPUTED_VALUE"""),"infra notes 193-194, 262-270 and accompanying text")</f>
        <v>infra notes 193-194, 262-270 and accompanying text</v>
      </c>
      <c r="E38" s="74" t="s">
        <v>1233</v>
      </c>
      <c r="F38" s="63" t="s">
        <v>1305</v>
      </c>
      <c r="G38" s="64" t="s">
        <v>1235</v>
      </c>
      <c r="H38" s="78"/>
      <c r="I38" s="66"/>
      <c r="J38" s="67"/>
      <c r="K38" s="68"/>
      <c r="L38" s="68"/>
      <c r="M38" s="68"/>
      <c r="N38" s="68"/>
      <c r="O38" s="88"/>
      <c r="P38" s="88"/>
      <c r="Q38" s="88"/>
      <c r="R38" s="72"/>
      <c r="S38" s="72"/>
      <c r="T38" s="72"/>
      <c r="U38" s="72"/>
      <c r="V38" s="72"/>
      <c r="W38" s="72"/>
      <c r="X38" s="72"/>
      <c r="Y38" s="72"/>
    </row>
    <row r="39">
      <c r="A39" s="60" t="s">
        <v>1306</v>
      </c>
      <c r="B39" s="79" t="str">
        <f>IFERROR(__xludf.DUMMYFUNCTION("""COMPUTED_VALUE"""),"Clopton")</f>
        <v>Clopton</v>
      </c>
      <c r="C39" s="63" t="str">
        <f>IFERROR(__xludf.DUMMYFUNCTION("""COMPUTED_VALUE"""),"020")</f>
        <v>020</v>
      </c>
      <c r="D39" s="61" t="str">
        <f>IFERROR(__xludf.DUMMYFUNCTION("""COMPUTED_VALUE"""),"Zachary D. Clopton &amp; Katherine Shaw, Public Law Litigation and Electoral Time, 2023 Wis. L. Rev. 1513, 1521–22 (2023)")</f>
        <v>Zachary D. Clopton &amp; Katherine Shaw, Public Law Litigation and Electoral Time, 2023 Wis. L. Rev. 1513, 1521–22 (2023)</v>
      </c>
      <c r="E39" s="74" t="s">
        <v>1233</v>
      </c>
      <c r="F39" s="63" t="s">
        <v>1307</v>
      </c>
      <c r="G39" s="64" t="s">
        <v>1235</v>
      </c>
      <c r="H39" s="71"/>
      <c r="I39" s="66"/>
      <c r="J39" s="68"/>
      <c r="K39" s="67"/>
      <c r="L39" s="67"/>
      <c r="M39" s="67"/>
      <c r="N39" s="67"/>
      <c r="O39" s="93"/>
      <c r="P39" s="88"/>
      <c r="Q39" s="88"/>
      <c r="R39" s="72"/>
      <c r="S39" s="72"/>
      <c r="T39" s="72"/>
      <c r="U39" s="72"/>
      <c r="V39" s="72"/>
      <c r="W39" s="72"/>
      <c r="X39" s="72"/>
      <c r="Y39" s="72"/>
    </row>
    <row r="40">
      <c r="A40" s="60" t="s">
        <v>1308</v>
      </c>
      <c r="B40" s="61" t="str">
        <f>IFERROR(__xludf.DUMMYFUNCTION("""COMPUTED_VALUE"""),"Jackson")</f>
        <v>Jackson</v>
      </c>
      <c r="C40" s="63" t="str">
        <f>IFERROR(__xludf.DUMMYFUNCTION("""COMPUTED_VALUE"""),"021")</f>
        <v>021</v>
      </c>
      <c r="D40" s="79" t="str">
        <f>IFERROR(__xludf.DUMMYFUNCTION("""COMPUTED_VALUE"""),"Jackson v. Bd. of Civ. Serv. Comm’rs of City of Los Angeles, 99 Cal. App. 5th 648, 655-62, 318 Cal. Rptr. 3d 79 (2024)")</f>
        <v>Jackson v. Bd. of Civ. Serv. Comm’rs of City of Los Angeles, 99 Cal. App. 5th 648, 655-62, 318 Cal. Rptr. 3d 79 (2024)</v>
      </c>
      <c r="E40" s="74" t="s">
        <v>1233</v>
      </c>
      <c r="F40" s="63" t="s">
        <v>1309</v>
      </c>
      <c r="G40" s="64" t="s">
        <v>1235</v>
      </c>
      <c r="H40" s="78"/>
      <c r="I40" s="66"/>
      <c r="J40" s="67"/>
      <c r="K40" s="68"/>
      <c r="L40" s="67"/>
      <c r="M40" s="67"/>
      <c r="N40" s="68"/>
      <c r="O40" s="88"/>
      <c r="P40" s="88"/>
      <c r="Q40" s="88"/>
      <c r="R40" s="72"/>
      <c r="S40" s="72"/>
      <c r="T40" s="72"/>
      <c r="U40" s="72"/>
      <c r="V40" s="72"/>
      <c r="W40" s="72"/>
      <c r="X40" s="72"/>
      <c r="Y40" s="72"/>
    </row>
    <row r="41">
      <c r="A41" s="60" t="s">
        <v>1310</v>
      </c>
      <c r="B41" s="61" t="str">
        <f>IFERROR(__xludf.DUMMYFUNCTION("""COMPUTED_VALUE"""),"John Muir Health")</f>
        <v>John Muir Health</v>
      </c>
      <c r="C41" s="63" t="str">
        <f>IFERROR(__xludf.DUMMYFUNCTION("""COMPUTED_VALUE"""),"021")</f>
        <v>021</v>
      </c>
      <c r="D41" s="85" t="str">
        <f>IFERROR(__xludf.DUMMYFUNCTION("""COMPUTED_VALUE"""),"Dhillon v. John Muir Health, 2 Cal. 5th 1109, 1116, 394 P.3d 1048 (2017)")</f>
        <v>Dhillon v. John Muir Health, 2 Cal. 5th 1109, 1116, 394 P.3d 1048 (2017)</v>
      </c>
      <c r="E41" s="74" t="s">
        <v>1233</v>
      </c>
      <c r="F41" s="63" t="s">
        <v>1311</v>
      </c>
      <c r="G41" s="71" t="s">
        <v>1235</v>
      </c>
      <c r="H41" s="71"/>
      <c r="I41" s="66"/>
      <c r="J41" s="67"/>
      <c r="K41" s="68"/>
      <c r="L41" s="68"/>
      <c r="M41" s="68"/>
      <c r="N41" s="67"/>
      <c r="O41" s="89"/>
      <c r="P41" s="88"/>
      <c r="Q41" s="88"/>
      <c r="R41" s="72"/>
      <c r="S41" s="72"/>
      <c r="T41" s="72"/>
      <c r="U41" s="72"/>
      <c r="V41" s="72"/>
      <c r="W41" s="72"/>
      <c r="X41" s="72"/>
      <c r="Y41" s="72"/>
    </row>
    <row r="42">
      <c r="A42" s="60" t="s">
        <v>1312</v>
      </c>
      <c r="B42" s="61" t="str">
        <f>IFERROR(__xludf.DUMMYFUNCTION("""COMPUTED_VALUE"""),"Federman")</f>
        <v>Federman</v>
      </c>
      <c r="C42" s="63" t="str">
        <f>IFERROR(__xludf.DUMMYFUNCTION("""COMPUTED_VALUE"""),"021")</f>
        <v>021</v>
      </c>
      <c r="D42" s="79" t="str">
        <f>IFERROR(__xludf.DUMMYFUNCTION("""COMPUTED_VALUE"""),"Federman v. Bd. of Appeals of Marblehead, 35 Mass. App. Ct. 727, 729-30, 626 N.E. 2d 8 (Mass. 1994)")</f>
        <v>Federman v. Bd. of Appeals of Marblehead, 35 Mass. App. Ct. 727, 729-30, 626 N.E. 2d 8 (Mass. 1994)</v>
      </c>
      <c r="E42" s="74" t="s">
        <v>1233</v>
      </c>
      <c r="F42" s="63" t="s">
        <v>1313</v>
      </c>
      <c r="G42" s="71" t="s">
        <v>1235</v>
      </c>
      <c r="H42" s="71"/>
      <c r="I42" s="66"/>
      <c r="J42" s="68"/>
      <c r="K42" s="68"/>
      <c r="L42" s="68"/>
      <c r="M42" s="68"/>
      <c r="N42" s="68"/>
      <c r="O42" s="88"/>
      <c r="P42" s="88"/>
      <c r="Q42" s="88"/>
      <c r="R42" s="72"/>
      <c r="S42" s="72"/>
      <c r="T42" s="72"/>
      <c r="U42" s="72"/>
      <c r="V42" s="72"/>
      <c r="W42" s="72"/>
      <c r="X42" s="72"/>
      <c r="Y42" s="72"/>
    </row>
    <row r="43">
      <c r="A43" s="60" t="s">
        <v>1314</v>
      </c>
      <c r="B43" s="61" t="str">
        <f>IFERROR(__xludf.DUMMYFUNCTION("""COMPUTED_VALUE"""),"Holton")</f>
        <v>Holton</v>
      </c>
      <c r="C43" s="63" t="str">
        <f>IFERROR(__xludf.DUMMYFUNCTION("""COMPUTED_VALUE"""),"021")</f>
        <v>021</v>
      </c>
      <c r="D43" s="85" t="str">
        <f>IFERROR(__xludf.DUMMYFUNCTION("""COMPUTED_VALUE"""),"Holton Transp., Inc. v. Kansas Corp. Comm’n, 10 Kan. App. 2d 12, 12-13, 690 P.2d 399 (Kan. 1984)")</f>
        <v>Holton Transp., Inc. v. Kansas Corp. Comm’n, 10 Kan. App. 2d 12, 12-13, 690 P.2d 399 (Kan. 1984)</v>
      </c>
      <c r="E43" s="74" t="s">
        <v>1233</v>
      </c>
      <c r="F43" s="63" t="s">
        <v>1315</v>
      </c>
      <c r="G43" s="71" t="s">
        <v>1316</v>
      </c>
      <c r="H43" s="71"/>
      <c r="I43" s="66"/>
      <c r="J43" s="68"/>
      <c r="K43" s="68"/>
      <c r="L43" s="68"/>
      <c r="M43" s="68"/>
      <c r="N43" s="68"/>
      <c r="O43" s="88"/>
      <c r="P43" s="88"/>
      <c r="Q43" s="88"/>
      <c r="R43" s="72"/>
      <c r="S43" s="72"/>
      <c r="T43" s="72"/>
      <c r="U43" s="72"/>
      <c r="V43" s="72"/>
      <c r="W43" s="72"/>
      <c r="X43" s="72"/>
      <c r="Y43" s="72"/>
    </row>
    <row r="44">
      <c r="A44" s="60" t="s">
        <v>1317</v>
      </c>
      <c r="B44" s="61" t="str">
        <f>IFERROR(__xludf.DUMMYFUNCTION("""COMPUTED_VALUE"""),"Bearns")</f>
        <v>Bearns</v>
      </c>
      <c r="C44" s="63" t="str">
        <f>IFERROR(__xludf.DUMMYFUNCTION("""COMPUTED_VALUE"""),"021")</f>
        <v>021</v>
      </c>
      <c r="D44" s="79" t="str">
        <f>IFERROR(__xludf.DUMMYFUNCTION("""COMPUTED_VALUE"""),"Bearns v. Dep’t of Indus., Labor &amp; Human Relations, 76-78. 306 N.W. 2d 22 (Wis. 1981)")</f>
        <v>Bearns v. Dep’t of Indus., Labor &amp; Human Relations, 76-78. 306 N.W. 2d 22 (Wis. 1981)</v>
      </c>
      <c r="E44" s="74" t="s">
        <v>1233</v>
      </c>
      <c r="F44" s="63" t="s">
        <v>1318</v>
      </c>
      <c r="G44" s="71" t="s">
        <v>1316</v>
      </c>
      <c r="H44" s="71"/>
      <c r="I44" s="66"/>
      <c r="J44" s="68"/>
      <c r="K44" s="68"/>
      <c r="L44" s="68"/>
      <c r="M44" s="68"/>
      <c r="N44" s="67"/>
      <c r="O44" s="88"/>
      <c r="P44" s="88"/>
      <c r="Q44" s="90"/>
      <c r="R44" s="72"/>
      <c r="S44" s="72"/>
      <c r="T44" s="72"/>
      <c r="U44" s="72"/>
      <c r="V44" s="72"/>
      <c r="W44" s="72"/>
      <c r="X44" s="72"/>
      <c r="Y44" s="72"/>
    </row>
    <row r="45">
      <c r="A45" s="60" t="s">
        <v>1319</v>
      </c>
      <c r="B45" s="61" t="str">
        <f>IFERROR(__xludf.DUMMYFUNCTION("""COMPUTED_VALUE"""),"Am Constr Co")</f>
        <v>Am Constr Co</v>
      </c>
      <c r="C45" s="63" t="str">
        <f>IFERROR(__xludf.DUMMYFUNCTION("""COMPUTED_VALUE"""),"022")</f>
        <v>022</v>
      </c>
      <c r="D45" s="79" t="str">
        <f>IFERROR(__xludf.DUMMYFUNCTION("""COMPUTED_VALUE"""),"Am. Constr. Co. v. Jacksonville, Tampa &amp; Key West Ry. Co., 148 U.S. 372, 384 (1893)")</f>
        <v>Am. Constr. Co. v. Jacksonville, Tampa &amp; Key West Ry. Co., 148 U.S. 372, 384 (1893)</v>
      </c>
      <c r="E45" s="74" t="s">
        <v>1233</v>
      </c>
      <c r="F45" s="63" t="s">
        <v>1320</v>
      </c>
      <c r="G45" s="71" t="s">
        <v>1316</v>
      </c>
      <c r="H45" s="71"/>
      <c r="I45" s="66"/>
      <c r="J45" s="68"/>
      <c r="K45" s="68"/>
      <c r="L45" s="68"/>
      <c r="M45" s="68"/>
      <c r="N45" s="67"/>
      <c r="O45" s="88"/>
      <c r="P45" s="90"/>
      <c r="Q45" s="90"/>
      <c r="R45" s="72"/>
      <c r="S45" s="72"/>
      <c r="T45" s="72"/>
      <c r="U45" s="72"/>
      <c r="V45" s="72"/>
      <c r="W45" s="72"/>
      <c r="X45" s="72"/>
      <c r="Y45" s="72"/>
    </row>
    <row r="46">
      <c r="A46" s="60" t="s">
        <v>1321</v>
      </c>
      <c r="B46" s="61" t="str">
        <f>IFERROR(__xludf.DUMMYFUNCTION("""COMPUTED_VALUE"""),"Infra Notes 29")</f>
        <v>Infra Notes 29</v>
      </c>
      <c r="C46" s="63" t="str">
        <f>IFERROR(__xludf.DUMMYFUNCTION("""COMPUTED_VALUE"""),"023")</f>
        <v>023</v>
      </c>
      <c r="D46" s="79" t="str">
        <f>IFERROR(__xludf.DUMMYFUNCTION("""COMPUTED_VALUE"""),"infra notes 29, 94, 113")</f>
        <v>infra notes 29, 94, 113</v>
      </c>
      <c r="E46" s="74" t="s">
        <v>1233</v>
      </c>
      <c r="F46" s="63" t="s">
        <v>1322</v>
      </c>
      <c r="G46" s="71" t="s">
        <v>1316</v>
      </c>
      <c r="H46" s="71"/>
      <c r="I46" s="66"/>
      <c r="J46" s="68"/>
      <c r="K46" s="68"/>
      <c r="L46" s="68"/>
      <c r="M46" s="68"/>
      <c r="N46" s="67"/>
      <c r="O46" s="88"/>
      <c r="P46" s="88"/>
      <c r="Q46" s="90"/>
      <c r="R46" s="72"/>
      <c r="S46" s="72"/>
      <c r="T46" s="72"/>
      <c r="U46" s="72"/>
      <c r="V46" s="72"/>
      <c r="W46" s="72"/>
      <c r="X46" s="72"/>
      <c r="Y46" s="72"/>
    </row>
    <row r="47">
      <c r="A47" s="60" t="s">
        <v>1323</v>
      </c>
      <c r="B47" s="61">
        <f>IFERROR(__xludf.DUMMYFUNCTION("""COMPUTED_VALUE"""),1291.0)</f>
        <v>1291</v>
      </c>
      <c r="C47" s="63" t="str">
        <f>IFERROR(__xludf.DUMMYFUNCTION("""COMPUTED_VALUE"""),"024")</f>
        <v>024</v>
      </c>
      <c r="D47" s="79" t="str">
        <f>IFERROR(__xludf.DUMMYFUNCTION("""COMPUTED_VALUE"""),"28 U.S.C. § 1291")</f>
        <v>28 U.S.C. § 1291</v>
      </c>
      <c r="E47" s="74" t="s">
        <v>1233</v>
      </c>
      <c r="F47" s="63" t="s">
        <v>1324</v>
      </c>
      <c r="G47" s="71" t="s">
        <v>1316</v>
      </c>
      <c r="H47" s="71"/>
      <c r="I47" s="66"/>
      <c r="J47" s="68"/>
      <c r="K47" s="68"/>
      <c r="L47" s="68"/>
      <c r="M47" s="68"/>
      <c r="N47" s="67"/>
      <c r="O47" s="88"/>
      <c r="P47" s="88"/>
      <c r="Q47" s="90"/>
      <c r="R47" s="72"/>
      <c r="S47" s="72"/>
      <c r="T47" s="72"/>
      <c r="U47" s="72"/>
      <c r="V47" s="72"/>
      <c r="W47" s="72"/>
      <c r="X47" s="72"/>
      <c r="Y47" s="72"/>
    </row>
    <row r="48">
      <c r="A48" s="60" t="s">
        <v>1325</v>
      </c>
      <c r="B48" s="61">
        <f>IFERROR(__xludf.DUMMYFUNCTION("""COMPUTED_VALUE"""),1292.0)</f>
        <v>1292</v>
      </c>
      <c r="C48" s="63" t="str">
        <f>IFERROR(__xludf.DUMMYFUNCTION("""COMPUTED_VALUE"""),"025")</f>
        <v>025</v>
      </c>
      <c r="D48" s="79" t="str">
        <f>IFERROR(__xludf.DUMMYFUNCTION("""COMPUTED_VALUE"""),"28 U.S.C. § 1292")</f>
        <v>28 U.S.C. § 1292</v>
      </c>
      <c r="E48" s="74" t="s">
        <v>1233</v>
      </c>
      <c r="F48" s="63" t="s">
        <v>1326</v>
      </c>
      <c r="G48" s="71" t="s">
        <v>1316</v>
      </c>
      <c r="H48" s="71"/>
      <c r="I48" s="66"/>
      <c r="J48" s="68"/>
      <c r="K48" s="68"/>
      <c r="L48" s="68"/>
      <c r="M48" s="68"/>
      <c r="N48" s="67"/>
      <c r="O48" s="88"/>
      <c r="P48" s="88"/>
      <c r="Q48" s="90"/>
      <c r="R48" s="72"/>
      <c r="S48" s="72"/>
      <c r="T48" s="72"/>
      <c r="U48" s="72"/>
      <c r="V48" s="72"/>
      <c r="W48" s="72"/>
      <c r="X48" s="72"/>
      <c r="Y48" s="72"/>
    </row>
    <row r="49">
      <c r="A49" s="60" t="s">
        <v>1327</v>
      </c>
      <c r="B49" s="61" t="str">
        <f>IFERROR(__xludf.DUMMYFUNCTION("""COMPUTED_VALUE"""),"Federal Rule")</f>
        <v>Federal Rule</v>
      </c>
      <c r="C49" s="63" t="str">
        <f>IFERROR(__xludf.DUMMYFUNCTION("""COMPUTED_VALUE"""),"026")</f>
        <v>026</v>
      </c>
      <c r="D49" s="79" t="str">
        <f>IFERROR(__xludf.DUMMYFUNCTION("""COMPUTED_VALUE"""),"Federal Rule of Civil Procedure 54(b)")</f>
        <v>Federal Rule of Civil Procedure 54(b)</v>
      </c>
      <c r="E49" s="74" t="s">
        <v>1233</v>
      </c>
      <c r="F49" s="63" t="s">
        <v>1328</v>
      </c>
      <c r="G49" s="71" t="s">
        <v>1316</v>
      </c>
      <c r="H49" s="71"/>
      <c r="I49" s="66"/>
      <c r="J49" s="68"/>
      <c r="K49" s="68"/>
      <c r="L49" s="68"/>
      <c r="M49" s="68"/>
      <c r="N49" s="67"/>
      <c r="O49" s="88"/>
      <c r="P49" s="88"/>
      <c r="Q49" s="90"/>
      <c r="R49" s="72"/>
      <c r="S49" s="72"/>
      <c r="T49" s="72"/>
      <c r="U49" s="72"/>
      <c r="V49" s="72"/>
      <c r="W49" s="72"/>
      <c r="X49" s="72"/>
      <c r="Y49" s="72"/>
    </row>
    <row r="50">
      <c r="A50" s="60" t="s">
        <v>1329</v>
      </c>
      <c r="B50" s="61" t="str">
        <f>IFERROR(__xludf.DUMMYFUNCTION("""COMPUTED_VALUE"""),"Infra Notes 280")</f>
        <v>Infra Notes 280</v>
      </c>
      <c r="C50" s="63" t="str">
        <f>IFERROR(__xludf.DUMMYFUNCTION("""COMPUTED_VALUE"""),"026")</f>
        <v>026</v>
      </c>
      <c r="D50" s="79" t="str">
        <f>IFERROR(__xludf.DUMMYFUNCTION("""COMPUTED_VALUE"""),"infra notes 280, 298 and accompanying text")</f>
        <v>infra notes 280, 298 and accompanying text</v>
      </c>
      <c r="E50" s="74" t="s">
        <v>1233</v>
      </c>
      <c r="F50" s="63" t="s">
        <v>1330</v>
      </c>
      <c r="G50" s="71" t="s">
        <v>1316</v>
      </c>
      <c r="H50" s="71"/>
      <c r="I50" s="66"/>
      <c r="J50" s="68"/>
      <c r="K50" s="68"/>
      <c r="L50" s="68"/>
      <c r="M50" s="68"/>
      <c r="N50" s="67"/>
      <c r="O50" s="88"/>
      <c r="P50" s="88"/>
      <c r="Q50" s="90"/>
      <c r="R50" s="72"/>
      <c r="S50" s="72"/>
      <c r="T50" s="72"/>
      <c r="U50" s="72"/>
      <c r="V50" s="72"/>
      <c r="W50" s="72"/>
      <c r="X50" s="72"/>
      <c r="Y50" s="72"/>
    </row>
    <row r="51">
      <c r="A51" s="60" t="s">
        <v>1331</v>
      </c>
      <c r="B51" s="61" t="str">
        <f>IFERROR(__xludf.DUMMYFUNCTION("""COMPUTED_VALUE"""),"Collord v US Dep't of the Interior")</f>
        <v>Collord v US Dep't of the Interior</v>
      </c>
      <c r="C51" s="63" t="str">
        <f>IFERROR(__xludf.DUMMYFUNCTION("""COMPUTED_VALUE"""),"027")</f>
        <v>027</v>
      </c>
      <c r="D51" s="79" t="str">
        <f>IFERROR(__xludf.DUMMYFUNCTION("""COMPUTED_VALUE"""),"Collord v. U.S. Dep’t of the Interior, 154 F.3d 933, 935 (9th Cir. 1998)")</f>
        <v>Collord v. U.S. Dep’t of the Interior, 154 F.3d 933, 935 (9th Cir. 1998)</v>
      </c>
      <c r="E51" s="74" t="s">
        <v>1233</v>
      </c>
      <c r="F51" s="63" t="s">
        <v>1332</v>
      </c>
      <c r="G51" s="71" t="s">
        <v>1316</v>
      </c>
      <c r="H51" s="71"/>
      <c r="I51" s="66"/>
      <c r="J51" s="68"/>
      <c r="K51" s="68"/>
      <c r="L51" s="68"/>
      <c r="M51" s="68"/>
      <c r="N51" s="67"/>
      <c r="O51" s="88"/>
      <c r="P51" s="88"/>
      <c r="Q51" s="90"/>
      <c r="R51" s="72"/>
      <c r="S51" s="72"/>
      <c r="T51" s="72"/>
      <c r="U51" s="72"/>
      <c r="V51" s="72"/>
      <c r="W51" s="72"/>
      <c r="X51" s="72"/>
      <c r="Y51" s="72"/>
    </row>
    <row r="52">
      <c r="A52" s="60" t="s">
        <v>1333</v>
      </c>
      <c r="B52" s="61" t="str">
        <f>IFERROR(__xludf.DUMMYFUNCTION("""COMPUTED_VALUE"""),"Infra Notes 132-181")</f>
        <v>Infra Notes 132-181</v>
      </c>
      <c r="C52" s="63" t="str">
        <f>IFERROR(__xludf.DUMMYFUNCTION("""COMPUTED_VALUE"""),"027")</f>
        <v>027</v>
      </c>
      <c r="D52" s="79" t="str">
        <f>IFERROR(__xludf.DUMMYFUNCTION("""COMPUTED_VALUE"""),"infra notes 132-181")</f>
        <v>infra notes 132-181</v>
      </c>
      <c r="E52" s="74" t="s">
        <v>1233</v>
      </c>
      <c r="F52" s="63" t="s">
        <v>1334</v>
      </c>
      <c r="G52" s="71" t="s">
        <v>1316</v>
      </c>
      <c r="H52" s="71"/>
      <c r="I52" s="66"/>
      <c r="J52" s="68"/>
      <c r="K52" s="68"/>
      <c r="L52" s="68"/>
      <c r="M52" s="68"/>
      <c r="N52" s="67"/>
      <c r="O52" s="88"/>
      <c r="P52" s="88"/>
      <c r="Q52" s="90"/>
      <c r="R52" s="72"/>
      <c r="S52" s="72"/>
      <c r="T52" s="72"/>
      <c r="U52" s="72"/>
      <c r="V52" s="72"/>
      <c r="W52" s="72"/>
      <c r="X52" s="72"/>
      <c r="Y52" s="72"/>
    </row>
    <row r="53">
      <c r="A53" s="60" t="s">
        <v>1335</v>
      </c>
      <c r="B53" s="61" t="str">
        <f>IFERROR(__xludf.DUMMYFUNCTION("""COMPUTED_VALUE"""),"Crowder v Sullivan")</f>
        <v>Crowder v Sullivan</v>
      </c>
      <c r="C53" s="63" t="str">
        <f>IFERROR(__xludf.DUMMYFUNCTION("""COMPUTED_VALUE"""),"028")</f>
        <v>028</v>
      </c>
      <c r="D53" s="79" t="str">
        <f>IFERROR(__xludf.DUMMYFUNCTION("""COMPUTED_VALUE"""),"Crowder v. Sullivan, 897 F.2d 252, 253 (7th Cir. 1990) (per curiam)")</f>
        <v>Crowder v. Sullivan, 897 F.2d 252, 253 (7th Cir. 1990) (per curiam)</v>
      </c>
      <c r="E53" s="74" t="s">
        <v>1233</v>
      </c>
      <c r="F53" s="63" t="s">
        <v>1336</v>
      </c>
      <c r="G53" s="71" t="s">
        <v>1316</v>
      </c>
      <c r="H53" s="71"/>
      <c r="I53" s="66"/>
      <c r="J53" s="68"/>
      <c r="K53" s="68"/>
      <c r="L53" s="68"/>
      <c r="M53" s="68"/>
      <c r="N53" s="67"/>
      <c r="O53" s="88"/>
      <c r="P53" s="88"/>
      <c r="Q53" s="90"/>
      <c r="R53" s="72"/>
      <c r="S53" s="72"/>
      <c r="T53" s="72"/>
      <c r="U53" s="72"/>
      <c r="V53" s="72"/>
      <c r="W53" s="72"/>
      <c r="X53" s="72"/>
      <c r="Y53" s="72"/>
    </row>
    <row r="54">
      <c r="A54" s="60" t="s">
        <v>1337</v>
      </c>
      <c r="B54" s="61" t="str">
        <f>IFERROR(__xludf.DUMMYFUNCTION("""COMPUTED_VALUE"""),"Papotto")</f>
        <v>Papotto</v>
      </c>
      <c r="C54" s="63" t="str">
        <f>IFERROR(__xludf.DUMMYFUNCTION("""COMPUTED_VALUE"""),"029")</f>
        <v>029</v>
      </c>
      <c r="D54" s="79" t="str">
        <f>IFERROR(__xludf.DUMMYFUNCTION("""COMPUTED_VALUE"""),"Papotto v. Hartford Life &amp; Accid. Insur. Co., 731 F.3d 265, 270-71 (3d Cir. 2013)")</f>
        <v>Papotto v. Hartford Life &amp; Accid. Insur. Co., 731 F.3d 265, 270-71 (3d Cir. 2013)</v>
      </c>
      <c r="E54" s="74" t="s">
        <v>1233</v>
      </c>
      <c r="F54" s="63" t="s">
        <v>1338</v>
      </c>
      <c r="G54" s="71" t="s">
        <v>1316</v>
      </c>
      <c r="H54" s="71"/>
      <c r="I54" s="66"/>
      <c r="J54" s="68"/>
      <c r="K54" s="68"/>
      <c r="L54" s="68"/>
      <c r="M54" s="68"/>
      <c r="N54" s="67"/>
      <c r="O54" s="88"/>
      <c r="P54" s="88"/>
      <c r="Q54" s="90"/>
      <c r="R54" s="72"/>
      <c r="S54" s="72"/>
      <c r="T54" s="72"/>
      <c r="U54" s="72"/>
      <c r="V54" s="72"/>
      <c r="W54" s="72"/>
      <c r="X54" s="72"/>
      <c r="Y54" s="72"/>
    </row>
    <row r="55">
      <c r="A55" s="60" t="s">
        <v>1339</v>
      </c>
      <c r="B55" s="61" t="str">
        <f>IFERROR(__xludf.DUMMYFUNCTION("""COMPUTED_VALUE"""),"Kreider")</f>
        <v>Kreider</v>
      </c>
      <c r="C55" s="63" t="str">
        <f>IFERROR(__xludf.DUMMYFUNCTION("""COMPUTED_VALUE"""),"029")</f>
        <v>029</v>
      </c>
      <c r="D55" s="79" t="str">
        <f>IFERROR(__xludf.DUMMYFUNCTION("""COMPUTED_VALUE"""),"Kreider Dairy Farms, Inc. v. Glickman, 190 F.3d 113, 124 (3d Cir. 1999) (Sloviter, J., concurring)")</f>
        <v>Kreider Dairy Farms, Inc. v. Glickman, 190 F.3d 113, 124 (3d Cir. 1999) (Sloviter, J., concurring)</v>
      </c>
      <c r="E55" s="74" t="s">
        <v>1233</v>
      </c>
      <c r="F55" s="63" t="s">
        <v>1340</v>
      </c>
      <c r="G55" s="71" t="s">
        <v>1316</v>
      </c>
      <c r="H55" s="71"/>
      <c r="I55" s="66"/>
      <c r="J55" s="68"/>
      <c r="K55" s="68"/>
      <c r="L55" s="68"/>
      <c r="M55" s="68"/>
      <c r="N55" s="67"/>
      <c r="O55" s="88"/>
      <c r="P55" s="88"/>
      <c r="Q55" s="90"/>
      <c r="R55" s="72"/>
      <c r="S55" s="72"/>
      <c r="T55" s="72"/>
      <c r="U55" s="72"/>
      <c r="V55" s="72"/>
      <c r="W55" s="72"/>
      <c r="X55" s="72"/>
      <c r="Y55" s="72"/>
    </row>
    <row r="56">
      <c r="A56" s="60" t="s">
        <v>1341</v>
      </c>
      <c r="B56" s="61" t="str">
        <f>IFERROR(__xludf.DUMMYFUNCTION("""COMPUTED_VALUE"""),"Digital Equip Corp")</f>
        <v>Digital Equip Corp</v>
      </c>
      <c r="C56" s="63" t="str">
        <f>IFERROR(__xludf.DUMMYFUNCTION("""COMPUTED_VALUE"""),"029")</f>
        <v>029</v>
      </c>
      <c r="D56" s="79" t="str">
        <f>IFERROR(__xludf.DUMMYFUNCTION("""COMPUTED_VALUE"""),"Digital Equip. Corp. v. Desktop Direct, Inc., 511 U.S. 863, 867 (1994)")</f>
        <v>Digital Equip. Corp. v. Desktop Direct, Inc., 511 U.S. 863, 867 (1994)</v>
      </c>
      <c r="E56" s="74" t="s">
        <v>1233</v>
      </c>
      <c r="F56" s="63" t="s">
        <v>1342</v>
      </c>
      <c r="G56" s="71" t="s">
        <v>1316</v>
      </c>
      <c r="H56" s="71"/>
      <c r="I56" s="66"/>
      <c r="J56" s="68"/>
      <c r="K56" s="68"/>
      <c r="L56" s="68"/>
      <c r="M56" s="68"/>
      <c r="N56" s="67"/>
      <c r="O56" s="88"/>
      <c r="P56" s="88"/>
      <c r="Q56" s="90"/>
      <c r="R56" s="72"/>
      <c r="S56" s="72"/>
      <c r="T56" s="72"/>
      <c r="U56" s="72"/>
      <c r="V56" s="72"/>
      <c r="W56" s="72"/>
      <c r="X56" s="72"/>
      <c r="Y56" s="72"/>
    </row>
    <row r="57">
      <c r="A57" s="60" t="s">
        <v>1343</v>
      </c>
      <c r="B57" s="61" t="str">
        <f>IFERROR(__xludf.DUMMYFUNCTION("""COMPUTED_VALUE"""),"Bagley")</f>
        <v>Bagley</v>
      </c>
      <c r="C57" s="63" t="str">
        <f>IFERROR(__xludf.DUMMYFUNCTION("""COMPUTED_VALUE"""),"030")</f>
        <v>030</v>
      </c>
      <c r="D57" s="79" t="str">
        <f>IFERROR(__xludf.DUMMYFUNCTION("""COMPUTED_VALUE"""),"Nicholas Bagley, Remedial Restraint in Administrative Law, 117 Colum. L. Rev. 253, 258 (2017)")</f>
        <v>Nicholas Bagley, Remedial Restraint in Administrative Law, 117 Colum. L. Rev. 253, 258 (2017)</v>
      </c>
      <c r="E57" s="74" t="s">
        <v>1233</v>
      </c>
      <c r="F57" s="63" t="s">
        <v>1344</v>
      </c>
      <c r="G57" s="71" t="s">
        <v>1316</v>
      </c>
      <c r="H57" s="71"/>
      <c r="I57" s="66"/>
      <c r="J57" s="68"/>
      <c r="K57" s="68"/>
      <c r="L57" s="68"/>
      <c r="M57" s="68"/>
      <c r="N57" s="67"/>
      <c r="O57" s="88"/>
      <c r="P57" s="88"/>
      <c r="Q57" s="90"/>
      <c r="R57" s="72"/>
      <c r="S57" s="72"/>
      <c r="T57" s="72"/>
      <c r="U57" s="72"/>
      <c r="V57" s="72"/>
      <c r="W57" s="72"/>
      <c r="X57" s="72"/>
      <c r="Y57" s="72"/>
    </row>
    <row r="58">
      <c r="A58" s="60" t="s">
        <v>1345</v>
      </c>
      <c r="B58" s="61">
        <f>IFERROR(__xludf.DUMMYFUNCTION("""COMPUTED_VALUE"""),706.0)</f>
        <v>706</v>
      </c>
      <c r="C58" s="63" t="str">
        <f>IFERROR(__xludf.DUMMYFUNCTION("""COMPUTED_VALUE"""),"030")</f>
        <v>030</v>
      </c>
      <c r="D58" s="79" t="str">
        <f>IFERROR(__xludf.DUMMYFUNCTION("""COMPUTED_VALUE"""),"5 U.S.C. § 706(2)")</f>
        <v>5 U.S.C. § 706(2)</v>
      </c>
      <c r="E58" s="74" t="s">
        <v>1233</v>
      </c>
      <c r="F58" s="63" t="s">
        <v>1346</v>
      </c>
      <c r="G58" s="71" t="s">
        <v>1316</v>
      </c>
      <c r="H58" s="71"/>
      <c r="I58" s="66"/>
      <c r="J58" s="68"/>
      <c r="K58" s="68"/>
      <c r="L58" s="68"/>
      <c r="M58" s="68"/>
      <c r="N58" s="67"/>
      <c r="O58" s="88"/>
      <c r="P58" s="88"/>
      <c r="Q58" s="90"/>
      <c r="R58" s="72"/>
      <c r="S58" s="72"/>
      <c r="T58" s="72"/>
      <c r="U58" s="72"/>
      <c r="V58" s="72"/>
      <c r="W58" s="72"/>
      <c r="X58" s="72"/>
      <c r="Y58" s="72"/>
    </row>
    <row r="59">
      <c r="A59" s="60" t="s">
        <v>1347</v>
      </c>
      <c r="B59" s="61" t="str">
        <f>IFERROR(__xludf.DUMMYFUNCTION("""COMPUTED_VALUE"""),"Chenery Corp")</f>
        <v>Chenery Corp</v>
      </c>
      <c r="C59" s="63" t="str">
        <f>IFERROR(__xludf.DUMMYFUNCTION("""COMPUTED_VALUE"""),"031")</f>
        <v>031</v>
      </c>
      <c r="D59" s="79" t="str">
        <f>IFERROR(__xludf.DUMMYFUNCTION("""COMPUTED_VALUE"""),"Securities &amp; Exch. Comm’n v. Chenery Corp., 332 U.S. 194, 196 (1947)")</f>
        <v>Securities &amp; Exch. Comm’n v. Chenery Corp., 332 U.S. 194, 196 (1947)</v>
      </c>
      <c r="E59" s="74" t="s">
        <v>1233</v>
      </c>
      <c r="F59" s="63" t="s">
        <v>1348</v>
      </c>
      <c r="G59" s="71" t="s">
        <v>1316</v>
      </c>
      <c r="H59" s="71"/>
      <c r="I59" s="66"/>
      <c r="J59" s="68"/>
      <c r="K59" s="68"/>
      <c r="L59" s="68"/>
      <c r="M59" s="68"/>
      <c r="N59" s="67"/>
      <c r="O59" s="88"/>
      <c r="P59" s="88"/>
      <c r="Q59" s="90"/>
      <c r="R59" s="72"/>
      <c r="S59" s="72"/>
      <c r="T59" s="72"/>
      <c r="U59" s="72"/>
      <c r="V59" s="72"/>
      <c r="W59" s="72"/>
      <c r="X59" s="72"/>
      <c r="Y59" s="72"/>
    </row>
    <row r="60">
      <c r="A60" s="60" t="s">
        <v>1349</v>
      </c>
      <c r="B60" s="61" t="str">
        <f>IFERROR(__xludf.DUMMYFUNCTION("""COMPUTED_VALUE"""),"Wages and White Lion Invs")</f>
        <v>Wages and White Lion Invs</v>
      </c>
      <c r="C60" s="63" t="str">
        <f>IFERROR(__xludf.DUMMYFUNCTION("""COMPUTED_VALUE"""),"031")</f>
        <v>031</v>
      </c>
      <c r="D60" s="79" t="str">
        <f>IFERROR(__xludf.DUMMYFUNCTION("""COMPUTED_VALUE"""),"Food &amp; Drug Admin. v. Wages &amp; White Lion Invs., LLC, 604 U.S. 542, 588-91 (2025)")</f>
        <v>Food &amp; Drug Admin. v. Wages &amp; White Lion Invs., LLC, 604 U.S. 542, 588-91 (2025)</v>
      </c>
      <c r="E60" s="74" t="s">
        <v>1233</v>
      </c>
      <c r="F60" s="63" t="s">
        <v>1350</v>
      </c>
      <c r="G60" s="71" t="s">
        <v>1316</v>
      </c>
      <c r="H60" s="71"/>
      <c r="I60" s="66"/>
      <c r="J60" s="68"/>
      <c r="K60" s="68"/>
      <c r="L60" s="68"/>
      <c r="M60" s="68"/>
      <c r="N60" s="67"/>
      <c r="O60" s="88"/>
      <c r="P60" s="88"/>
      <c r="Q60" s="90"/>
      <c r="R60" s="72"/>
      <c r="S60" s="72"/>
      <c r="T60" s="72"/>
      <c r="U60" s="72"/>
      <c r="V60" s="72"/>
      <c r="W60" s="72"/>
      <c r="X60" s="72"/>
      <c r="Y60" s="72"/>
    </row>
    <row r="61">
      <c r="A61" s="60" t="s">
        <v>1351</v>
      </c>
      <c r="B61" s="61" t="str">
        <f>IFERROR(__xludf.DUMMYFUNCTION("""COMPUTED_VALUE"""),"Glicksman")</f>
        <v>Glicksman</v>
      </c>
      <c r="C61" s="63" t="str">
        <f>IFERROR(__xludf.DUMMYFUNCTION("""COMPUTED_VALUE"""),"031")</f>
        <v>031</v>
      </c>
      <c r="D61" s="79" t="str">
        <f>IFERROR(__xludf.DUMMYFUNCTION("""COMPUTED_VALUE"""),"Robert L. Glicksman &amp; Emily Hammond, Agency Behavior and Discretion on Remand, 32 J. Land Use &amp; Env’t L. 483, 492-93 (2017)")</f>
        <v>Robert L. Glicksman &amp; Emily Hammond, Agency Behavior and Discretion on Remand, 32 J. Land Use &amp; Env’t L. 483, 492-93 (2017)</v>
      </c>
      <c r="E61" s="74" t="s">
        <v>1233</v>
      </c>
      <c r="F61" s="63" t="s">
        <v>1352</v>
      </c>
      <c r="G61" s="71" t="s">
        <v>1316</v>
      </c>
      <c r="H61" s="71"/>
      <c r="I61" s="66"/>
      <c r="J61" s="68"/>
      <c r="K61" s="68"/>
      <c r="L61" s="68"/>
      <c r="M61" s="68"/>
      <c r="N61" s="67"/>
      <c r="O61" s="88"/>
      <c r="P61" s="88"/>
      <c r="Q61" s="90"/>
      <c r="R61" s="72"/>
      <c r="S61" s="72"/>
      <c r="T61" s="72"/>
      <c r="U61" s="72"/>
      <c r="V61" s="72"/>
      <c r="W61" s="72"/>
      <c r="X61" s="72"/>
      <c r="Y61" s="72"/>
    </row>
    <row r="62">
      <c r="A62" s="60" t="s">
        <v>1353</v>
      </c>
      <c r="B62" s="61" t="str">
        <f>IFERROR(__xludf.DUMMYFUNCTION("""COMPUTED_VALUE"""),"Walker Referral")</f>
        <v>Walker Referral</v>
      </c>
      <c r="C62" s="63" t="str">
        <f>IFERROR(__xludf.DUMMYFUNCTION("""COMPUTED_VALUE"""),"031")</f>
        <v>031</v>
      </c>
      <c r="D62" s="79" t="str">
        <f>IFERROR(__xludf.DUMMYFUNCTION("""COMPUTED_VALUE"""),"Christopher J. Walker, Referral, Remand, and Dialogue in Administrative Law, 101 Iowa L. Rev. Online 84, 86 (2016)")</f>
        <v>Christopher J. Walker, Referral, Remand, and Dialogue in Administrative Law, 101 Iowa L. Rev. Online 84, 86 (2016)</v>
      </c>
      <c r="E62" s="74" t="s">
        <v>1233</v>
      </c>
      <c r="F62" s="63" t="s">
        <v>1354</v>
      </c>
      <c r="G62" s="71" t="s">
        <v>1316</v>
      </c>
      <c r="H62" s="71"/>
      <c r="I62" s="66"/>
      <c r="J62" s="68"/>
      <c r="K62" s="68"/>
      <c r="L62" s="68"/>
      <c r="M62" s="68"/>
      <c r="N62" s="67"/>
      <c r="O62" s="88"/>
      <c r="P62" s="88"/>
      <c r="Q62" s="90"/>
      <c r="R62" s="72"/>
      <c r="S62" s="72"/>
      <c r="T62" s="72"/>
      <c r="U62" s="72"/>
      <c r="V62" s="72"/>
      <c r="W62" s="72"/>
      <c r="X62" s="72"/>
      <c r="Y62" s="72"/>
    </row>
    <row r="63">
      <c r="A63" s="60" t="s">
        <v>1355</v>
      </c>
      <c r="B63" s="61" t="str">
        <f>IFERROR(__xludf.DUMMYFUNCTION("""COMPUTED_VALUE"""),"Walker Ordinary")</f>
        <v>Walker Ordinary</v>
      </c>
      <c r="C63" s="63" t="str">
        <f>IFERROR(__xludf.DUMMYFUNCTION("""COMPUTED_VALUE"""),"031")</f>
        <v>031</v>
      </c>
      <c r="D63" s="79" t="str">
        <f>IFERROR(__xludf.DUMMYFUNCTION("""COMPUTED_VALUE"""),"Christopher J. Walker, The Ordinary Remand Rule and the Judicial Toolbox for Agency Dialogue, 82 Geo. Wash. L. Rev. 1553, 1563 (2014)")</f>
        <v>Christopher J. Walker, The Ordinary Remand Rule and the Judicial Toolbox for Agency Dialogue, 82 Geo. Wash. L. Rev. 1553, 1563 (2014)</v>
      </c>
      <c r="E63" s="74" t="s">
        <v>1233</v>
      </c>
      <c r="F63" s="63" t="s">
        <v>1356</v>
      </c>
      <c r="G63" s="71" t="s">
        <v>1316</v>
      </c>
      <c r="H63" s="71"/>
      <c r="I63" s="66"/>
      <c r="J63" s="68"/>
      <c r="K63" s="68"/>
      <c r="L63" s="68"/>
      <c r="M63" s="68"/>
      <c r="N63" s="67"/>
      <c r="O63" s="88"/>
      <c r="P63" s="88"/>
      <c r="Q63" s="90"/>
      <c r="R63" s="72"/>
      <c r="S63" s="72"/>
      <c r="T63" s="72"/>
      <c r="U63" s="72"/>
      <c r="V63" s="72"/>
      <c r="W63" s="72"/>
      <c r="X63" s="72"/>
      <c r="Y63" s="72"/>
    </row>
    <row r="64">
      <c r="A64" s="60" t="s">
        <v>1357</v>
      </c>
      <c r="B64" s="61" t="str">
        <f>IFERROR(__xludf.DUMMYFUNCTION("""COMPUTED_VALUE"""),"Infra Notes 257-261 and Accompanying Text")</f>
        <v>Infra Notes 257-261 and Accompanying Text</v>
      </c>
      <c r="C64" s="63" t="str">
        <f>IFERROR(__xludf.DUMMYFUNCTION("""COMPUTED_VALUE"""),"032")</f>
        <v>032</v>
      </c>
      <c r="D64" s="79" t="str">
        <f>IFERROR(__xludf.DUMMYFUNCTION("""COMPUTED_VALUE"""),"infra notes 257-261 and accompanying text")</f>
        <v>infra notes 257-261 and accompanying text</v>
      </c>
      <c r="E64" s="74" t="s">
        <v>1233</v>
      </c>
      <c r="F64" s="63" t="s">
        <v>1358</v>
      </c>
      <c r="G64" s="71" t="s">
        <v>1316</v>
      </c>
      <c r="H64" s="71"/>
      <c r="I64" s="66"/>
      <c r="J64" s="68"/>
      <c r="K64" s="68"/>
      <c r="L64" s="68"/>
      <c r="M64" s="68"/>
      <c r="N64" s="67"/>
      <c r="O64" s="88"/>
      <c r="P64" s="88"/>
      <c r="Q64" s="90"/>
      <c r="R64" s="72"/>
      <c r="S64" s="72"/>
      <c r="T64" s="72"/>
      <c r="U64" s="72"/>
      <c r="V64" s="72"/>
      <c r="W64" s="72"/>
      <c r="X64" s="72"/>
      <c r="Y64" s="72"/>
    </row>
    <row r="65">
      <c r="A65" s="60" t="s">
        <v>1359</v>
      </c>
      <c r="B65" s="61" t="str">
        <f>IFERROR(__xludf.DUMMYFUNCTION("""COMPUTED_VALUE"""),"Revesz")</f>
        <v>Revesz</v>
      </c>
      <c r="C65" s="63" t="str">
        <f>IFERROR(__xludf.DUMMYFUNCTION("""COMPUTED_VALUE"""),"033")</f>
        <v>033</v>
      </c>
      <c r="D65" s="79" t="str">
        <f>IFERROR(__xludf.DUMMYFUNCTION("""COMPUTED_VALUE"""),"Joshua Revesz, Voluntary Remands: A Critical Reassessment, 70 Admin. L. Rev. 361, 366-69 (2018)")</f>
        <v>Joshua Revesz, Voluntary Remands: A Critical Reassessment, 70 Admin. L. Rev. 361, 366-69 (2018)</v>
      </c>
      <c r="E65" s="74" t="s">
        <v>1233</v>
      </c>
      <c r="F65" s="63" t="s">
        <v>1360</v>
      </c>
      <c r="G65" s="71" t="s">
        <v>1316</v>
      </c>
      <c r="H65" s="71"/>
      <c r="I65" s="66"/>
      <c r="J65" s="68"/>
      <c r="K65" s="68"/>
      <c r="L65" s="68"/>
      <c r="M65" s="68"/>
      <c r="N65" s="67"/>
      <c r="O65" s="88"/>
      <c r="P65" s="88"/>
      <c r="Q65" s="90"/>
      <c r="R65" s="72"/>
      <c r="S65" s="72"/>
      <c r="T65" s="72"/>
      <c r="U65" s="72"/>
      <c r="V65" s="72"/>
      <c r="W65" s="72"/>
      <c r="X65" s="72"/>
      <c r="Y65" s="72"/>
    </row>
    <row r="66">
      <c r="A66" s="60" t="s">
        <v>1361</v>
      </c>
      <c r="B66" s="61" t="str">
        <f>IFERROR(__xludf.DUMMYFUNCTION("""COMPUTED_VALUE"""),"Fine")</f>
        <v>Fine</v>
      </c>
      <c r="C66" s="63" t="str">
        <f>IFERROR(__xludf.DUMMYFUNCTION("""COMPUTED_VALUE"""),"033")</f>
        <v>033</v>
      </c>
      <c r="D66" s="79" t="str">
        <f>IFERROR(__xludf.DUMMYFUNCTION("""COMPUTED_VALUE"""),"Toni M. Fine, Agency Requests for “Voluntary” Remand: A Proposal for the Development of Judicial Standards, 28 Ariz. St. L.J. 1079, 1080 (1996)")</f>
        <v>Toni M. Fine, Agency Requests for “Voluntary” Remand: A Proposal for the Development of Judicial Standards, 28 Ariz. St. L.J. 1079, 1080 (1996)</v>
      </c>
      <c r="E66" s="74" t="s">
        <v>1233</v>
      </c>
      <c r="F66" s="63" t="s">
        <v>1362</v>
      </c>
      <c r="G66" s="71" t="s">
        <v>1316</v>
      </c>
      <c r="H66" s="71"/>
      <c r="I66" s="66"/>
      <c r="J66" s="68"/>
      <c r="K66" s="68"/>
      <c r="L66" s="68"/>
      <c r="M66" s="68"/>
      <c r="N66" s="67"/>
      <c r="O66" s="88"/>
      <c r="P66" s="88"/>
      <c r="Q66" s="90"/>
      <c r="R66" s="72"/>
      <c r="S66" s="72"/>
      <c r="T66" s="72"/>
      <c r="U66" s="72"/>
      <c r="V66" s="72"/>
      <c r="W66" s="72"/>
      <c r="X66" s="72"/>
      <c r="Y66" s="72"/>
    </row>
    <row r="67">
      <c r="A67" s="60" t="s">
        <v>1363</v>
      </c>
      <c r="B67" s="61" t="str">
        <f>IFERROR(__xludf.DUMMYFUNCTION("""COMPUTED_VALUE"""),"Motor Vehicle Mfrs")</f>
        <v>Motor Vehicle Mfrs</v>
      </c>
      <c r="C67" s="63" t="str">
        <f>IFERROR(__xludf.DUMMYFUNCTION("""COMPUTED_VALUE"""),"034")</f>
        <v>034</v>
      </c>
      <c r="D67" s="79" t="str">
        <f>IFERROR(__xludf.DUMMYFUNCTION("""COMPUTED_VALUE"""),"Motor Vehicle Mfrs. Ass’n of U.S., Inc. v. State Farm Mut. Auto. Ins. Co., 463 U.S. 29, 43 (1983)")</f>
        <v>Motor Vehicle Mfrs. Ass’n of U.S., Inc. v. State Farm Mut. Auto. Ins. Co., 463 U.S. 29, 43 (1983)</v>
      </c>
      <c r="E67" s="74" t="s">
        <v>1233</v>
      </c>
      <c r="F67" s="63" t="s">
        <v>1364</v>
      </c>
      <c r="G67" s="71" t="s">
        <v>1316</v>
      </c>
      <c r="H67" s="71"/>
      <c r="I67" s="66"/>
      <c r="J67" s="68"/>
      <c r="K67" s="68"/>
      <c r="L67" s="68"/>
      <c r="M67" s="68"/>
      <c r="N67" s="67"/>
      <c r="O67" s="88"/>
      <c r="P67" s="88"/>
      <c r="Q67" s="90"/>
      <c r="R67" s="72"/>
      <c r="S67" s="72"/>
      <c r="T67" s="72"/>
      <c r="U67" s="72"/>
      <c r="V67" s="72"/>
      <c r="W67" s="72"/>
      <c r="X67" s="72"/>
      <c r="Y67" s="72"/>
    </row>
    <row r="68">
      <c r="A68" s="60" t="s">
        <v>1365</v>
      </c>
      <c r="B68" s="61" t="str">
        <f>IFERROR(__xludf.DUMMYFUNCTION("""COMPUTED_VALUE"""),"Friendly")</f>
        <v>Friendly</v>
      </c>
      <c r="C68" s="63" t="str">
        <f>IFERROR(__xludf.DUMMYFUNCTION("""COMPUTED_VALUE"""),"035")</f>
        <v>035</v>
      </c>
      <c r="D68" s="79" t="str">
        <f>IFERROR(__xludf.DUMMYFUNCTION("""COMPUTED_VALUE"""),"Henry J. Friendly, Chenery Revisited: Reflections on Reversal and Remand of Administrative Orders, 1969 Duke L.J. 199, 205-18 (1969)")</f>
        <v>Henry J. Friendly, Chenery Revisited: Reflections on Reversal and Remand of Administrative Orders, 1969 Duke L.J. 199, 205-18 (1969)</v>
      </c>
      <c r="E68" s="74" t="s">
        <v>1233</v>
      </c>
      <c r="F68" s="63" t="s">
        <v>1366</v>
      </c>
      <c r="G68" s="71" t="s">
        <v>1316</v>
      </c>
      <c r="H68" s="71"/>
      <c r="I68" s="66"/>
      <c r="J68" s="68"/>
      <c r="K68" s="68"/>
      <c r="L68" s="68"/>
      <c r="M68" s="68"/>
      <c r="N68" s="67"/>
      <c r="O68" s="88"/>
      <c r="P68" s="88"/>
      <c r="Q68" s="90"/>
      <c r="R68" s="72"/>
      <c r="S68" s="72"/>
      <c r="T68" s="72"/>
      <c r="U68" s="72"/>
      <c r="V68" s="72"/>
      <c r="W68" s="72"/>
      <c r="X68" s="72"/>
      <c r="Y68" s="72"/>
    </row>
    <row r="69">
      <c r="A69" s="60" t="s">
        <v>1367</v>
      </c>
      <c r="B69" s="61" t="str">
        <f>IFERROR(__xludf.DUMMYFUNCTION("""COMPUTED_VALUE"""),"Mendoza")</f>
        <v>Mendoza</v>
      </c>
      <c r="C69" s="63" t="str">
        <f>IFERROR(__xludf.DUMMYFUNCTION("""COMPUTED_VALUE"""),"036")</f>
        <v>036</v>
      </c>
      <c r="D69" s="79" t="str">
        <f>IFERROR(__xludf.DUMMYFUNCTION("""COMPUTED_VALUE"""),"Julie C. Mendoza &amp; R. Will Planert, Agency Remands Before the United States Court of International Trade: Objectives and Obstacles, 17 Tul. J. Int’l &amp; Comp. L. 463, 470-89 (2009)")</f>
        <v>Julie C. Mendoza &amp; R. Will Planert, Agency Remands Before the United States Court of International Trade: Objectives and Obstacles, 17 Tul. J. Int’l &amp; Comp. L. 463, 470-89 (2009)</v>
      </c>
      <c r="E69" s="74" t="s">
        <v>1233</v>
      </c>
      <c r="F69" s="63" t="s">
        <v>1368</v>
      </c>
      <c r="G69" s="71" t="s">
        <v>1316</v>
      </c>
      <c r="H69" s="71"/>
      <c r="I69" s="66"/>
      <c r="J69" s="68"/>
      <c r="K69" s="68"/>
      <c r="L69" s="68"/>
      <c r="M69" s="68"/>
      <c r="N69" s="67"/>
      <c r="O69" s="88"/>
      <c r="P69" s="88"/>
      <c r="Q69" s="90"/>
      <c r="R69" s="72"/>
      <c r="S69" s="72"/>
      <c r="T69" s="72"/>
      <c r="U69" s="72"/>
      <c r="V69" s="72"/>
      <c r="W69" s="72"/>
      <c r="X69" s="72"/>
      <c r="Y69" s="72"/>
    </row>
    <row r="70">
      <c r="A70" s="60" t="s">
        <v>1369</v>
      </c>
      <c r="B70" s="61" t="str">
        <f>IFERROR(__xludf.DUMMYFUNCTION("""COMPUTED_VALUE"""),"Pauly v US Dept of Agri")</f>
        <v>Pauly v US Dept of Agri</v>
      </c>
      <c r="C70" s="63" t="str">
        <f>IFERROR(__xludf.DUMMYFUNCTION("""COMPUTED_VALUE"""),"037")</f>
        <v>037</v>
      </c>
      <c r="D70" s="79" t="str">
        <f>IFERROR(__xludf.DUMMYFUNCTION("""COMPUTED_VALUE"""),"Pauly v. U.S. Dept. of Agri., 348 F.3d 1143, 1148 (9th Cir. 2003)")</f>
        <v>Pauly v. U.S. Dept. of Agri., 348 F.3d 1143, 1148 (9th Cir. 2003)</v>
      </c>
      <c r="E70" s="74" t="s">
        <v>1233</v>
      </c>
      <c r="F70" s="63" t="s">
        <v>1370</v>
      </c>
      <c r="G70" s="71" t="s">
        <v>1316</v>
      </c>
      <c r="H70" s="71"/>
      <c r="I70" s="66"/>
      <c r="J70" s="68"/>
      <c r="K70" s="68"/>
      <c r="L70" s="68"/>
      <c r="M70" s="68"/>
      <c r="N70" s="67"/>
      <c r="O70" s="88"/>
      <c r="P70" s="88"/>
      <c r="Q70" s="90"/>
      <c r="R70" s="72"/>
      <c r="S70" s="72"/>
      <c r="T70" s="72"/>
      <c r="U70" s="72"/>
      <c r="V70" s="72"/>
      <c r="W70" s="72"/>
      <c r="X70" s="72"/>
      <c r="Y70" s="72"/>
    </row>
    <row r="71">
      <c r="A71" s="60" t="s">
        <v>1371</v>
      </c>
      <c r="B71" s="61" t="str">
        <f>IFERROR(__xludf.DUMMYFUNCTION("""COMPUTED_VALUE"""),"Vista")</f>
        <v>Vista</v>
      </c>
      <c r="C71" s="63" t="str">
        <f>IFERROR(__xludf.DUMMYFUNCTION("""COMPUTED_VALUE"""),"038")</f>
        <v>038</v>
      </c>
      <c r="D71" s="79" t="str">
        <f>IFERROR(__xludf.DUMMYFUNCTION("""COMPUTED_VALUE"""),"Vista Health Plan, Inc. v. U.S. Dep’t of Health &amp; Human Servs., 31 F.4th 946, 951 (5th Cir. 2022)")</f>
        <v>Vista Health Plan, Inc. v. U.S. Dep’t of Health &amp; Human Servs., 31 F.4th 946, 951 (5th Cir. 2022)</v>
      </c>
      <c r="E71" s="74" t="s">
        <v>1233</v>
      </c>
      <c r="F71" s="63" t="s">
        <v>1372</v>
      </c>
      <c r="G71" s="71" t="s">
        <v>1316</v>
      </c>
      <c r="H71" s="71"/>
      <c r="I71" s="66"/>
      <c r="J71" s="68"/>
      <c r="K71" s="68"/>
      <c r="L71" s="68"/>
      <c r="M71" s="68"/>
      <c r="N71" s="67"/>
      <c r="O71" s="88"/>
      <c r="P71" s="88"/>
      <c r="Q71" s="90"/>
      <c r="R71" s="72"/>
      <c r="S71" s="72"/>
      <c r="T71" s="72"/>
      <c r="U71" s="72"/>
      <c r="V71" s="72"/>
      <c r="W71" s="72"/>
      <c r="X71" s="72"/>
      <c r="Y71" s="72"/>
    </row>
    <row r="72">
      <c r="A72" s="60" t="s">
        <v>1373</v>
      </c>
      <c r="B72" s="61" t="str">
        <f>IFERROR(__xludf.DUMMYFUNCTION("""COMPUTED_VALUE"""),"Act of Sept 24")</f>
        <v>Act of Sept 24</v>
      </c>
      <c r="C72" s="63" t="str">
        <f>IFERROR(__xludf.DUMMYFUNCTION("""COMPUTED_VALUE"""),"039")</f>
        <v>039</v>
      </c>
      <c r="D72" s="79" t="str">
        <f>IFERROR(__xludf.DUMMYFUNCTION("""COMPUTED_VALUE"""),"Act of Sept. 24, 1789, 1 Stat. 73, c. 20 §§ 21-22")</f>
        <v>Act of Sept. 24, 1789, 1 Stat. 73, c. 20 §§ 21-22</v>
      </c>
      <c r="E72" s="74" t="s">
        <v>1233</v>
      </c>
      <c r="F72" s="63" t="s">
        <v>1374</v>
      </c>
      <c r="G72" s="71" t="s">
        <v>1316</v>
      </c>
      <c r="H72" s="71"/>
      <c r="I72" s="66"/>
      <c r="J72" s="68"/>
      <c r="K72" s="68"/>
      <c r="L72" s="68"/>
      <c r="M72" s="68"/>
      <c r="N72" s="67"/>
      <c r="O72" s="88"/>
      <c r="P72" s="88"/>
      <c r="Q72" s="90"/>
      <c r="R72" s="72"/>
      <c r="S72" s="72"/>
      <c r="T72" s="72"/>
      <c r="U72" s="72"/>
      <c r="V72" s="72"/>
      <c r="W72" s="72"/>
      <c r="X72" s="72"/>
      <c r="Y72" s="72"/>
    </row>
    <row r="73">
      <c r="A73" s="60" t="s">
        <v>1375</v>
      </c>
      <c r="B73" s="61" t="str">
        <f>IFERROR(__xludf.DUMMYFUNCTION("""COMPUTED_VALUE"""),"Federal Practice 3906")</f>
        <v>Federal Practice 3906</v>
      </c>
      <c r="C73" s="63" t="str">
        <f>IFERROR(__xludf.DUMMYFUNCTION("""COMPUTED_VALUE"""),"040")</f>
        <v>040</v>
      </c>
      <c r="D73" s="79" t="str">
        <f>IFERROR(__xludf.DUMMYFUNCTION("""COMPUTED_VALUE"""),"Federal Practice &amp; Procedure, § 3906 History, 15A Fed. Prac. &amp; Proc. Juris. § 3906 (3d ed. June 2024 Update)")</f>
        <v>Federal Practice &amp; Procedure, § 3906 History, 15A Fed. Prac. &amp; Proc. Juris. § 3906 (3d ed. June 2024 Update)</v>
      </c>
      <c r="E73" s="74" t="s">
        <v>1233</v>
      </c>
      <c r="F73" s="63" t="s">
        <v>1376</v>
      </c>
      <c r="G73" s="71" t="s">
        <v>1316</v>
      </c>
      <c r="H73" s="71"/>
      <c r="I73" s="66"/>
      <c r="J73" s="68"/>
      <c r="K73" s="68"/>
      <c r="L73" s="68"/>
      <c r="M73" s="68"/>
      <c r="N73" s="67"/>
      <c r="O73" s="88"/>
      <c r="P73" s="88"/>
      <c r="Q73" s="90"/>
      <c r="R73" s="72"/>
      <c r="S73" s="72"/>
      <c r="T73" s="72"/>
      <c r="U73" s="72"/>
      <c r="V73" s="72"/>
      <c r="W73" s="72"/>
      <c r="X73" s="72"/>
      <c r="Y73" s="72"/>
    </row>
    <row r="74">
      <c r="A74" s="60" t="s">
        <v>1377</v>
      </c>
      <c r="B74" s="61" t="str">
        <f>IFERROR(__xludf.DUMMYFUNCTION("""COMPUTED_VALUE"""),"Metcalfe")</f>
        <v>Metcalfe</v>
      </c>
      <c r="C74" s="63" t="str">
        <f>IFERROR(__xludf.DUMMYFUNCTION("""COMPUTED_VALUE"""),"040")</f>
        <v>040</v>
      </c>
      <c r="D74" s="79" t="str">
        <f>IFERROR(__xludf.DUMMYFUNCTION("""COMPUTED_VALUE"""),"Metcalfe’s Case, 11 Co. Rep. 38a, 77 Eng. Rep. 1193 (K.B. 1615)")</f>
        <v>Metcalfe’s Case, 11 Co. Rep. 38a, 77 Eng. Rep. 1193 (K.B. 1615)</v>
      </c>
      <c r="E74" s="74" t="s">
        <v>1233</v>
      </c>
      <c r="F74" s="63" t="s">
        <v>1378</v>
      </c>
      <c r="G74" s="71" t="s">
        <v>1316</v>
      </c>
      <c r="H74" s="71"/>
      <c r="I74" s="66"/>
      <c r="J74" s="68"/>
      <c r="K74" s="68"/>
      <c r="L74" s="68"/>
      <c r="M74" s="68"/>
      <c r="N74" s="67"/>
      <c r="O74" s="88"/>
      <c r="P74" s="88"/>
      <c r="Q74" s="90"/>
      <c r="R74" s="72"/>
      <c r="S74" s="72"/>
      <c r="T74" s="72"/>
      <c r="U74" s="72"/>
      <c r="V74" s="72"/>
      <c r="W74" s="72"/>
      <c r="X74" s="72"/>
      <c r="Y74" s="72"/>
    </row>
    <row r="75">
      <c r="A75" s="60" t="s">
        <v>1379</v>
      </c>
      <c r="B75" s="61" t="str">
        <f>IFERROR(__xludf.DUMMYFUNCTION("""COMPUTED_VALUE"""),"Catlin v United States")</f>
        <v>Catlin v United States</v>
      </c>
      <c r="C75" s="63" t="str">
        <f>IFERROR(__xludf.DUMMYFUNCTION("""COMPUTED_VALUE"""),"041")</f>
        <v>041</v>
      </c>
      <c r="D75" s="79" t="str">
        <f>IFERROR(__xludf.DUMMYFUNCTION("""COMPUTED_VALUE"""),"Catlin v. United States, 324 U.S. 229, 233 (1945)")</f>
        <v>Catlin v. United States, 324 U.S. 229, 233 (1945)</v>
      </c>
      <c r="E75" s="74" t="s">
        <v>1233</v>
      </c>
      <c r="F75" s="63" t="s">
        <v>1380</v>
      </c>
      <c r="G75" s="71" t="s">
        <v>1316</v>
      </c>
      <c r="H75" s="71"/>
      <c r="I75" s="66"/>
      <c r="J75" s="68"/>
      <c r="K75" s="68"/>
      <c r="L75" s="68"/>
      <c r="M75" s="68"/>
      <c r="N75" s="67"/>
      <c r="O75" s="88"/>
      <c r="P75" s="88"/>
      <c r="Q75" s="90"/>
      <c r="R75" s="72"/>
      <c r="S75" s="72"/>
      <c r="T75" s="72"/>
      <c r="U75" s="72"/>
      <c r="V75" s="72"/>
      <c r="W75" s="72"/>
      <c r="X75" s="72"/>
      <c r="Y75" s="72"/>
    </row>
    <row r="76">
      <c r="A76" s="60" t="s">
        <v>1381</v>
      </c>
      <c r="B76" s="61" t="str">
        <f>IFERROR(__xludf.DUMMYFUNCTION("""COMPUTED_VALUE"""),"62 Stat")</f>
        <v>62 Stat</v>
      </c>
      <c r="C76" s="63" t="str">
        <f>IFERROR(__xludf.DUMMYFUNCTION("""COMPUTED_VALUE"""),"042")</f>
        <v>042</v>
      </c>
      <c r="D76" s="79" t="str">
        <f>IFERROR(__xludf.DUMMYFUNCTION("""COMPUTED_VALUE"""),"62 Stat. 929 (1948)")</f>
        <v>62 Stat. 929 (1948)</v>
      </c>
      <c r="E76" s="74" t="s">
        <v>1233</v>
      </c>
      <c r="F76" s="63" t="s">
        <v>1382</v>
      </c>
      <c r="G76" s="71" t="s">
        <v>1316</v>
      </c>
      <c r="H76" s="71"/>
      <c r="I76" s="66"/>
      <c r="J76" s="68"/>
      <c r="K76" s="68"/>
      <c r="L76" s="68"/>
      <c r="M76" s="68"/>
      <c r="N76" s="67"/>
      <c r="O76" s="88"/>
      <c r="P76" s="88"/>
      <c r="Q76" s="90"/>
      <c r="R76" s="72"/>
      <c r="S76" s="72"/>
      <c r="T76" s="72"/>
      <c r="U76" s="72"/>
      <c r="V76" s="72"/>
      <c r="W76" s="72"/>
      <c r="X76" s="72"/>
      <c r="Y76" s="72"/>
    </row>
    <row r="77">
      <c r="A77" s="60" t="s">
        <v>1383</v>
      </c>
      <c r="B77" s="61" t="str">
        <f>IFERROR(__xludf.DUMMYFUNCTION("""COMPUTED_VALUE"""),"Bachowski v Usery")</f>
        <v>Bachowski v Usery</v>
      </c>
      <c r="C77" s="63" t="str">
        <f>IFERROR(__xludf.DUMMYFUNCTION("""COMPUTED_VALUE"""),"043")</f>
        <v>043</v>
      </c>
      <c r="D77" s="79" t="str">
        <f>IFERROR(__xludf.DUMMYFUNCTION("""COMPUTED_VALUE"""),"Bachowski v. Usery, 545 F.2d 363, 367 (3d Cir. 1976)")</f>
        <v>Bachowski v. Usery, 545 F.2d 363, 367 (3d Cir. 1976)</v>
      </c>
      <c r="E77" s="74" t="s">
        <v>1233</v>
      </c>
      <c r="F77" s="63" t="s">
        <v>1384</v>
      </c>
      <c r="G77" s="71" t="s">
        <v>1316</v>
      </c>
      <c r="H77" s="71"/>
      <c r="I77" s="66"/>
      <c r="J77" s="68"/>
      <c r="K77" s="68"/>
      <c r="L77" s="68"/>
      <c r="M77" s="68"/>
      <c r="N77" s="67"/>
      <c r="O77" s="88"/>
      <c r="P77" s="88"/>
      <c r="Q77" s="90"/>
      <c r="R77" s="72"/>
      <c r="S77" s="72"/>
      <c r="T77" s="72"/>
      <c r="U77" s="72"/>
      <c r="V77" s="72"/>
      <c r="W77" s="72"/>
      <c r="X77" s="72"/>
      <c r="Y77" s="72"/>
    </row>
    <row r="78">
      <c r="A78" s="60" t="s">
        <v>1385</v>
      </c>
      <c r="B78" s="61" t="str">
        <f>IFERROR(__xludf.DUMMYFUNCTION("""COMPUTED_VALUE"""),"Katz v Carte Blanche Corp")</f>
        <v>Katz v Carte Blanche Corp</v>
      </c>
      <c r="C78" s="63" t="str">
        <f>IFERROR(__xludf.DUMMYFUNCTION("""COMPUTED_VALUE"""),"043")</f>
        <v>043</v>
      </c>
      <c r="D78" s="79" t="str">
        <f>IFERROR(__xludf.DUMMYFUNCTION("""COMPUTED_VALUE"""),"Katz v. Carte Blanche Corp., 496 F.2d 747, 753 (3d Cir. 1974)")</f>
        <v>Katz v. Carte Blanche Corp., 496 F.2d 747, 753 (3d Cir. 1974)</v>
      </c>
      <c r="E78" s="74" t="s">
        <v>1233</v>
      </c>
      <c r="F78" s="63" t="s">
        <v>1386</v>
      </c>
      <c r="G78" s="71" t="s">
        <v>1316</v>
      </c>
      <c r="H78" s="71"/>
      <c r="I78" s="66"/>
      <c r="J78" s="68"/>
      <c r="K78" s="68"/>
      <c r="L78" s="68"/>
      <c r="M78" s="68"/>
      <c r="N78" s="67"/>
      <c r="O78" s="88"/>
      <c r="P78" s="88"/>
      <c r="Q78" s="90"/>
      <c r="R78" s="72"/>
      <c r="S78" s="72"/>
      <c r="T78" s="72"/>
      <c r="U78" s="72"/>
      <c r="V78" s="72"/>
      <c r="W78" s="72"/>
      <c r="X78" s="72"/>
      <c r="Y78" s="72"/>
    </row>
    <row r="79">
      <c r="A79" s="60" t="s">
        <v>1387</v>
      </c>
      <c r="B79" s="61" t="str">
        <f>IFERROR(__xludf.DUMMYFUNCTION("""COMPUTED_VALUE"""),"P. Law 79")</f>
        <v>P. Law 79</v>
      </c>
      <c r="C79" s="63" t="str">
        <f>IFERROR(__xludf.DUMMYFUNCTION("""COMPUTED_VALUE"""),"045")</f>
        <v>045</v>
      </c>
      <c r="D79" s="79" t="str">
        <f>IFERROR(__xludf.DUMMYFUNCTION("""COMPUTED_VALUE"""),"P. Law 79-404, 60 Stat. 237 (1946)")</f>
        <v>P. Law 79-404, 60 Stat. 237 (1946)</v>
      </c>
      <c r="E79" s="74" t="s">
        <v>1233</v>
      </c>
      <c r="F79" s="63" t="s">
        <v>1388</v>
      </c>
      <c r="G79" s="71" t="s">
        <v>1316</v>
      </c>
      <c r="H79" s="71"/>
      <c r="I79" s="66"/>
      <c r="J79" s="68"/>
      <c r="K79" s="68"/>
      <c r="L79" s="68"/>
      <c r="M79" s="68"/>
      <c r="N79" s="67"/>
      <c r="O79" s="88"/>
      <c r="P79" s="88"/>
      <c r="Q79" s="90"/>
      <c r="R79" s="72"/>
      <c r="S79" s="72"/>
      <c r="T79" s="72"/>
      <c r="U79" s="72"/>
      <c r="V79" s="72"/>
      <c r="W79" s="72"/>
      <c r="X79" s="72"/>
      <c r="Y79" s="72"/>
    </row>
    <row r="80">
      <c r="A80" s="60" t="s">
        <v>1389</v>
      </c>
      <c r="B80" s="61" t="str">
        <f>IFERROR(__xludf.DUMMYFUNCTION("""COMPUTED_VALUE"""),"Cobbledick")</f>
        <v>Cobbledick</v>
      </c>
      <c r="C80" s="63" t="str">
        <f>IFERROR(__xludf.DUMMYFUNCTION("""COMPUTED_VALUE"""),"046")</f>
        <v>046</v>
      </c>
      <c r="D80" s="79" t="str">
        <f>IFERROR(__xludf.DUMMYFUNCTION("""COMPUTED_VALUE"""),"Cobbledick v. United States, 309 U.S. 323, 326 (1940)")</f>
        <v>Cobbledick v. United States, 309 U.S. 323, 326 (1940)</v>
      </c>
      <c r="E80" s="74" t="s">
        <v>1233</v>
      </c>
      <c r="F80" s="63" t="s">
        <v>1390</v>
      </c>
      <c r="G80" s="71" t="s">
        <v>1316</v>
      </c>
      <c r="H80" s="71"/>
      <c r="I80" s="66"/>
      <c r="J80" s="68"/>
      <c r="K80" s="68"/>
      <c r="L80" s="68"/>
      <c r="M80" s="68"/>
      <c r="N80" s="67"/>
      <c r="O80" s="88"/>
      <c r="P80" s="88"/>
      <c r="Q80" s="90"/>
      <c r="R80" s="72"/>
      <c r="S80" s="72"/>
      <c r="T80" s="72"/>
      <c r="U80" s="72"/>
      <c r="V80" s="72"/>
      <c r="W80" s="72"/>
      <c r="X80" s="72"/>
      <c r="Y80" s="72"/>
    </row>
    <row r="81">
      <c r="A81" s="60" t="s">
        <v>1391</v>
      </c>
      <c r="B81" s="61" t="str">
        <f>IFERROR(__xludf.DUMMYFUNCTION("""COMPUTED_VALUE"""),"Federal Practice 3907")</f>
        <v>Federal Practice 3907</v>
      </c>
      <c r="C81" s="63" t="str">
        <f>IFERROR(__xludf.DUMMYFUNCTION("""COMPUTED_VALUE"""),"046")</f>
        <v>046</v>
      </c>
      <c r="D81" s="79" t="str">
        <f>IFERROR(__xludf.DUMMYFUNCTION("""COMPUTED_VALUE"""),"§ 3907 Purposes, 15A Fed. Prac. &amp; Proc. Juris. § 3907 (3d ed.)")</f>
        <v>§ 3907 Purposes, 15A Fed. Prac. &amp; Proc. Juris. § 3907 (3d ed.)</v>
      </c>
      <c r="E81" s="74" t="s">
        <v>1233</v>
      </c>
      <c r="F81" s="63" t="s">
        <v>1392</v>
      </c>
      <c r="G81" s="71" t="s">
        <v>1316</v>
      </c>
      <c r="H81" s="71"/>
      <c r="I81" s="66"/>
      <c r="J81" s="68"/>
      <c r="K81" s="68"/>
      <c r="L81" s="68"/>
      <c r="M81" s="68"/>
      <c r="N81" s="67"/>
      <c r="O81" s="88"/>
      <c r="P81" s="88"/>
      <c r="Q81" s="90"/>
      <c r="R81" s="72"/>
      <c r="S81" s="72"/>
      <c r="T81" s="72"/>
      <c r="U81" s="72"/>
      <c r="V81" s="72"/>
      <c r="W81" s="72"/>
      <c r="X81" s="72"/>
      <c r="Y81" s="72"/>
    </row>
    <row r="82">
      <c r="A82" s="60" t="s">
        <v>1393</v>
      </c>
      <c r="B82" s="61" t="str">
        <f>IFERROR(__xludf.DUMMYFUNCTION("""COMPUTED_VALUE"""),"Microsoft Corp v Baker")</f>
        <v>Microsoft Corp v Baker</v>
      </c>
      <c r="C82" s="63" t="str">
        <f>IFERROR(__xludf.DUMMYFUNCTION("""COMPUTED_VALUE"""),"047")</f>
        <v>047</v>
      </c>
      <c r="D82" s="79" t="str">
        <f>IFERROR(__xludf.DUMMYFUNCTION("""COMPUTED_VALUE"""),"Microsoft Corp. v. Baker, 582 U.S. 23, 27-29 (2017)")</f>
        <v>Microsoft Corp. v. Baker, 582 U.S. 23, 27-29 (2017)</v>
      </c>
      <c r="E82" s="74" t="s">
        <v>1233</v>
      </c>
      <c r="F82" s="63" t="s">
        <v>1394</v>
      </c>
      <c r="G82" s="71" t="s">
        <v>1316</v>
      </c>
      <c r="H82" s="71"/>
      <c r="I82" s="66"/>
      <c r="J82" s="68"/>
      <c r="K82" s="68"/>
      <c r="L82" s="68"/>
      <c r="M82" s="68"/>
      <c r="N82" s="67"/>
      <c r="O82" s="88"/>
      <c r="P82" s="88"/>
      <c r="Q82" s="90"/>
      <c r="R82" s="72"/>
      <c r="S82" s="72"/>
      <c r="T82" s="72"/>
      <c r="U82" s="72"/>
      <c r="V82" s="72"/>
      <c r="W82" s="72"/>
      <c r="X82" s="72"/>
      <c r="Y82" s="72"/>
    </row>
    <row r="83">
      <c r="A83" s="60" t="s">
        <v>1395</v>
      </c>
      <c r="B83" s="61" t="str">
        <f>IFERROR(__xludf.DUMMYFUNCTION("""COMPUTED_VALUE"""),"Mohawk")</f>
        <v>Mohawk</v>
      </c>
      <c r="C83" s="63" t="str">
        <f>IFERROR(__xludf.DUMMYFUNCTION("""COMPUTED_VALUE"""),"047")</f>
        <v>047</v>
      </c>
      <c r="D83" s="79" t="str">
        <f>IFERROR(__xludf.DUMMYFUNCTION("""COMPUTED_VALUE"""),"Mohawk Indus., Inc. v. Carpenter, 558 U.S. 100, 106-07 (2009)")</f>
        <v>Mohawk Indus., Inc. v. Carpenter, 558 U.S. 100, 106-07 (2009)</v>
      </c>
      <c r="E83" s="74" t="s">
        <v>1233</v>
      </c>
      <c r="F83" s="63" t="s">
        <v>1396</v>
      </c>
      <c r="G83" s="71" t="s">
        <v>1397</v>
      </c>
      <c r="H83" s="71"/>
      <c r="I83" s="66"/>
      <c r="J83" s="68"/>
      <c r="K83" s="68"/>
      <c r="L83" s="68"/>
      <c r="M83" s="68"/>
      <c r="N83" s="67"/>
      <c r="O83" s="88"/>
      <c r="P83" s="88"/>
      <c r="Q83" s="90"/>
      <c r="R83" s="72"/>
      <c r="S83" s="72"/>
      <c r="T83" s="72"/>
      <c r="U83" s="72"/>
      <c r="V83" s="72"/>
      <c r="W83" s="72"/>
      <c r="X83" s="72"/>
      <c r="Y83" s="72"/>
    </row>
    <row r="84">
      <c r="A84" s="60" t="s">
        <v>1398</v>
      </c>
      <c r="B84" s="61" t="str">
        <f>IFERROR(__xludf.DUMMYFUNCTION("""COMPUTED_VALUE"""),"Johnson v Jones")</f>
        <v>Johnson v Jones</v>
      </c>
      <c r="C84" s="63" t="str">
        <f>IFERROR(__xludf.DUMMYFUNCTION("""COMPUTED_VALUE"""),"047")</f>
        <v>047</v>
      </c>
      <c r="D84" s="79" t="str">
        <f>IFERROR(__xludf.DUMMYFUNCTION("""COMPUTED_VALUE"""),"Johnson v. Jones, 515 U.S. 304, 309 (1995)")</f>
        <v>Johnson v. Jones, 515 U.S. 304, 309 (1995)</v>
      </c>
      <c r="E84" s="74" t="s">
        <v>1233</v>
      </c>
      <c r="F84" s="63" t="s">
        <v>1399</v>
      </c>
      <c r="G84" s="71" t="s">
        <v>1397</v>
      </c>
      <c r="H84" s="71"/>
      <c r="I84" s="66"/>
      <c r="J84" s="68"/>
      <c r="K84" s="68"/>
      <c r="L84" s="68"/>
      <c r="M84" s="68"/>
      <c r="N84" s="67"/>
      <c r="O84" s="88"/>
      <c r="P84" s="88"/>
      <c r="Q84" s="90"/>
      <c r="R84" s="72"/>
      <c r="S84" s="72"/>
      <c r="T84" s="72"/>
      <c r="U84" s="72"/>
      <c r="V84" s="72"/>
      <c r="W84" s="72"/>
      <c r="X84" s="72"/>
      <c r="Y84" s="72"/>
    </row>
    <row r="85">
      <c r="A85" s="60" t="s">
        <v>1400</v>
      </c>
      <c r="B85" s="61" t="str">
        <f>IFERROR(__xludf.DUMMYFUNCTION("""COMPUTED_VALUE"""),"Di Bella v United States")</f>
        <v>Di Bella v United States</v>
      </c>
      <c r="C85" s="63" t="str">
        <f>IFERROR(__xludf.DUMMYFUNCTION("""COMPUTED_VALUE"""),"047")</f>
        <v>047</v>
      </c>
      <c r="D85" s="79" t="str">
        <f>IFERROR(__xludf.DUMMYFUNCTION("""COMPUTED_VALUE"""),"Di Bella v. United States, 369 U.S. 121, 124-26 (1962)")</f>
        <v>Di Bella v. United States, 369 U.S. 121, 124-26 (1962)</v>
      </c>
      <c r="E85" s="74" t="s">
        <v>1233</v>
      </c>
      <c r="F85" s="63" t="s">
        <v>1401</v>
      </c>
      <c r="G85" s="71" t="s">
        <v>1397</v>
      </c>
      <c r="H85" s="71"/>
      <c r="I85" s="66"/>
      <c r="J85" s="68"/>
      <c r="K85" s="68"/>
      <c r="L85" s="68"/>
      <c r="M85" s="68"/>
      <c r="N85" s="67"/>
      <c r="O85" s="88"/>
      <c r="P85" s="88"/>
      <c r="Q85" s="90"/>
      <c r="R85" s="72"/>
      <c r="S85" s="72"/>
      <c r="T85" s="72"/>
      <c r="U85" s="72"/>
      <c r="V85" s="72"/>
      <c r="W85" s="72"/>
      <c r="X85" s="72"/>
      <c r="Y85" s="72"/>
    </row>
    <row r="86">
      <c r="A86" s="60" t="s">
        <v>1402</v>
      </c>
      <c r="B86" s="61" t="str">
        <f>IFERROR(__xludf.DUMMYFUNCTION("""COMPUTED_VALUE"""),"Lammon Disarming")</f>
        <v>Lammon Disarming</v>
      </c>
      <c r="C86" s="63" t="str">
        <f>IFERROR(__xludf.DUMMYFUNCTION("""COMPUTED_VALUE"""),"047")</f>
        <v>047</v>
      </c>
      <c r="D86" s="79" t="str">
        <f>IFERROR(__xludf.DUMMYFUNCTION("""COMPUTED_VALUE"""),"Bryan Lammon, Disarming the Finality Trap, 97 NYU L. Rev. Online 173, 178 (2022)")</f>
        <v>Bryan Lammon, Disarming the Finality Trap, 97 NYU L. Rev. Online 173, 178 (2022)</v>
      </c>
      <c r="E86" s="74" t="s">
        <v>1233</v>
      </c>
      <c r="F86" s="63" t="s">
        <v>1403</v>
      </c>
      <c r="G86" s="71" t="s">
        <v>1397</v>
      </c>
      <c r="H86" s="71"/>
      <c r="I86" s="66"/>
      <c r="J86" s="68"/>
      <c r="K86" s="68"/>
      <c r="L86" s="68"/>
      <c r="M86" s="68"/>
      <c r="N86" s="67"/>
      <c r="O86" s="88"/>
      <c r="P86" s="88"/>
      <c r="Q86" s="90"/>
      <c r="R86" s="72"/>
      <c r="S86" s="72"/>
      <c r="T86" s="72"/>
      <c r="U86" s="72"/>
      <c r="V86" s="72"/>
      <c r="W86" s="72"/>
      <c r="X86" s="72"/>
      <c r="Y86" s="72"/>
    </row>
    <row r="87">
      <c r="A87" s="60" t="s">
        <v>1404</v>
      </c>
      <c r="B87" s="61" t="str">
        <f>IFERROR(__xludf.DUMMYFUNCTION("""COMPUTED_VALUE"""),"Frank")</f>
        <v>Frank</v>
      </c>
      <c r="C87" s="63" t="str">
        <f>IFERROR(__xludf.DUMMYFUNCTION("""COMPUTED_VALUE"""),"047")</f>
        <v>047</v>
      </c>
      <c r="D87" s="79" t="str">
        <f>IFERROR(__xludf.DUMMYFUNCTION("""COMPUTED_VALUE"""),"Theodore D. Frank, Requiem for the Final Judgment Rule, 45 Tex. L. Rev. 292, 294-98 (1966)")</f>
        <v>Theodore D. Frank, Requiem for the Final Judgment Rule, 45 Tex. L. Rev. 292, 294-98 (1966)</v>
      </c>
      <c r="E87" s="74" t="s">
        <v>1233</v>
      </c>
      <c r="F87" s="63" t="s">
        <v>1405</v>
      </c>
      <c r="G87" s="71" t="s">
        <v>1397</v>
      </c>
      <c r="H87" s="71"/>
      <c r="I87" s="66"/>
      <c r="J87" s="68"/>
      <c r="K87" s="68"/>
      <c r="L87" s="68"/>
      <c r="M87" s="68"/>
      <c r="N87" s="67"/>
      <c r="O87" s="88"/>
      <c r="P87" s="88"/>
      <c r="Q87" s="90"/>
      <c r="R87" s="72"/>
      <c r="S87" s="72"/>
      <c r="T87" s="72"/>
      <c r="U87" s="72"/>
      <c r="V87" s="72"/>
      <c r="W87" s="72"/>
      <c r="X87" s="72"/>
      <c r="Y87" s="72"/>
    </row>
    <row r="88">
      <c r="A88" s="60" t="s">
        <v>1406</v>
      </c>
      <c r="B88" s="61" t="str">
        <f>IFERROR(__xludf.DUMMYFUNCTION("""COMPUTED_VALUE"""),"Infra Notes 53-97 and Accompanying Text")</f>
        <v>Infra Notes 53-97 and Accompanying Text</v>
      </c>
      <c r="C88" s="63" t="str">
        <f>IFERROR(__xludf.DUMMYFUNCTION("""COMPUTED_VALUE"""),"047")</f>
        <v>047</v>
      </c>
      <c r="D88" s="79" t="str">
        <f>IFERROR(__xludf.DUMMYFUNCTION("""COMPUTED_VALUE"""),"infra notes 53-97 and accompanying text")</f>
        <v>infra notes 53-97 and accompanying text</v>
      </c>
      <c r="E88" s="74" t="s">
        <v>1233</v>
      </c>
      <c r="F88" s="63" t="s">
        <v>1407</v>
      </c>
      <c r="G88" s="71" t="s">
        <v>1397</v>
      </c>
      <c r="H88" s="71"/>
      <c r="I88" s="66"/>
      <c r="J88" s="68"/>
      <c r="K88" s="68"/>
      <c r="L88" s="68"/>
      <c r="M88" s="68"/>
      <c r="N88" s="67"/>
      <c r="O88" s="88"/>
      <c r="P88" s="88"/>
      <c r="Q88" s="90"/>
      <c r="R88" s="72"/>
      <c r="S88" s="72"/>
      <c r="T88" s="72"/>
      <c r="U88" s="72"/>
      <c r="V88" s="72"/>
      <c r="W88" s="72"/>
      <c r="X88" s="72"/>
      <c r="Y88" s="72"/>
    </row>
    <row r="89">
      <c r="A89" s="60" t="s">
        <v>1408</v>
      </c>
      <c r="B89" s="61" t="str">
        <f>IFERROR(__xludf.DUMMYFUNCTION("""COMPUTED_VALUE"""),"Firestone Tire and Rubber Co v Risjord")</f>
        <v>Firestone Tire and Rubber Co v Risjord</v>
      </c>
      <c r="C89" s="63" t="str">
        <f>IFERROR(__xludf.DUMMYFUNCTION("""COMPUTED_VALUE"""),"049")</f>
        <v>049</v>
      </c>
      <c r="D89" s="79" t="str">
        <f>IFERROR(__xludf.DUMMYFUNCTION("""COMPUTED_VALUE"""),"Firestone Tire &amp; Rubber Co. v. Risjord, 449 U.S. 368, 374 (1981)")</f>
        <v>Firestone Tire &amp; Rubber Co. v. Risjord, 449 U.S. 368, 374 (1981)</v>
      </c>
      <c r="E89" s="74" t="s">
        <v>1233</v>
      </c>
      <c r="F89" s="63" t="s">
        <v>1409</v>
      </c>
      <c r="G89" s="71" t="s">
        <v>1397</v>
      </c>
      <c r="H89" s="71"/>
      <c r="I89" s="66"/>
      <c r="J89" s="68"/>
      <c r="K89" s="68"/>
      <c r="L89" s="68"/>
      <c r="M89" s="68"/>
      <c r="N89" s="67"/>
      <c r="O89" s="88"/>
      <c r="P89" s="88"/>
      <c r="Q89" s="90"/>
      <c r="R89" s="72"/>
      <c r="S89" s="72"/>
      <c r="T89" s="72"/>
      <c r="U89" s="72"/>
      <c r="V89" s="72"/>
      <c r="W89" s="72"/>
      <c r="X89" s="72"/>
      <c r="Y89" s="72"/>
    </row>
    <row r="90">
      <c r="A90" s="60" t="s">
        <v>1410</v>
      </c>
      <c r="B90" s="61" t="str">
        <f>IFERROR(__xludf.DUMMYFUNCTION("""COMPUTED_VALUE"""),"Richardson-Merrell Inc v Koller")</f>
        <v>Richardson-Merrell Inc v Koller</v>
      </c>
      <c r="C90" s="63" t="str">
        <f>IFERROR(__xludf.DUMMYFUNCTION("""COMPUTED_VALUE"""),"049")</f>
        <v>049</v>
      </c>
      <c r="D90" s="79" t="str">
        <f>IFERROR(__xludf.DUMMYFUNCTION("""COMPUTED_VALUE"""),"Richardson-Merrell Inc. v. Koller, 472 U.S. 424, 436 (1985)")</f>
        <v>Richardson-Merrell Inc. v. Koller, 472 U.S. 424, 436 (1985)</v>
      </c>
      <c r="E90" s="74" t="s">
        <v>1233</v>
      </c>
      <c r="F90" s="63" t="s">
        <v>1411</v>
      </c>
      <c r="G90" s="71" t="s">
        <v>1397</v>
      </c>
      <c r="H90" s="71"/>
      <c r="I90" s="66"/>
      <c r="J90" s="68"/>
      <c r="K90" s="68"/>
      <c r="L90" s="68"/>
      <c r="M90" s="68"/>
      <c r="N90" s="67"/>
      <c r="O90" s="88"/>
      <c r="P90" s="88"/>
      <c r="Q90" s="90"/>
      <c r="R90" s="72"/>
      <c r="S90" s="72"/>
      <c r="T90" s="72"/>
      <c r="U90" s="72"/>
      <c r="V90" s="72"/>
      <c r="W90" s="72"/>
      <c r="X90" s="72"/>
      <c r="Y90" s="72"/>
    </row>
    <row r="91">
      <c r="A91" s="60" t="s">
        <v>1412</v>
      </c>
      <c r="B91" s="61" t="str">
        <f>IFERROR(__xludf.DUMMYFUNCTION("""COMPUTED_VALUE"""),"Cochran")</f>
        <v>Cochran</v>
      </c>
      <c r="C91" s="63" t="str">
        <f>IFERROR(__xludf.DUMMYFUNCTION("""COMPUTED_VALUE"""),"050")</f>
        <v>050</v>
      </c>
      <c r="D91" s="79" t="str">
        <f>IFERROR(__xludf.DUMMYFUNCTION("""COMPUTED_VALUE"""),"Rebecca A. Cochran, Gaining Appellate Review by “Manufacturing” A Final Judgment Through Voluntary Dismissal of Peripheral Claims, 48 Mercer L. Rev. 979, 979-80 (1997)")</f>
        <v>Rebecca A. Cochran, Gaining Appellate Review by “Manufacturing” A Final Judgment Through Voluntary Dismissal of Peripheral Claims, 48 Mercer L. Rev. 979, 979-80 (1997)</v>
      </c>
      <c r="E91" s="74" t="s">
        <v>1233</v>
      </c>
      <c r="F91" s="63" t="s">
        <v>1413</v>
      </c>
      <c r="G91" s="71" t="s">
        <v>1397</v>
      </c>
      <c r="H91" s="71"/>
      <c r="I91" s="66"/>
      <c r="J91" s="68"/>
      <c r="K91" s="68"/>
      <c r="L91" s="68"/>
      <c r="M91" s="68"/>
      <c r="N91" s="67"/>
      <c r="O91" s="88"/>
      <c r="P91" s="88"/>
      <c r="Q91" s="90"/>
      <c r="R91" s="72"/>
      <c r="S91" s="72"/>
      <c r="T91" s="72"/>
      <c r="U91" s="72"/>
      <c r="V91" s="72"/>
      <c r="W91" s="72"/>
      <c r="X91" s="72"/>
      <c r="Y91" s="72"/>
    </row>
    <row r="92">
      <c r="A92" s="60" t="s">
        <v>1414</v>
      </c>
      <c r="B92" s="61" t="str">
        <f>IFERROR(__xludf.DUMMYFUNCTION("""COMPUTED_VALUE"""),"Infra Part IC")</f>
        <v>Infra Part IC</v>
      </c>
      <c r="C92" s="63" t="str">
        <f>IFERROR(__xludf.DUMMYFUNCTION("""COMPUTED_VALUE"""),"050")</f>
        <v>050</v>
      </c>
      <c r="D92" s="79" t="str">
        <f>IFERROR(__xludf.DUMMYFUNCTION("""COMPUTED_VALUE"""),"Part I.C, infra")</f>
        <v>Part I.C, infra</v>
      </c>
      <c r="E92" s="74" t="s">
        <v>1233</v>
      </c>
      <c r="F92" s="63" t="s">
        <v>1415</v>
      </c>
      <c r="G92" s="71" t="s">
        <v>1397</v>
      </c>
      <c r="H92" s="71"/>
      <c r="I92" s="66"/>
      <c r="J92" s="68"/>
      <c r="K92" s="68"/>
      <c r="L92" s="68"/>
      <c r="M92" s="68"/>
      <c r="N92" s="67"/>
      <c r="O92" s="88"/>
      <c r="P92" s="88"/>
      <c r="Q92" s="90"/>
      <c r="R92" s="72"/>
      <c r="S92" s="72"/>
      <c r="T92" s="72"/>
      <c r="U92" s="72"/>
      <c r="V92" s="72"/>
      <c r="W92" s="72"/>
      <c r="X92" s="72"/>
      <c r="Y92" s="72"/>
    </row>
    <row r="93">
      <c r="A93" s="60" t="s">
        <v>1416</v>
      </c>
      <c r="B93" s="61" t="str">
        <f>IFERROR(__xludf.DUMMYFUNCTION("""COMPUTED_VALUE"""),"Heppner")</f>
        <v>Heppner</v>
      </c>
      <c r="C93" s="63" t="str">
        <f>IFERROR(__xludf.DUMMYFUNCTION("""COMPUTED_VALUE"""),"051")</f>
        <v>051</v>
      </c>
      <c r="D93" s="79" t="str">
        <f>IFERROR(__xludf.DUMMYFUNCTION("""COMPUTED_VALUE"""),"Richard L. Heppner, Jr., Conceptualizing Appealability: Resisting the Supreme Court’s Categorical Imperative, 55 Tulsa L. Rev. 395, 398 (2020)")</f>
        <v>Richard L. Heppner, Jr., Conceptualizing Appealability: Resisting the Supreme Court’s Categorical Imperative, 55 Tulsa L. Rev. 395, 398 (2020)</v>
      </c>
      <c r="E93" s="74" t="s">
        <v>1233</v>
      </c>
      <c r="F93" s="63" t="s">
        <v>1417</v>
      </c>
      <c r="G93" s="71" t="s">
        <v>1397</v>
      </c>
      <c r="H93" s="71"/>
      <c r="I93" s="66"/>
      <c r="J93" s="68"/>
      <c r="K93" s="68"/>
      <c r="L93" s="68"/>
      <c r="M93" s="68"/>
      <c r="N93" s="67"/>
      <c r="O93" s="88"/>
      <c r="P93" s="88"/>
      <c r="Q93" s="90"/>
      <c r="R93" s="72"/>
      <c r="S93" s="72"/>
      <c r="T93" s="72"/>
      <c r="U93" s="72"/>
      <c r="V93" s="72"/>
      <c r="W93" s="72"/>
      <c r="X93" s="72"/>
      <c r="Y93" s="72"/>
    </row>
    <row r="94">
      <c r="A94" s="60" t="s">
        <v>1418</v>
      </c>
      <c r="B94" s="61" t="str">
        <f>IFERROR(__xludf.DUMMYFUNCTION("""COMPUTED_VALUE"""),"Federal Practice 3909")</f>
        <v>Federal Practice 3909</v>
      </c>
      <c r="C94" s="63" t="str">
        <f>IFERROR(__xludf.DUMMYFUNCTION("""COMPUTED_VALUE"""),"053")</f>
        <v>053</v>
      </c>
      <c r="D94" s="79" t="str">
        <f>IFERROR(__xludf.DUMMYFUNCTION("""COMPUTED_VALUE"""),"Federal Practice &amp; Procedure, § 3909 Leading Finality Decisions, 15A Fed. Prac. &amp; Proc. Juris. § 3909 (3d ed. June 2024 Update)")</f>
        <v>Federal Practice &amp; Procedure, § 3909 Leading Finality Decisions, 15A Fed. Prac. &amp; Proc. Juris. § 3909 (3d ed. June 2024 Update)</v>
      </c>
      <c r="E94" s="74" t="s">
        <v>1233</v>
      </c>
      <c r="F94" s="63" t="s">
        <v>1419</v>
      </c>
      <c r="G94" s="71" t="s">
        <v>1397</v>
      </c>
      <c r="H94" s="71"/>
      <c r="I94" s="66"/>
      <c r="J94" s="68"/>
      <c r="K94" s="68"/>
      <c r="L94" s="68"/>
      <c r="M94" s="68"/>
      <c r="N94" s="67"/>
      <c r="O94" s="88"/>
      <c r="P94" s="88"/>
      <c r="Q94" s="90"/>
      <c r="R94" s="72"/>
      <c r="S94" s="72"/>
      <c r="T94" s="72"/>
      <c r="U94" s="72"/>
      <c r="V94" s="72"/>
      <c r="W94" s="72"/>
      <c r="X94" s="72"/>
      <c r="Y94" s="72"/>
    </row>
    <row r="95">
      <c r="A95" s="60" t="s">
        <v>1420</v>
      </c>
      <c r="B95" s="61" t="str">
        <f>IFERROR(__xludf.DUMMYFUNCTION("""COMPUTED_VALUE"""),"28 USC 225")</f>
        <v>28 USC 225</v>
      </c>
      <c r="C95" s="63" t="str">
        <f>IFERROR(__xludf.DUMMYFUNCTION("""COMPUTED_VALUE"""),"055")</f>
        <v>055</v>
      </c>
      <c r="D95" s="79" t="str">
        <f>IFERROR(__xludf.DUMMYFUNCTION("""COMPUTED_VALUE"""),"28 U.S.C. § 225")</f>
        <v>28 U.S.C. § 225</v>
      </c>
      <c r="E95" s="74" t="s">
        <v>1233</v>
      </c>
      <c r="F95" s="63" t="s">
        <v>1421</v>
      </c>
      <c r="G95" s="71" t="s">
        <v>1397</v>
      </c>
      <c r="H95" s="71"/>
      <c r="I95" s="66"/>
      <c r="J95" s="68"/>
      <c r="K95" s="68"/>
      <c r="L95" s="68"/>
      <c r="M95" s="68"/>
      <c r="N95" s="67"/>
      <c r="O95" s="88"/>
      <c r="P95" s="88"/>
      <c r="Q95" s="90"/>
      <c r="R95" s="72"/>
      <c r="S95" s="72"/>
      <c r="T95" s="72"/>
      <c r="U95" s="72"/>
      <c r="V95" s="72"/>
      <c r="W95" s="72"/>
      <c r="X95" s="72"/>
      <c r="Y95" s="72"/>
    </row>
    <row r="96">
      <c r="A96" s="60" t="s">
        <v>1422</v>
      </c>
      <c r="B96" s="61" t="str">
        <f>IFERROR(__xludf.DUMMYFUNCTION("""COMPUTED_VALUE"""),"Cohen")</f>
        <v>Cohen</v>
      </c>
      <c r="C96" s="63" t="str">
        <f>IFERROR(__xludf.DUMMYFUNCTION("""COMPUTED_VALUE"""),"063")</f>
        <v>063</v>
      </c>
      <c r="D96" s="79" t="str">
        <f>IFERROR(__xludf.DUMMYFUNCTION("""COMPUTED_VALUE"""),"337 U.S. 541 (1949)")</f>
        <v>337 U.S. 541 (1949)</v>
      </c>
      <c r="E96" s="74" t="s">
        <v>1233</v>
      </c>
      <c r="F96" s="63" t="s">
        <v>1423</v>
      </c>
      <c r="G96" s="71" t="s">
        <v>1397</v>
      </c>
      <c r="H96" s="71"/>
      <c r="I96" s="66"/>
      <c r="J96" s="68"/>
      <c r="K96" s="68"/>
      <c r="L96" s="68"/>
      <c r="M96" s="68"/>
      <c r="N96" s="67"/>
      <c r="O96" s="88"/>
      <c r="P96" s="88"/>
      <c r="Q96" s="90"/>
      <c r="R96" s="72"/>
      <c r="S96" s="72"/>
      <c r="T96" s="72"/>
      <c r="U96" s="72"/>
      <c r="V96" s="72"/>
      <c r="W96" s="72"/>
      <c r="X96" s="72"/>
      <c r="Y96" s="72"/>
    </row>
    <row r="97">
      <c r="A97" s="60" t="s">
        <v>1424</v>
      </c>
      <c r="B97" s="61" t="str">
        <f>IFERROR(__xludf.DUMMYFUNCTION("""COMPUTED_VALUE"""),"Baker")</f>
        <v>Baker</v>
      </c>
      <c r="C97" s="63" t="str">
        <f>IFERROR(__xludf.DUMMYFUNCTION("""COMPUTED_VALUE"""),"064")</f>
        <v>064</v>
      </c>
      <c r="D97" s="79" t="str">
        <f>IFERROR(__xludf.DUMMYFUNCTION("""COMPUTED_VALUE"""),"Thomas E. Baker, Fed. Judicial Ctr., A Primer on the Jurisdiction of the U.S. Courts of Appeals, 85-90 (2d ed. 2009), https://www.fjc.gov/sites/default/files/materials/06/PrimerBakerFinal0802.pdf")</f>
        <v>Thomas E. Baker, Fed. Judicial Ctr., A Primer on the Jurisdiction of the U.S. Courts of Appeals, 85-90 (2d ed. 2009), https://www.fjc.gov/sites/default/files/materials/06/PrimerBakerFinal0802.pdf</v>
      </c>
      <c r="E97" s="74" t="s">
        <v>1233</v>
      </c>
      <c r="F97" s="63" t="s">
        <v>1425</v>
      </c>
      <c r="G97" s="71" t="s">
        <v>1397</v>
      </c>
      <c r="H97" s="71"/>
      <c r="I97" s="66"/>
      <c r="J97" s="68"/>
      <c r="K97" s="68"/>
      <c r="L97" s="68"/>
      <c r="M97" s="68"/>
      <c r="N97" s="67"/>
      <c r="O97" s="88"/>
      <c r="P97" s="88"/>
      <c r="Q97" s="90"/>
      <c r="R97" s="72"/>
      <c r="S97" s="72"/>
      <c r="T97" s="72"/>
      <c r="U97" s="72"/>
      <c r="V97" s="72"/>
      <c r="W97" s="72"/>
      <c r="X97" s="72"/>
      <c r="Y97" s="72"/>
    </row>
    <row r="98">
      <c r="A98" s="60" t="s">
        <v>1426</v>
      </c>
      <c r="B98" s="61" t="str">
        <f>IFERROR(__xludf.DUMMYFUNCTION("""COMPUTED_VALUE"""),"Pikor")</f>
        <v>Pikor</v>
      </c>
      <c r="C98" s="63" t="str">
        <f>IFERROR(__xludf.DUMMYFUNCTION("""COMPUTED_VALUE"""),"067")</f>
        <v>067</v>
      </c>
      <c r="D98" s="79" t="str">
        <f>IFERROR(__xludf.DUMMYFUNCTION("""COMPUTED_VALUE"""),"Matthew R. Pikor, The Collateral Order Doctrine in Disorder: Redefining Finality, 92 Chi.-Kent L. Rev. 619, 622 (2017)")</f>
        <v>Matthew R. Pikor, The Collateral Order Doctrine in Disorder: Redefining Finality, 92 Chi.-Kent L. Rev. 619, 622 (2017)</v>
      </c>
      <c r="E98" s="74" t="s">
        <v>1233</v>
      </c>
      <c r="F98" s="63" t="s">
        <v>1427</v>
      </c>
      <c r="G98" s="71" t="s">
        <v>1397</v>
      </c>
      <c r="H98" s="71"/>
      <c r="I98" s="66"/>
      <c r="J98" s="68"/>
      <c r="K98" s="68"/>
      <c r="L98" s="68"/>
      <c r="M98" s="68"/>
      <c r="N98" s="67"/>
      <c r="O98" s="88"/>
      <c r="P98" s="88"/>
      <c r="Q98" s="90"/>
      <c r="R98" s="72"/>
      <c r="S98" s="72"/>
      <c r="T98" s="72"/>
      <c r="U98" s="72"/>
      <c r="V98" s="72"/>
      <c r="W98" s="72"/>
      <c r="X98" s="72"/>
      <c r="Y98" s="72"/>
    </row>
    <row r="99">
      <c r="A99" s="60" t="s">
        <v>1428</v>
      </c>
      <c r="B99" s="61" t="str">
        <f>IFERROR(__xludf.DUMMYFUNCTION("""COMPUTED_VALUE"""),"Van Cauwenberghe v Biard")</f>
        <v>Van Cauwenberghe v Biard</v>
      </c>
      <c r="C99" s="63" t="str">
        <f>IFERROR(__xludf.DUMMYFUNCTION("""COMPUTED_VALUE"""),"068")</f>
        <v>068</v>
      </c>
      <c r="D99" s="79" t="str">
        <f>IFERROR(__xludf.DUMMYFUNCTION("""COMPUTED_VALUE"""),"Van Cauwenberghe v. Biard, 486 U.S. 517, 522 (1988)")</f>
        <v>Van Cauwenberghe v. Biard, 486 U.S. 517, 522 (1988)</v>
      </c>
      <c r="E99" s="74" t="s">
        <v>1233</v>
      </c>
      <c r="F99" s="63" t="s">
        <v>1429</v>
      </c>
      <c r="G99" s="71" t="s">
        <v>1397</v>
      </c>
      <c r="H99" s="71"/>
      <c r="I99" s="66"/>
      <c r="J99" s="68"/>
      <c r="K99" s="68"/>
      <c r="L99" s="68"/>
      <c r="M99" s="68"/>
      <c r="N99" s="67"/>
      <c r="O99" s="88"/>
      <c r="P99" s="88"/>
      <c r="Q99" s="90"/>
      <c r="R99" s="72"/>
      <c r="S99" s="72"/>
      <c r="T99" s="72"/>
      <c r="U99" s="72"/>
      <c r="V99" s="72"/>
      <c r="W99" s="72"/>
      <c r="X99" s="72"/>
      <c r="Y99" s="72"/>
    </row>
    <row r="100">
      <c r="A100" s="60" t="s">
        <v>1430</v>
      </c>
      <c r="B100" s="61" t="str">
        <f>IFERROR(__xludf.DUMMYFUNCTION("""COMPUTED_VALUE"""),"Infra Notes 98-194 and Accompanying Text")</f>
        <v>Infra Notes 98-194 and Accompanying Text</v>
      </c>
      <c r="C100" s="63" t="str">
        <f>IFERROR(__xludf.DUMMYFUNCTION("""COMPUTED_VALUE"""),"069")</f>
        <v>069</v>
      </c>
      <c r="D100" s="79" t="str">
        <f>IFERROR(__xludf.DUMMYFUNCTION("""COMPUTED_VALUE"""),"infra notes 98-194 and accompanying text")</f>
        <v>infra notes 98-194 and accompanying text</v>
      </c>
      <c r="E100" s="74" t="s">
        <v>1233</v>
      </c>
      <c r="F100" s="63" t="s">
        <v>1431</v>
      </c>
      <c r="G100" s="71" t="s">
        <v>1397</v>
      </c>
      <c r="H100" s="71"/>
      <c r="I100" s="66"/>
      <c r="J100" s="68"/>
      <c r="K100" s="68"/>
      <c r="L100" s="68"/>
      <c r="M100" s="68"/>
      <c r="N100" s="67"/>
      <c r="O100" s="88"/>
      <c r="P100" s="88"/>
      <c r="Q100" s="90"/>
      <c r="R100" s="72"/>
      <c r="S100" s="72"/>
      <c r="T100" s="72"/>
      <c r="U100" s="72"/>
      <c r="V100" s="72"/>
      <c r="W100" s="72"/>
      <c r="X100" s="72"/>
      <c r="Y100" s="72"/>
    </row>
    <row r="101">
      <c r="A101" s="60" t="s">
        <v>1432</v>
      </c>
      <c r="B101" s="61" t="str">
        <f>IFERROR(__xludf.DUMMYFUNCTION("""COMPUTED_VALUE"""),"Gillespie")</f>
        <v>Gillespie</v>
      </c>
      <c r="C101" s="63" t="str">
        <f>IFERROR(__xludf.DUMMYFUNCTION("""COMPUTED_VALUE"""),"073")</f>
        <v>073</v>
      </c>
      <c r="D101" s="79" t="str">
        <f>IFERROR(__xludf.DUMMYFUNCTION("""COMPUTED_VALUE"""),"379 U.S. 148 (1964)")</f>
        <v>379 U.S. 148 (1964)</v>
      </c>
      <c r="E101" s="74" t="s">
        <v>1233</v>
      </c>
      <c r="F101" s="63" t="s">
        <v>1433</v>
      </c>
      <c r="G101" s="71" t="s">
        <v>1397</v>
      </c>
      <c r="H101" s="71"/>
      <c r="I101" s="66"/>
      <c r="J101" s="68"/>
      <c r="K101" s="68"/>
      <c r="L101" s="68"/>
      <c r="M101" s="68"/>
      <c r="N101" s="67"/>
      <c r="O101" s="88"/>
      <c r="P101" s="88"/>
      <c r="Q101" s="90"/>
      <c r="R101" s="72"/>
      <c r="S101" s="72"/>
      <c r="T101" s="72"/>
      <c r="U101" s="72"/>
      <c r="V101" s="72"/>
      <c r="W101" s="72"/>
      <c r="X101" s="72"/>
      <c r="Y101" s="72"/>
    </row>
    <row r="102">
      <c r="A102" s="60" t="s">
        <v>1434</v>
      </c>
      <c r="B102" s="61" t="str">
        <f>IFERROR(__xludf.DUMMYFUNCTION("""COMPUTED_VALUE"""),"United States v General Motors Corp")</f>
        <v>United States v General Motors Corp</v>
      </c>
      <c r="C102" s="63" t="str">
        <f>IFERROR(__xludf.DUMMYFUNCTION("""COMPUTED_VALUE"""),"077")</f>
        <v>077</v>
      </c>
      <c r="D102" s="79" t="str">
        <f>IFERROR(__xludf.DUMMYFUNCTION("""COMPUTED_VALUE"""),"United States v. General Motors Corp., 323 U.S. 373, 377 (1945)")</f>
        <v>United States v. General Motors Corp., 323 U.S. 373, 377 (1945)</v>
      </c>
      <c r="E102" s="74" t="s">
        <v>1233</v>
      </c>
      <c r="F102" s="63" t="s">
        <v>1435</v>
      </c>
      <c r="G102" s="71" t="s">
        <v>1397</v>
      </c>
      <c r="H102" s="71"/>
      <c r="I102" s="66"/>
      <c r="J102" s="68"/>
      <c r="K102" s="68"/>
      <c r="L102" s="68"/>
      <c r="M102" s="68"/>
      <c r="N102" s="67"/>
      <c r="O102" s="88"/>
      <c r="P102" s="88"/>
      <c r="Q102" s="90"/>
      <c r="R102" s="72"/>
      <c r="S102" s="72"/>
      <c r="T102" s="72"/>
      <c r="U102" s="72"/>
      <c r="V102" s="72"/>
      <c r="W102" s="72"/>
      <c r="X102" s="72"/>
      <c r="Y102" s="72"/>
    </row>
    <row r="103">
      <c r="A103" s="60" t="s">
        <v>1436</v>
      </c>
      <c r="B103" s="61" t="str">
        <f>IFERROR(__xludf.DUMMYFUNCTION("""COMPUTED_VALUE"""),"417 US")</f>
        <v>417 US</v>
      </c>
      <c r="C103" s="63" t="str">
        <f>IFERROR(__xludf.DUMMYFUNCTION("""COMPUTED_VALUE"""),"078")</f>
        <v>078</v>
      </c>
      <c r="D103" s="79" t="str">
        <f>IFERROR(__xludf.DUMMYFUNCTION("""COMPUTED_VALUE"""),"417 U.S. 156 (1974)")</f>
        <v>417 U.S. 156 (1974)</v>
      </c>
      <c r="E103" s="74" t="s">
        <v>1233</v>
      </c>
      <c r="F103" s="63" t="s">
        <v>1437</v>
      </c>
      <c r="G103" s="71" t="s">
        <v>1397</v>
      </c>
      <c r="H103" s="71"/>
      <c r="I103" s="66"/>
      <c r="J103" s="68"/>
      <c r="K103" s="68"/>
      <c r="L103" s="68"/>
      <c r="M103" s="68"/>
      <c r="N103" s="67"/>
      <c r="O103" s="88"/>
      <c r="P103" s="88"/>
      <c r="Q103" s="90"/>
      <c r="R103" s="72"/>
      <c r="S103" s="72"/>
      <c r="T103" s="72"/>
      <c r="U103" s="72"/>
      <c r="V103" s="72"/>
      <c r="W103" s="72"/>
      <c r="X103" s="72"/>
      <c r="Y103" s="72"/>
    </row>
    <row r="104">
      <c r="A104" s="60" t="s">
        <v>1438</v>
      </c>
      <c r="B104" s="61" t="str">
        <f>IFERROR(__xludf.DUMMYFUNCTION("""COMPUTED_VALUE"""),"McGourkey v Toledo and Ohio CR Co")</f>
        <v>McGourkey v Toledo and Ohio CR Co</v>
      </c>
      <c r="C104" s="63" t="str">
        <f>IFERROR(__xludf.DUMMYFUNCTION("""COMPUTED_VALUE"""),"079")</f>
        <v>079</v>
      </c>
      <c r="D104" s="79" t="str">
        <f>IFERROR(__xludf.DUMMYFUNCTION("""COMPUTED_VALUE"""),"McGourkey v. Toledo &amp; Ohio C.R. Co., 146 U.S. 536, 544-45 (1892)")</f>
        <v>McGourkey v. Toledo &amp; Ohio C.R. Co., 146 U.S. 536, 544-45 (1892)</v>
      </c>
      <c r="E104" s="74" t="s">
        <v>1233</v>
      </c>
      <c r="F104" s="63" t="s">
        <v>1439</v>
      </c>
      <c r="G104" s="71" t="s">
        <v>1397</v>
      </c>
      <c r="H104" s="71"/>
      <c r="I104" s="66"/>
      <c r="J104" s="68"/>
      <c r="K104" s="68"/>
      <c r="L104" s="68"/>
      <c r="M104" s="68"/>
      <c r="N104" s="67"/>
      <c r="O104" s="88"/>
      <c r="P104" s="88"/>
      <c r="Q104" s="90"/>
      <c r="R104" s="72"/>
      <c r="S104" s="72"/>
      <c r="T104" s="72"/>
      <c r="U104" s="72"/>
      <c r="V104" s="72"/>
      <c r="W104" s="72"/>
      <c r="X104" s="72"/>
      <c r="Y104" s="72"/>
    </row>
    <row r="105">
      <c r="A105" s="60" t="s">
        <v>1440</v>
      </c>
      <c r="B105" s="61" t="str">
        <f>IFERROR(__xludf.DUMMYFUNCTION("""COMPUTED_VALUE"""),"Dickinson v Petroleum Conversion Corp")</f>
        <v>Dickinson v Petroleum Conversion Corp</v>
      </c>
      <c r="C105" s="63" t="str">
        <f>IFERROR(__xludf.DUMMYFUNCTION("""COMPUTED_VALUE"""),"079")</f>
        <v>079</v>
      </c>
      <c r="D105" s="79" t="str">
        <f>IFERROR(__xludf.DUMMYFUNCTION("""COMPUTED_VALUE"""),"Dickinson v. Petroleum Conversion Corp., 338 U.S. 507, 513 (1950)")</f>
        <v>Dickinson v. Petroleum Conversion Corp., 338 U.S. 507, 513 (1950)</v>
      </c>
      <c r="E105" s="74" t="s">
        <v>1233</v>
      </c>
      <c r="F105" s="63" t="s">
        <v>1441</v>
      </c>
      <c r="G105" s="71" t="s">
        <v>1397</v>
      </c>
      <c r="H105" s="71"/>
      <c r="I105" s="66"/>
      <c r="J105" s="68"/>
      <c r="K105" s="68"/>
      <c r="L105" s="68"/>
      <c r="M105" s="68"/>
      <c r="N105" s="67"/>
      <c r="O105" s="88"/>
      <c r="P105" s="88"/>
      <c r="Q105" s="90"/>
      <c r="R105" s="72"/>
      <c r="S105" s="72"/>
      <c r="T105" s="72"/>
      <c r="U105" s="72"/>
      <c r="V105" s="72"/>
      <c r="W105" s="72"/>
      <c r="X105" s="72"/>
      <c r="Y105" s="72"/>
    </row>
    <row r="106">
      <c r="A106" s="60" t="s">
        <v>1442</v>
      </c>
      <c r="B106" s="61" t="str">
        <f>IFERROR(__xludf.DUMMYFUNCTION("""COMPUTED_VALUE"""),"In Re Long-Distance Tel Serv Fed Excise Tax Refund Litig")</f>
        <v>In Re Long-Distance Tel Serv Fed Excise Tax Refund Litig</v>
      </c>
      <c r="C106" s="63" t="str">
        <f>IFERROR(__xludf.DUMMYFUNCTION("""COMPUTED_VALUE"""),"080")</f>
        <v>080</v>
      </c>
      <c r="D106" s="79" t="str">
        <f>IFERROR(__xludf.DUMMYFUNCTION("""COMPUTED_VALUE"""),"In re Long-Distance Tel. Serv. Fed. Excise Tax Refund Litig., 751 F.3d 629, 633 (D.C. Cir. 2014)")</f>
        <v>In re Long-Distance Tel. Serv. Fed. Excise Tax Refund Litig., 751 F.3d 629, 633 (D.C. Cir. 2014)</v>
      </c>
      <c r="E106" s="74" t="s">
        <v>1233</v>
      </c>
      <c r="F106" s="63" t="s">
        <v>1443</v>
      </c>
      <c r="G106" s="71" t="s">
        <v>1397</v>
      </c>
      <c r="H106" s="71"/>
      <c r="I106" s="66"/>
      <c r="J106" s="68"/>
      <c r="K106" s="68"/>
      <c r="L106" s="68"/>
      <c r="M106" s="68"/>
      <c r="N106" s="67"/>
      <c r="O106" s="88"/>
      <c r="P106" s="88"/>
      <c r="Q106" s="90"/>
      <c r="R106" s="72"/>
      <c r="S106" s="72"/>
      <c r="T106" s="72"/>
      <c r="U106" s="72"/>
      <c r="V106" s="72"/>
      <c r="W106" s="72"/>
      <c r="X106" s="72"/>
      <c r="Y106" s="72"/>
    </row>
    <row r="107">
      <c r="A107" s="60" t="s">
        <v>1444</v>
      </c>
      <c r="B107" s="61" t="str">
        <f>IFERROR(__xludf.DUMMYFUNCTION("""COMPUTED_VALUE"""),"437 US")</f>
        <v>437 US</v>
      </c>
      <c r="C107" s="63" t="str">
        <f>IFERROR(__xludf.DUMMYFUNCTION("""COMPUTED_VALUE"""),"081")</f>
        <v>081</v>
      </c>
      <c r="D107" s="79" t="str">
        <f>IFERROR(__xludf.DUMMYFUNCTION("""COMPUTED_VALUE"""),"437 U.S. 463 (1978)")</f>
        <v>437 U.S. 463 (1978)</v>
      </c>
      <c r="E107" s="74" t="s">
        <v>1233</v>
      </c>
      <c r="F107" s="63" t="s">
        <v>1445</v>
      </c>
      <c r="G107" s="71" t="s">
        <v>1397</v>
      </c>
      <c r="H107" s="71"/>
      <c r="I107" s="66"/>
      <c r="J107" s="68"/>
      <c r="K107" s="68"/>
      <c r="L107" s="68"/>
      <c r="M107" s="68"/>
      <c r="N107" s="67"/>
      <c r="O107" s="88"/>
      <c r="P107" s="88"/>
      <c r="Q107" s="90"/>
      <c r="R107" s="72"/>
      <c r="S107" s="72"/>
      <c r="T107" s="72"/>
      <c r="U107" s="72"/>
      <c r="V107" s="72"/>
      <c r="W107" s="72"/>
      <c r="X107" s="72"/>
      <c r="Y107" s="72"/>
    </row>
    <row r="108">
      <c r="A108" s="60" t="s">
        <v>1446</v>
      </c>
      <c r="B108" s="61" t="str">
        <f>IFERROR(__xludf.DUMMYFUNCTION("""COMPUTED_VALUE"""),"Adam")</f>
        <v>Adam</v>
      </c>
      <c r="C108" s="63" t="str">
        <f>IFERROR(__xludf.DUMMYFUNCTION("""COMPUTED_VALUE"""),"081")</f>
        <v>081</v>
      </c>
      <c r="D108" s="79" t="str">
        <f>IFERROR(__xludf.DUMMYFUNCTION("""COMPUTED_VALUE"""),"Adam Reed Moore, A Textualist Defense of A New Collateral Order Doctrine, 99 Notre Dame L. Rev. Reflection 1, 11 (2023)")</f>
        <v>Adam Reed Moore, A Textualist Defense of A New Collateral Order Doctrine, 99 Notre Dame L. Rev. Reflection 1, 11 (2023)</v>
      </c>
      <c r="E108" s="74" t="s">
        <v>1233</v>
      </c>
      <c r="F108" s="63" t="s">
        <v>1447</v>
      </c>
      <c r="G108" s="71" t="s">
        <v>1397</v>
      </c>
      <c r="H108" s="71"/>
      <c r="I108" s="66"/>
      <c r="J108" s="68"/>
      <c r="K108" s="68"/>
      <c r="L108" s="68"/>
      <c r="M108" s="68"/>
      <c r="N108" s="67"/>
      <c r="O108" s="88"/>
      <c r="P108" s="88"/>
      <c r="Q108" s="90"/>
      <c r="R108" s="72"/>
      <c r="S108" s="72"/>
      <c r="T108" s="72"/>
      <c r="U108" s="72"/>
      <c r="V108" s="72"/>
      <c r="W108" s="72"/>
      <c r="X108" s="72"/>
      <c r="Y108" s="72"/>
    </row>
    <row r="109">
      <c r="A109" s="60" t="s">
        <v>1448</v>
      </c>
      <c r="B109" s="61" t="str">
        <f>IFERROR(__xludf.DUMMYFUNCTION("""COMPUTED_VALUE"""),"Anderson")</f>
        <v>Anderson</v>
      </c>
      <c r="C109" s="63" t="str">
        <f>IFERROR(__xludf.DUMMYFUNCTION("""COMPUTED_VALUE"""),"081")</f>
        <v>081</v>
      </c>
      <c r="D109" s="79" t="str">
        <f>IFERROR(__xludf.DUMMYFUNCTION("""COMPUTED_VALUE"""),"Lloyd C. Anderson, The Collateral Order Doctrine: A New “Serbonian Bog” and Four Proposals for Reform, 46 Drake L. Rev. 539, 568 (1998), 568-85")</f>
        <v>Lloyd C. Anderson, The Collateral Order Doctrine: A New “Serbonian Bog” and Four Proposals for Reform, 46 Drake L. Rev. 539, 568 (1998), 568-85</v>
      </c>
      <c r="E109" s="74" t="s">
        <v>1233</v>
      </c>
      <c r="F109" s="63" t="s">
        <v>1449</v>
      </c>
      <c r="G109" s="71" t="s">
        <v>1397</v>
      </c>
      <c r="H109" s="71"/>
      <c r="I109" s="66"/>
      <c r="J109" s="68"/>
      <c r="K109" s="68"/>
      <c r="L109" s="68"/>
      <c r="M109" s="68"/>
      <c r="N109" s="67"/>
      <c r="O109" s="88"/>
      <c r="P109" s="88"/>
      <c r="Q109" s="90"/>
      <c r="R109" s="72"/>
      <c r="S109" s="72"/>
      <c r="T109" s="72"/>
      <c r="U109" s="72"/>
      <c r="V109" s="72"/>
      <c r="W109" s="72"/>
      <c r="X109" s="72"/>
      <c r="Y109" s="72"/>
    </row>
    <row r="110">
      <c r="A110" s="60" t="s">
        <v>1450</v>
      </c>
      <c r="B110" s="61" t="str">
        <f>IFERROR(__xludf.DUMMYFUNCTION("""COMPUTED_VALUE"""),"Flanagan v United States")</f>
        <v>Flanagan v United States</v>
      </c>
      <c r="C110" s="63" t="str">
        <f>IFERROR(__xludf.DUMMYFUNCTION("""COMPUTED_VALUE"""),"083")</f>
        <v>083</v>
      </c>
      <c r="D110" s="79" t="str">
        <f>IFERROR(__xludf.DUMMYFUNCTION("""COMPUTED_VALUE"""),"Flanagan v. United States, 465 U.S. 259, 270 (1984)")</f>
        <v>Flanagan v. United States, 465 U.S. 259, 270 (1984)</v>
      </c>
      <c r="E110" s="74" t="s">
        <v>1233</v>
      </c>
      <c r="F110" s="63" t="s">
        <v>1451</v>
      </c>
      <c r="G110" s="71" t="s">
        <v>1397</v>
      </c>
      <c r="H110" s="71"/>
      <c r="I110" s="66"/>
      <c r="J110" s="68"/>
      <c r="K110" s="68"/>
      <c r="L110" s="68"/>
      <c r="M110" s="68"/>
      <c r="N110" s="67"/>
      <c r="O110" s="88"/>
      <c r="P110" s="88"/>
      <c r="Q110" s="90"/>
      <c r="R110" s="72"/>
      <c r="S110" s="72"/>
      <c r="T110" s="72"/>
      <c r="U110" s="72"/>
      <c r="V110" s="72"/>
      <c r="W110" s="72"/>
      <c r="X110" s="72"/>
      <c r="Y110" s="72"/>
    </row>
    <row r="111">
      <c r="A111" s="60" t="s">
        <v>1452</v>
      </c>
      <c r="B111" s="61" t="str">
        <f>IFERROR(__xludf.DUMMYFUNCTION("""COMPUTED_VALUE"""),"Stringfellow v Concerned Neighbors in Action")</f>
        <v>Stringfellow v Concerned Neighbors in Action</v>
      </c>
      <c r="C111" s="63" t="str">
        <f>IFERROR(__xludf.DUMMYFUNCTION("""COMPUTED_VALUE"""),"084")</f>
        <v>084</v>
      </c>
      <c r="D111" s="79" t="str">
        <f>IFERROR(__xludf.DUMMYFUNCTION("""COMPUTED_VALUE"""),"Stringfellow v. Concerned Neighbors in Action, 480 U.S. 370, 380 (1987)")</f>
        <v>Stringfellow v. Concerned Neighbors in Action, 480 U.S. 370, 380 (1987)</v>
      </c>
      <c r="E111" s="74" t="s">
        <v>1233</v>
      </c>
      <c r="F111" s="63" t="s">
        <v>1453</v>
      </c>
      <c r="G111" s="71" t="s">
        <v>1397</v>
      </c>
      <c r="H111" s="71"/>
      <c r="I111" s="66"/>
      <c r="J111" s="68"/>
      <c r="K111" s="68"/>
      <c r="L111" s="68"/>
      <c r="M111" s="68"/>
      <c r="N111" s="67"/>
      <c r="O111" s="88"/>
      <c r="P111" s="88"/>
      <c r="Q111" s="90"/>
      <c r="R111" s="72"/>
      <c r="S111" s="72"/>
      <c r="T111" s="72"/>
      <c r="U111" s="72"/>
      <c r="V111" s="72"/>
      <c r="W111" s="72"/>
      <c r="X111" s="72"/>
      <c r="Y111" s="72"/>
    </row>
    <row r="112">
      <c r="A112" s="60" t="s">
        <v>1454</v>
      </c>
      <c r="B112" s="61" t="str">
        <f>IFERROR(__xludf.DUMMYFUNCTION("""COMPUTED_VALUE"""),"Rules")</f>
        <v>Rules</v>
      </c>
      <c r="C112" s="63" t="str">
        <f>IFERROR(__xludf.DUMMYFUNCTION("""COMPUTED_VALUE"""),"087")</f>
        <v>087</v>
      </c>
      <c r="D112" s="79" t="str">
        <f>IFERROR(__xludf.DUMMYFUNCTION("""COMPUTED_VALUE"""),"Rules Enabling Act, 28 U.S.C. § 2071 et seq.")</f>
        <v>Rules Enabling Act, 28 U.S.C. § 2071 et seq.</v>
      </c>
      <c r="E112" s="74" t="s">
        <v>1233</v>
      </c>
      <c r="F112" s="63" t="s">
        <v>1455</v>
      </c>
      <c r="G112" s="71" t="s">
        <v>1397</v>
      </c>
      <c r="H112" s="71"/>
      <c r="I112" s="66"/>
      <c r="J112" s="68"/>
      <c r="K112" s="68"/>
      <c r="L112" s="68"/>
      <c r="M112" s="68"/>
      <c r="N112" s="67"/>
      <c r="O112" s="88"/>
      <c r="P112" s="88"/>
      <c r="Q112" s="90"/>
      <c r="R112" s="72"/>
      <c r="S112" s="72"/>
      <c r="T112" s="72"/>
      <c r="U112" s="72"/>
      <c r="V112" s="72"/>
      <c r="W112" s="72"/>
      <c r="X112" s="72"/>
      <c r="Y112" s="72"/>
    </row>
    <row r="113">
      <c r="A113" s="60" t="s">
        <v>1456</v>
      </c>
      <c r="B113" s="61" t="str">
        <f>IFERROR(__xludf.DUMMYFUNCTION("""COMPUTED_VALUE"""),"FRCP 23(f)")</f>
        <v>FRCP 23(f)</v>
      </c>
      <c r="C113" s="63" t="str">
        <f>IFERROR(__xludf.DUMMYFUNCTION("""COMPUTED_VALUE"""),"087")</f>
        <v>087</v>
      </c>
      <c r="D113" s="79" t="str">
        <f>IFERROR(__xludf.DUMMYFUNCTION("""COMPUTED_VALUE"""),"Fed. R. Civ. P. 23(f)")</f>
        <v>Fed. R. Civ. P. 23(f)</v>
      </c>
      <c r="E113" s="74" t="s">
        <v>1233</v>
      </c>
      <c r="F113" s="63" t="s">
        <v>1457</v>
      </c>
      <c r="G113" s="71" t="s">
        <v>1397</v>
      </c>
      <c r="H113" s="71"/>
      <c r="I113" s="66"/>
      <c r="J113" s="68"/>
      <c r="K113" s="68"/>
      <c r="L113" s="68"/>
      <c r="M113" s="68"/>
      <c r="N113" s="67"/>
      <c r="O113" s="88"/>
      <c r="P113" s="88"/>
      <c r="Q113" s="90"/>
      <c r="R113" s="72"/>
      <c r="S113" s="72"/>
      <c r="T113" s="72"/>
      <c r="U113" s="72"/>
      <c r="V113" s="72"/>
      <c r="W113" s="72"/>
      <c r="X113" s="72"/>
      <c r="Y113" s="72"/>
    </row>
    <row r="114">
      <c r="A114" s="60" t="s">
        <v>1458</v>
      </c>
      <c r="B114" s="61" t="str">
        <f>IFERROR(__xludf.DUMMYFUNCTION("""COMPUTED_VALUE"""),"Forney v Apfel")</f>
        <v>Forney v Apfel</v>
      </c>
      <c r="C114" s="63" t="str">
        <f>IFERROR(__xludf.DUMMYFUNCTION("""COMPUTED_VALUE"""),"092")</f>
        <v>092</v>
      </c>
      <c r="D114" s="79" t="str">
        <f>IFERROR(__xludf.DUMMYFUNCTION("""COMPUTED_VALUE"""),"Forney v. Apfel, 524 U.S. 266, 270-71 (1998)")</f>
        <v>Forney v. Apfel, 524 U.S. 266, 270-71 (1998)</v>
      </c>
      <c r="E114" s="74" t="s">
        <v>1233</v>
      </c>
      <c r="F114" s="63" t="s">
        <v>1459</v>
      </c>
      <c r="G114" s="71" t="s">
        <v>1397</v>
      </c>
      <c r="H114" s="71"/>
      <c r="I114" s="66"/>
      <c r="J114" s="68"/>
      <c r="K114" s="68"/>
      <c r="L114" s="68"/>
      <c r="M114" s="68"/>
      <c r="N114" s="67"/>
      <c r="O114" s="88"/>
      <c r="P114" s="88"/>
      <c r="Q114" s="90"/>
      <c r="R114" s="72"/>
      <c r="S114" s="72"/>
      <c r="T114" s="72"/>
      <c r="U114" s="72"/>
      <c r="V114" s="72"/>
      <c r="W114" s="72"/>
      <c r="X114" s="72"/>
      <c r="Y114" s="72"/>
    </row>
    <row r="115">
      <c r="A115" s="60" t="s">
        <v>1460</v>
      </c>
      <c r="B115" s="61" t="str">
        <f>IFERROR(__xludf.DUMMYFUNCTION("""COMPUTED_VALUE"""),"Supra Note 92")</f>
        <v>Supra Note 92</v>
      </c>
      <c r="C115" s="63" t="str">
        <f>IFERROR(__xludf.DUMMYFUNCTION("""COMPUTED_VALUE"""),"093")</f>
        <v>093</v>
      </c>
      <c r="D115" s="79" t="str">
        <f>IFERROR(__xludf.DUMMYFUNCTION("""COMPUTED_VALUE"""),"supra note 92")</f>
        <v>supra note 92</v>
      </c>
      <c r="E115" s="74" t="s">
        <v>1233</v>
      </c>
      <c r="F115" s="63" t="s">
        <v>1461</v>
      </c>
      <c r="G115" s="71" t="s">
        <v>1397</v>
      </c>
      <c r="H115" s="71"/>
      <c r="I115" s="66"/>
      <c r="J115" s="68"/>
      <c r="K115" s="68"/>
      <c r="L115" s="68"/>
      <c r="M115" s="68"/>
      <c r="N115" s="67"/>
      <c r="O115" s="88"/>
      <c r="P115" s="88"/>
      <c r="Q115" s="90"/>
      <c r="R115" s="72"/>
      <c r="S115" s="72"/>
      <c r="T115" s="72"/>
      <c r="U115" s="72"/>
      <c r="V115" s="72"/>
      <c r="W115" s="72"/>
      <c r="X115" s="72"/>
      <c r="Y115" s="72"/>
    </row>
    <row r="116">
      <c r="A116" s="60" t="s">
        <v>1462</v>
      </c>
      <c r="B116" s="61" t="str">
        <f>IFERROR(__xludf.DUMMYFUNCTION("""COMPUTED_VALUE"""),"Supra Note 29")</f>
        <v>Supra Note 29</v>
      </c>
      <c r="C116" s="63" t="str">
        <f>IFERROR(__xludf.DUMMYFUNCTION("""COMPUTED_VALUE"""),"094")</f>
        <v>094</v>
      </c>
      <c r="D116" s="79" t="str">
        <f>IFERROR(__xludf.DUMMYFUNCTION("""COMPUTED_VALUE"""),"supra note 29")</f>
        <v>supra note 29</v>
      </c>
      <c r="E116" s="74" t="s">
        <v>1233</v>
      </c>
      <c r="F116" s="63" t="s">
        <v>1463</v>
      </c>
      <c r="G116" s="71" t="s">
        <v>1397</v>
      </c>
      <c r="H116" s="71"/>
      <c r="I116" s="66"/>
      <c r="J116" s="68"/>
      <c r="K116" s="68"/>
      <c r="L116" s="68"/>
      <c r="M116" s="68"/>
      <c r="N116" s="67"/>
      <c r="O116" s="88"/>
      <c r="P116" s="88"/>
      <c r="Q116" s="90"/>
      <c r="R116" s="72"/>
      <c r="S116" s="72"/>
      <c r="T116" s="72"/>
      <c r="U116" s="72"/>
      <c r="V116" s="72"/>
      <c r="W116" s="72"/>
      <c r="X116" s="72"/>
      <c r="Y116" s="72"/>
    </row>
    <row r="117">
      <c r="A117" s="60" t="s">
        <v>1464</v>
      </c>
      <c r="B117" s="61" t="str">
        <f>IFERROR(__xludf.DUMMYFUNCTION("""COMPUTED_VALUE"""),"Baca-Prieto v A1 Guigni")</f>
        <v>Baca-Prieto v A1 Guigni</v>
      </c>
      <c r="C117" s="63" t="str">
        <f>IFERROR(__xludf.DUMMYFUNCTION("""COMPUTED_VALUE"""),"095")</f>
        <v>095</v>
      </c>
      <c r="D117" s="79" t="str">
        <f>IFERROR(__xludf.DUMMYFUNCTION("""COMPUTED_VALUE"""),"Baca-Prieto v. A1 Guigni, 95 F.3d 1006, 1009 (10th Cir. 1996)")</f>
        <v>Baca-Prieto v. A1 Guigni, 95 F.3d 1006, 1009 (10th Cir. 1996)</v>
      </c>
      <c r="E117" s="74" t="s">
        <v>1233</v>
      </c>
      <c r="F117" s="63" t="s">
        <v>1465</v>
      </c>
      <c r="G117" s="71" t="s">
        <v>1397</v>
      </c>
      <c r="H117" s="71"/>
      <c r="I117" s="66"/>
      <c r="J117" s="68"/>
      <c r="K117" s="68"/>
      <c r="L117" s="68"/>
      <c r="M117" s="68"/>
      <c r="N117" s="67"/>
      <c r="O117" s="88"/>
      <c r="P117" s="88"/>
      <c r="Q117" s="90"/>
      <c r="R117" s="72"/>
      <c r="S117" s="72"/>
      <c r="T117" s="72"/>
      <c r="U117" s="72"/>
      <c r="V117" s="72"/>
      <c r="W117" s="72"/>
      <c r="X117" s="72"/>
      <c r="Y117" s="72"/>
    </row>
    <row r="118">
      <c r="A118" s="60" t="s">
        <v>1466</v>
      </c>
      <c r="B118" s="61" t="str">
        <f>IFERROR(__xludf.DUMMYFUNCTION("""COMPUTED_VALUE"""),"Travelstead v Derwinski")</f>
        <v>Travelstead v Derwinski</v>
      </c>
      <c r="C118" s="63" t="str">
        <f>IFERROR(__xludf.DUMMYFUNCTION("""COMPUTED_VALUE"""),"095")</f>
        <v>095</v>
      </c>
      <c r="D118" s="79" t="str">
        <f>IFERROR(__xludf.DUMMYFUNCTION("""COMPUTED_VALUE"""),"Travelstead v. Derwinski, 978 F.2d 1244, 1249 (Fed. Cir. 1992)")</f>
        <v>Travelstead v. Derwinski, 978 F.2d 1244, 1249 (Fed. Cir. 1992)</v>
      </c>
      <c r="E118" s="74" t="s">
        <v>1233</v>
      </c>
      <c r="F118" s="63" t="s">
        <v>1467</v>
      </c>
      <c r="G118" s="71" t="s">
        <v>1397</v>
      </c>
      <c r="H118" s="71"/>
      <c r="I118" s="66"/>
      <c r="J118" s="68"/>
      <c r="K118" s="68"/>
      <c r="L118" s="68"/>
      <c r="M118" s="68"/>
      <c r="N118" s="67"/>
      <c r="O118" s="88"/>
      <c r="P118" s="88"/>
      <c r="Q118" s="90"/>
      <c r="R118" s="72"/>
      <c r="S118" s="72"/>
      <c r="T118" s="72"/>
      <c r="U118" s="72"/>
      <c r="V118" s="72"/>
      <c r="W118" s="72"/>
      <c r="X118" s="72"/>
      <c r="Y118" s="72"/>
    </row>
    <row r="119">
      <c r="A119" s="60" t="s">
        <v>1468</v>
      </c>
      <c r="B119" s="61" t="str">
        <f>IFERROR(__xludf.DUMMYFUNCTION("""COMPUTED_VALUE"""),"St Francis Med CTR v Sullivan")</f>
        <v>St Francis Med CTR v Sullivan</v>
      </c>
      <c r="C119" s="63" t="str">
        <f>IFERROR(__xludf.DUMMYFUNCTION("""COMPUTED_VALUE"""),"095")</f>
        <v>095</v>
      </c>
      <c r="D119" s="79" t="str">
        <f>IFERROR(__xludf.DUMMYFUNCTION("""COMPUTED_VALUE"""),"St. Francis Med. Ctr. v. Sullivan, 962 F.2d 1110, 1114 (3d Cir. 1992)")</f>
        <v>St. Francis Med. Ctr. v. Sullivan, 962 F.2d 1110, 1114 (3d Cir. 1992)</v>
      </c>
      <c r="E119" s="74" t="s">
        <v>1233</v>
      </c>
      <c r="F119" s="63" t="s">
        <v>1469</v>
      </c>
      <c r="G119" s="71" t="s">
        <v>1397</v>
      </c>
      <c r="H119" s="71"/>
      <c r="I119" s="66"/>
      <c r="J119" s="68"/>
      <c r="K119" s="68"/>
      <c r="L119" s="68"/>
      <c r="M119" s="68"/>
      <c r="N119" s="67"/>
      <c r="O119" s="88"/>
      <c r="P119" s="88"/>
      <c r="Q119" s="90"/>
      <c r="R119" s="72"/>
      <c r="S119" s="72"/>
      <c r="T119" s="72"/>
      <c r="U119" s="72"/>
      <c r="V119" s="72"/>
      <c r="W119" s="72"/>
      <c r="X119" s="72"/>
      <c r="Y119" s="72"/>
    </row>
    <row r="120">
      <c r="A120" s="60" t="s">
        <v>1470</v>
      </c>
      <c r="B120" s="61" t="str">
        <f>IFERROR(__xludf.DUMMYFUNCTION("""COMPUTED_VALUE"""),"American Export Lines v Alvez")</f>
        <v>American Export Lines v Alvez</v>
      </c>
      <c r="C120" s="63" t="str">
        <f>IFERROR(__xludf.DUMMYFUNCTION("""COMPUTED_VALUE"""),"096")</f>
        <v>096</v>
      </c>
      <c r="D120" s="79" t="str">
        <f>IFERROR(__xludf.DUMMYFUNCTION("""COMPUTED_VALUE"""),"American Export Lines v. Alvez, 446 U.S. 274, 279 (1980)")</f>
        <v>American Export Lines v. Alvez, 446 U.S. 274, 279 (1980)</v>
      </c>
      <c r="E120" s="74" t="s">
        <v>1233</v>
      </c>
      <c r="F120" s="63" t="s">
        <v>1471</v>
      </c>
      <c r="G120" s="71" t="s">
        <v>1397</v>
      </c>
      <c r="H120" s="71"/>
      <c r="I120" s="66"/>
      <c r="J120" s="68"/>
      <c r="K120" s="68"/>
      <c r="L120" s="68"/>
      <c r="M120" s="68"/>
      <c r="N120" s="67"/>
      <c r="O120" s="88"/>
      <c r="P120" s="88"/>
      <c r="Q120" s="90"/>
      <c r="R120" s="72"/>
      <c r="S120" s="72"/>
      <c r="T120" s="72"/>
      <c r="U120" s="72"/>
      <c r="V120" s="72"/>
      <c r="W120" s="72"/>
      <c r="X120" s="72"/>
      <c r="Y120" s="72"/>
    </row>
    <row r="121">
      <c r="A121" s="60" t="s">
        <v>1472</v>
      </c>
      <c r="B121" s="61" t="str">
        <f>IFERROR(__xludf.DUMMYFUNCTION("""COMPUTED_VALUE"""),"Bohms v Gardner")</f>
        <v>Bohms v Gardner</v>
      </c>
      <c r="C121" s="63" t="str">
        <f>IFERROR(__xludf.DUMMYFUNCTION("""COMPUTED_VALUE"""),"098")</f>
        <v>098</v>
      </c>
      <c r="D121" s="79" t="str">
        <f>IFERROR(__xludf.DUMMYFUNCTION("""COMPUTED_VALUE"""),"Bohms v. Gardner, 381 F.2d 283, 285-86 (8th Cir. 1967)")</f>
        <v>Bohms v. Gardner, 381 F.2d 283, 285-86 (8th Cir. 1967)</v>
      </c>
      <c r="E121" s="74" t="s">
        <v>1233</v>
      </c>
      <c r="F121" s="63" t="s">
        <v>1473</v>
      </c>
      <c r="G121" s="71" t="s">
        <v>1397</v>
      </c>
      <c r="H121" s="71"/>
      <c r="I121" s="66"/>
      <c r="J121" s="68"/>
      <c r="K121" s="68"/>
      <c r="L121" s="68"/>
      <c r="M121" s="68"/>
      <c r="N121" s="67"/>
      <c r="O121" s="88"/>
      <c r="P121" s="88"/>
      <c r="Q121" s="90"/>
      <c r="R121" s="72"/>
      <c r="S121" s="72"/>
      <c r="T121" s="72"/>
      <c r="U121" s="72"/>
      <c r="V121" s="72"/>
      <c r="W121" s="72"/>
      <c r="X121" s="72"/>
      <c r="Y121" s="72"/>
    </row>
    <row r="122">
      <c r="A122" s="60" t="s">
        <v>1474</v>
      </c>
      <c r="B122" s="61" t="str">
        <f>IFERROR(__xludf.DUMMYFUNCTION("""COMPUTED_VALUE"""),"Mayersky v Celebrezze")</f>
        <v>Mayersky v Celebrezze</v>
      </c>
      <c r="C122" s="63" t="str">
        <f>IFERROR(__xludf.DUMMYFUNCTION("""COMPUTED_VALUE"""),"098")</f>
        <v>098</v>
      </c>
      <c r="D122" s="79" t="str">
        <f>IFERROR(__xludf.DUMMYFUNCTION("""COMPUTED_VALUE"""),"Mayersky v. Celebrezze, 353 F.2d 89, 89 (3d Cir. 1965) (per curiam)")</f>
        <v>Mayersky v. Celebrezze, 353 F.2d 89, 89 (3d Cir. 1965) (per curiam)</v>
      </c>
      <c r="E122" s="74" t="s">
        <v>1233</v>
      </c>
      <c r="F122" s="63" t="s">
        <v>1475</v>
      </c>
      <c r="G122" s="71" t="s">
        <v>1397</v>
      </c>
      <c r="H122" s="71"/>
      <c r="I122" s="66"/>
      <c r="J122" s="68"/>
      <c r="K122" s="68"/>
      <c r="L122" s="68"/>
      <c r="M122" s="68"/>
      <c r="N122" s="67"/>
      <c r="O122" s="88"/>
      <c r="P122" s="88"/>
      <c r="Q122" s="90"/>
      <c r="R122" s="72"/>
      <c r="S122" s="72"/>
      <c r="T122" s="72"/>
      <c r="U122" s="72"/>
      <c r="V122" s="72"/>
      <c r="W122" s="72"/>
      <c r="X122" s="72"/>
      <c r="Y122" s="72"/>
    </row>
    <row r="123">
      <c r="A123" s="60" t="s">
        <v>1476</v>
      </c>
      <c r="B123" s="61" t="str">
        <f>IFERROR(__xludf.DUMMYFUNCTION("""COMPUTED_VALUE"""),"Marshall v Celebrezze")</f>
        <v>Marshall v Celebrezze</v>
      </c>
      <c r="C123" s="63" t="str">
        <f>IFERROR(__xludf.DUMMYFUNCTION("""COMPUTED_VALUE"""),"098")</f>
        <v>098</v>
      </c>
      <c r="D123" s="79" t="str">
        <f>IFERROR(__xludf.DUMMYFUNCTION("""COMPUTED_VALUE"""),"Marshall v. Celebrezze, 351 F.2d 467, 468 (3d Cir. 1965) (per curiam)")</f>
        <v>Marshall v. Celebrezze, 351 F.2d 467, 468 (3d Cir. 1965) (per curiam)</v>
      </c>
      <c r="E123" s="74" t="s">
        <v>1233</v>
      </c>
      <c r="F123" s="63" t="s">
        <v>1477</v>
      </c>
      <c r="G123" s="71" t="s">
        <v>1478</v>
      </c>
      <c r="H123" s="71"/>
      <c r="I123" s="66"/>
      <c r="J123" s="68"/>
      <c r="K123" s="68"/>
      <c r="L123" s="68"/>
      <c r="M123" s="68"/>
      <c r="N123" s="67"/>
      <c r="O123" s="88"/>
      <c r="P123" s="88"/>
      <c r="Q123" s="90"/>
      <c r="R123" s="72"/>
      <c r="S123" s="72"/>
      <c r="T123" s="72"/>
      <c r="U123" s="72"/>
      <c r="V123" s="72"/>
      <c r="W123" s="72"/>
      <c r="X123" s="72"/>
      <c r="Y123" s="72"/>
    </row>
    <row r="124">
      <c r="A124" s="60" t="s">
        <v>1479</v>
      </c>
      <c r="B124" s="61" t="str">
        <f>IFERROR(__xludf.DUMMYFUNCTION("""COMPUTED_VALUE"""),"Stathatos v Arnold Bernstein SS Corp")</f>
        <v>Stathatos v Arnold Bernstein SS Corp</v>
      </c>
      <c r="C124" s="63" t="str">
        <f>IFERROR(__xludf.DUMMYFUNCTION("""COMPUTED_VALUE"""),"098")</f>
        <v>098</v>
      </c>
      <c r="D124" s="79" t="str">
        <f>IFERROR(__xludf.DUMMYFUNCTION("""COMPUTED_VALUE"""),"Stathatos v. Arnold Bernstein S.S. Corp., 202 F.2d 525, 526 (2d Cir. 1953)")</f>
        <v>Stathatos v. Arnold Bernstein S.S. Corp., 202 F.2d 525, 526 (2d Cir. 1953)</v>
      </c>
      <c r="E124" s="74" t="s">
        <v>1233</v>
      </c>
      <c r="F124" s="63" t="s">
        <v>1480</v>
      </c>
      <c r="G124" s="71" t="s">
        <v>1478</v>
      </c>
      <c r="H124" s="71"/>
      <c r="I124" s="66"/>
      <c r="J124" s="68"/>
      <c r="K124" s="68"/>
      <c r="L124" s="68"/>
      <c r="M124" s="68"/>
      <c r="N124" s="67"/>
      <c r="O124" s="88"/>
      <c r="P124" s="88"/>
      <c r="Q124" s="90"/>
      <c r="R124" s="72"/>
      <c r="S124" s="72"/>
      <c r="T124" s="72"/>
      <c r="U124" s="72"/>
      <c r="V124" s="72"/>
      <c r="W124" s="72"/>
      <c r="X124" s="72"/>
      <c r="Y124" s="72"/>
    </row>
    <row r="125">
      <c r="A125" s="60" t="s">
        <v>1481</v>
      </c>
      <c r="B125" s="61" t="str">
        <f>IFERROR(__xludf.DUMMYFUNCTION("""COMPUTED_VALUE"""),"412 F 2d")</f>
        <v>412 F 2d</v>
      </c>
      <c r="C125" s="63" t="str">
        <f>IFERROR(__xludf.DUMMYFUNCTION("""COMPUTED_VALUE"""),"099")</f>
        <v>099</v>
      </c>
      <c r="D125" s="79" t="str">
        <f>IFERROR(__xludf.DUMMYFUNCTION("""COMPUTED_VALUE"""),"412 F.2d 44 (5th Cir. 1969)")</f>
        <v>412 F.2d 44 (5th Cir. 1969)</v>
      </c>
      <c r="E125" s="74" t="s">
        <v>1233</v>
      </c>
      <c r="F125" s="63" t="s">
        <v>1482</v>
      </c>
      <c r="G125" s="71" t="s">
        <v>1478</v>
      </c>
      <c r="H125" s="71"/>
      <c r="I125" s="66"/>
      <c r="J125" s="68"/>
      <c r="K125" s="68"/>
      <c r="L125" s="68"/>
      <c r="M125" s="68"/>
      <c r="N125" s="67"/>
      <c r="O125" s="88"/>
      <c r="P125" s="88"/>
      <c r="Q125" s="90"/>
      <c r="R125" s="72"/>
      <c r="S125" s="72"/>
      <c r="T125" s="72"/>
      <c r="U125" s="72"/>
      <c r="V125" s="72"/>
      <c r="W125" s="72"/>
      <c r="X125" s="72"/>
      <c r="Y125" s="72"/>
    </row>
    <row r="126">
      <c r="A126" s="60" t="s">
        <v>1483</v>
      </c>
      <c r="B126" s="61" t="str">
        <f>IFERROR(__xludf.DUMMYFUNCTION("""COMPUTED_VALUE"""),"Richardson v Perales")</f>
        <v>Richardson v Perales</v>
      </c>
      <c r="C126" s="63" t="str">
        <f>IFERROR(__xludf.DUMMYFUNCTION("""COMPUTED_VALUE"""),"099")</f>
        <v>099</v>
      </c>
      <c r="D126" s="79" t="str">
        <f>IFERROR(__xludf.DUMMYFUNCTION("""COMPUTED_VALUE"""),"Richardson v. Perales, 402 U.S. 389 (1971)")</f>
        <v>Richardson v. Perales, 402 U.S. 389 (1971)</v>
      </c>
      <c r="E126" s="74" t="s">
        <v>1233</v>
      </c>
      <c r="F126" s="63" t="s">
        <v>1484</v>
      </c>
      <c r="G126" s="71" t="s">
        <v>1478</v>
      </c>
      <c r="H126" s="71"/>
      <c r="I126" s="66"/>
      <c r="J126" s="68"/>
      <c r="K126" s="68"/>
      <c r="L126" s="68"/>
      <c r="M126" s="68"/>
      <c r="N126" s="67"/>
      <c r="O126" s="88"/>
      <c r="P126" s="88"/>
      <c r="Q126" s="90"/>
      <c r="R126" s="72"/>
      <c r="S126" s="72"/>
      <c r="T126" s="72"/>
      <c r="U126" s="72"/>
      <c r="V126" s="72"/>
      <c r="W126" s="72"/>
      <c r="X126" s="72"/>
      <c r="Y126" s="72"/>
    </row>
    <row r="127">
      <c r="A127" s="60" t="s">
        <v>1485</v>
      </c>
      <c r="B127" s="61" t="str">
        <f>IFERROR(__xludf.DUMMYFUNCTION("""COMPUTED_VALUE"""),"Gold v Weinberger")</f>
        <v>Gold v Weinberger</v>
      </c>
      <c r="C127" s="63" t="str">
        <f>IFERROR(__xludf.DUMMYFUNCTION("""COMPUTED_VALUE"""),"102")</f>
        <v>102</v>
      </c>
      <c r="D127" s="79" t="str">
        <f>IFERROR(__xludf.DUMMYFUNCTION("""COMPUTED_VALUE"""),"Gold v. Weinberger, 473 F.2d 1376, 1378 (5th Cir. 1973)")</f>
        <v>Gold v. Weinberger, 473 F.2d 1376, 1378 (5th Cir. 1973)</v>
      </c>
      <c r="E127" s="74" t="s">
        <v>1233</v>
      </c>
      <c r="F127" s="63" t="s">
        <v>1486</v>
      </c>
      <c r="G127" s="71" t="s">
        <v>1478</v>
      </c>
      <c r="H127" s="71"/>
      <c r="I127" s="66"/>
      <c r="J127" s="68"/>
      <c r="K127" s="68"/>
      <c r="L127" s="68"/>
      <c r="M127" s="68"/>
      <c r="N127" s="67"/>
      <c r="O127" s="88"/>
      <c r="P127" s="88"/>
      <c r="Q127" s="90"/>
      <c r="R127" s="72"/>
      <c r="S127" s="72"/>
      <c r="T127" s="72"/>
      <c r="U127" s="72"/>
      <c r="V127" s="72"/>
      <c r="W127" s="72"/>
      <c r="X127" s="72"/>
      <c r="Y127" s="72"/>
    </row>
    <row r="128">
      <c r="A128" s="60" t="s">
        <v>1487</v>
      </c>
      <c r="B128" s="61" t="str">
        <f>IFERROR(__xludf.DUMMYFUNCTION("""COMPUTED_VALUE"""),"Gueory v Hampton")</f>
        <v>Gueory v Hampton</v>
      </c>
      <c r="C128" s="63" t="str">
        <f>IFERROR(__xludf.DUMMYFUNCTION("""COMPUTED_VALUE"""),"103")</f>
        <v>103</v>
      </c>
      <c r="D128" s="79" t="str">
        <f>IFERROR(__xludf.DUMMYFUNCTION("""COMPUTED_VALUE"""),"Gueory v. Hampton, 510 F.2d 1222, 1224-25 (D.C. Cir. 1974)")</f>
        <v>Gueory v. Hampton, 510 F.2d 1222, 1224-25 (D.C. Cir. 1974)</v>
      </c>
      <c r="E128" s="74" t="s">
        <v>1233</v>
      </c>
      <c r="F128" s="63" t="s">
        <v>1488</v>
      </c>
      <c r="G128" s="71" t="s">
        <v>1478</v>
      </c>
      <c r="H128" s="71"/>
      <c r="I128" s="66"/>
      <c r="J128" s="68"/>
      <c r="K128" s="68"/>
      <c r="L128" s="68"/>
      <c r="M128" s="68"/>
      <c r="N128" s="67"/>
      <c r="O128" s="88"/>
      <c r="P128" s="88"/>
      <c r="Q128" s="90"/>
      <c r="R128" s="72"/>
      <c r="S128" s="72"/>
      <c r="T128" s="72"/>
      <c r="U128" s="72"/>
      <c r="V128" s="72"/>
      <c r="W128" s="72"/>
      <c r="X128" s="72"/>
      <c r="Y128" s="72"/>
    </row>
    <row r="129">
      <c r="A129" s="60" t="s">
        <v>1489</v>
      </c>
      <c r="B129" s="61" t="str">
        <f>IFERROR(__xludf.DUMMYFUNCTION("""COMPUTED_VALUE"""),"Harper v Bowen")</f>
        <v>Harper v Bowen</v>
      </c>
      <c r="C129" s="63" t="str">
        <f>IFERROR(__xludf.DUMMYFUNCTION("""COMPUTED_VALUE"""),"110")</f>
        <v>110</v>
      </c>
      <c r="D129" s="79" t="str">
        <f>IFERROR(__xludf.DUMMYFUNCTION("""COMPUTED_VALUE"""),"Harper v. Bowen, 854 F.2d 678, 680-81 (4th Cir. 1988)")</f>
        <v>Harper v. Bowen, 854 F.2d 678, 680-81 (4th Cir. 1988)</v>
      </c>
      <c r="E129" s="74" t="s">
        <v>1233</v>
      </c>
      <c r="F129" s="63" t="s">
        <v>1490</v>
      </c>
      <c r="G129" s="71" t="s">
        <v>1478</v>
      </c>
      <c r="H129" s="71"/>
      <c r="I129" s="66"/>
      <c r="J129" s="68"/>
      <c r="K129" s="68"/>
      <c r="L129" s="68"/>
      <c r="M129" s="68"/>
      <c r="N129" s="67"/>
      <c r="O129" s="88"/>
      <c r="P129" s="88"/>
      <c r="Q129" s="90"/>
      <c r="R129" s="72"/>
      <c r="S129" s="72"/>
      <c r="T129" s="72"/>
      <c r="U129" s="72"/>
      <c r="V129" s="72"/>
      <c r="W129" s="72"/>
      <c r="X129" s="72"/>
      <c r="Y129" s="72"/>
    </row>
    <row r="130">
      <c r="A130" s="60" t="s">
        <v>1491</v>
      </c>
      <c r="B130" s="61" t="str">
        <f>IFERROR(__xludf.DUMMYFUNCTION("""COMPUTED_VALUE"""),"Cabot Corp v United States")</f>
        <v>Cabot Corp v United States</v>
      </c>
      <c r="C130" s="63" t="str">
        <f>IFERROR(__xludf.DUMMYFUNCTION("""COMPUTED_VALUE"""),"110")</f>
        <v>110</v>
      </c>
      <c r="D130" s="79" t="str">
        <f>IFERROR(__xludf.DUMMYFUNCTION("""COMPUTED_VALUE"""),"Cabot Corp. v. United States, 788 F.2d 1539, 1543-44 (Fed. Cir. 1986)")</f>
        <v>Cabot Corp. v. United States, 788 F.2d 1539, 1543-44 (Fed. Cir. 1986)</v>
      </c>
      <c r="E130" s="74" t="s">
        <v>1233</v>
      </c>
      <c r="F130" s="63" t="s">
        <v>1492</v>
      </c>
      <c r="G130" s="71" t="s">
        <v>1478</v>
      </c>
      <c r="H130" s="71"/>
      <c r="I130" s="66"/>
      <c r="J130" s="68"/>
      <c r="K130" s="68"/>
      <c r="L130" s="68"/>
      <c r="M130" s="68"/>
      <c r="N130" s="67"/>
      <c r="O130" s="88"/>
      <c r="P130" s="88"/>
      <c r="Q130" s="90"/>
      <c r="R130" s="72"/>
      <c r="S130" s="72"/>
      <c r="T130" s="72"/>
      <c r="U130" s="72"/>
      <c r="V130" s="72"/>
      <c r="W130" s="72"/>
      <c r="X130" s="72"/>
      <c r="Y130" s="72"/>
    </row>
    <row r="131">
      <c r="A131" s="60" t="s">
        <v>1493</v>
      </c>
      <c r="B131" s="61" t="str">
        <f>IFERROR(__xludf.DUMMYFUNCTION("""COMPUTED_VALUE"""),"Pauls v Sec'y of the Air Force")</f>
        <v>Pauls v Sec'y of the Air Force</v>
      </c>
      <c r="C131" s="63" t="str">
        <f>IFERROR(__xludf.DUMMYFUNCTION("""COMPUTED_VALUE"""),"110")</f>
        <v>110</v>
      </c>
      <c r="D131" s="79" t="str">
        <f>IFERROR(__xludf.DUMMYFUNCTION("""COMPUTED_VALUE"""),"Pauls v. Sec’y of the Air Force, 457 F.2d 294, 297-98 (1st Cir. 1972)")</f>
        <v>Pauls v. Sec’y of the Air Force, 457 F.2d 294, 297-98 (1st Cir. 1972)</v>
      </c>
      <c r="E131" s="74" t="s">
        <v>1233</v>
      </c>
      <c r="F131" s="63" t="s">
        <v>1494</v>
      </c>
      <c r="G131" s="71" t="s">
        <v>1478</v>
      </c>
      <c r="H131" s="71"/>
      <c r="I131" s="66"/>
      <c r="J131" s="68"/>
      <c r="K131" s="68"/>
      <c r="L131" s="68"/>
      <c r="M131" s="68"/>
      <c r="N131" s="67"/>
      <c r="O131" s="88"/>
      <c r="P131" s="88"/>
      <c r="Q131" s="90"/>
      <c r="R131" s="72"/>
      <c r="S131" s="72"/>
      <c r="T131" s="72"/>
      <c r="U131" s="72"/>
      <c r="V131" s="72"/>
      <c r="W131" s="72"/>
      <c r="X131" s="72"/>
      <c r="Y131" s="72"/>
    </row>
    <row r="132">
      <c r="A132" s="60" t="s">
        <v>1495</v>
      </c>
      <c r="B132" s="61" t="str">
        <f>IFERROR(__xludf.DUMMYFUNCTION("""COMPUTED_VALUE"""),"McCoy v Schweiker")</f>
        <v>McCoy v Schweiker</v>
      </c>
      <c r="C132" s="63" t="str">
        <f>IFERROR(__xludf.DUMMYFUNCTION("""COMPUTED_VALUE"""),"110")</f>
        <v>110</v>
      </c>
      <c r="D132" s="79" t="str">
        <f>IFERROR(__xludf.DUMMYFUNCTION("""COMPUTED_VALUE"""),"McCoy v. Schweiker, 683 F.2d 1138, 1141 n.2 (8th Cir. 1998) (en banc)")</f>
        <v>McCoy v. Schweiker, 683 F.2d 1138, 1141 n.2 (8th Cir. 1998) (en banc)</v>
      </c>
      <c r="E132" s="74" t="s">
        <v>1233</v>
      </c>
      <c r="F132" s="63" t="s">
        <v>1496</v>
      </c>
      <c r="G132" s="71" t="s">
        <v>1478</v>
      </c>
      <c r="H132" s="71"/>
      <c r="I132" s="66"/>
      <c r="J132" s="68"/>
      <c r="K132" s="68"/>
      <c r="L132" s="68"/>
      <c r="M132" s="68"/>
      <c r="N132" s="67"/>
      <c r="O132" s="88"/>
      <c r="P132" s="88"/>
      <c r="Q132" s="90"/>
      <c r="R132" s="72"/>
      <c r="S132" s="72"/>
      <c r="T132" s="72"/>
      <c r="U132" s="72"/>
      <c r="V132" s="72"/>
      <c r="W132" s="72"/>
      <c r="X132" s="72"/>
      <c r="Y132" s="72"/>
    </row>
    <row r="133">
      <c r="A133" s="60" t="s">
        <v>1497</v>
      </c>
      <c r="B133" s="61" t="str">
        <f>IFERROR(__xludf.DUMMYFUNCTION("""COMPUTED_VALUE"""),"Doughty v Bowen")</f>
        <v>Doughty v Bowen</v>
      </c>
      <c r="C133" s="63" t="str">
        <f>IFERROR(__xludf.DUMMYFUNCTION("""COMPUTED_VALUE"""),"111")</f>
        <v>111</v>
      </c>
      <c r="D133" s="79" t="str">
        <f>IFERROR(__xludf.DUMMYFUNCTION("""COMPUTED_VALUE"""),"Doughty v. Bowen, 839 F.2d 644, 645-46 (10th Cir. 1988)")</f>
        <v>Doughty v. Bowen, 839 F.2d 644, 645-46 (10th Cir. 1988)</v>
      </c>
      <c r="E133" s="74" t="s">
        <v>1233</v>
      </c>
      <c r="F133" s="63" t="s">
        <v>1498</v>
      </c>
      <c r="G133" s="71" t="s">
        <v>1478</v>
      </c>
      <c r="H133" s="71"/>
      <c r="I133" s="66"/>
      <c r="J133" s="68"/>
      <c r="K133" s="68"/>
      <c r="L133" s="68"/>
      <c r="M133" s="68"/>
      <c r="N133" s="67"/>
      <c r="O133" s="88"/>
      <c r="P133" s="88"/>
      <c r="Q133" s="90"/>
      <c r="R133" s="72"/>
      <c r="S133" s="72"/>
      <c r="T133" s="72"/>
      <c r="U133" s="72"/>
      <c r="V133" s="72"/>
      <c r="W133" s="72"/>
      <c r="X133" s="72"/>
      <c r="Y133" s="72"/>
    </row>
    <row r="134">
      <c r="A134" s="60" t="s">
        <v>1499</v>
      </c>
      <c r="B134" s="61" t="str">
        <f>IFERROR(__xludf.DUMMYFUNCTION("""COMPUTED_VALUE"""),"Pierre v Rivkind")</f>
        <v>Pierre v Rivkind</v>
      </c>
      <c r="C134" s="63" t="str">
        <f>IFERROR(__xludf.DUMMYFUNCTION("""COMPUTED_VALUE"""),"111")</f>
        <v>111</v>
      </c>
      <c r="D134" s="79" t="str">
        <f>IFERROR(__xludf.DUMMYFUNCTION("""COMPUTED_VALUE"""),"Pierre v. Rivkind, 825 F.2d 1501, 1504 (11th Cir. 1987)")</f>
        <v>Pierre v. Rivkind, 825 F.2d 1501, 1504 (11th Cir. 1987)</v>
      </c>
      <c r="E134" s="74" t="s">
        <v>1233</v>
      </c>
      <c r="F134" s="63" t="s">
        <v>1500</v>
      </c>
      <c r="G134" s="71" t="s">
        <v>1478</v>
      </c>
      <c r="H134" s="71"/>
      <c r="I134" s="66"/>
      <c r="J134" s="68"/>
      <c r="K134" s="68"/>
      <c r="L134" s="68"/>
      <c r="M134" s="68"/>
      <c r="N134" s="67"/>
      <c r="O134" s="88"/>
      <c r="P134" s="88"/>
      <c r="Q134" s="90"/>
      <c r="R134" s="72"/>
      <c r="S134" s="72"/>
      <c r="T134" s="72"/>
      <c r="U134" s="72"/>
      <c r="V134" s="72"/>
      <c r="W134" s="72"/>
      <c r="X134" s="72"/>
      <c r="Y134" s="72"/>
    </row>
    <row r="135">
      <c r="A135" s="60" t="s">
        <v>1501</v>
      </c>
      <c r="B135" s="61" t="str">
        <f>IFERROR(__xludf.DUMMYFUNCTION("""COMPUTED_VALUE"""),"Aja Assocs v Army Corps of Eng'rs")</f>
        <v>Aja Assocs v Army Corps of Eng'rs</v>
      </c>
      <c r="C135" s="63" t="str">
        <f>IFERROR(__xludf.DUMMYFUNCTION("""COMPUTED_VALUE"""),"111")</f>
        <v>111</v>
      </c>
      <c r="D135" s="79" t="str">
        <f>IFERROR(__xludf.DUMMYFUNCTION("""COMPUTED_VALUE"""),"AJA Assocs. v. Army Corps of Eng’rs, 817 F.2d 1070, 1073 (3d Cir. 1987)")</f>
        <v>AJA Assocs. v. Army Corps of Eng’rs, 817 F.2d 1070, 1073 (3d Cir. 1987)</v>
      </c>
      <c r="E135" s="74" t="s">
        <v>1233</v>
      </c>
      <c r="F135" s="63" t="s">
        <v>1502</v>
      </c>
      <c r="G135" s="71" t="s">
        <v>1478</v>
      </c>
      <c r="H135" s="71"/>
      <c r="I135" s="66"/>
      <c r="J135" s="68"/>
      <c r="K135" s="68"/>
      <c r="L135" s="68"/>
      <c r="M135" s="68"/>
      <c r="N135" s="67"/>
      <c r="O135" s="88"/>
      <c r="P135" s="88"/>
      <c r="Q135" s="90"/>
      <c r="R135" s="72"/>
      <c r="S135" s="72"/>
      <c r="T135" s="72"/>
      <c r="U135" s="72"/>
      <c r="V135" s="72"/>
      <c r="W135" s="72"/>
      <c r="X135" s="72"/>
      <c r="Y135" s="72"/>
    </row>
    <row r="136">
      <c r="A136" s="60" t="s">
        <v>1503</v>
      </c>
      <c r="B136" s="61" t="str">
        <f>IFERROR(__xludf.DUMMYFUNCTION("""COMPUTED_VALUE"""),"Huie v Bowen")</f>
        <v>Huie v Bowen</v>
      </c>
      <c r="C136" s="63" t="str">
        <f>IFERROR(__xludf.DUMMYFUNCTION("""COMPUTED_VALUE"""),"111")</f>
        <v>111</v>
      </c>
      <c r="D136" s="79" t="str">
        <f>IFERROR(__xludf.DUMMYFUNCTION("""COMPUTED_VALUE"""),"Huie v. Bowen, 788 F.2d 698, 701-03 (11th Cir. 1986)")</f>
        <v>Huie v. Bowen, 788 F.2d 698, 701-03 (11th Cir. 1986)</v>
      </c>
      <c r="E136" s="74" t="s">
        <v>1233</v>
      </c>
      <c r="F136" s="63" t="s">
        <v>1504</v>
      </c>
      <c r="G136" s="71" t="s">
        <v>1478</v>
      </c>
      <c r="H136" s="71"/>
      <c r="I136" s="66"/>
      <c r="J136" s="68"/>
      <c r="K136" s="68"/>
      <c r="L136" s="68"/>
      <c r="M136" s="68"/>
      <c r="N136" s="67"/>
      <c r="O136" s="88"/>
      <c r="P136" s="88"/>
      <c r="Q136" s="90"/>
      <c r="R136" s="72"/>
      <c r="S136" s="72"/>
      <c r="T136" s="72"/>
      <c r="U136" s="72"/>
      <c r="V136" s="72"/>
      <c r="W136" s="72"/>
      <c r="X136" s="72"/>
      <c r="Y136" s="72"/>
    </row>
    <row r="137">
      <c r="A137" s="60" t="s">
        <v>1505</v>
      </c>
      <c r="B137" s="61" t="str">
        <f>IFERROR(__xludf.DUMMYFUNCTION("""COMPUTED_VALUE"""),"Regents of the Univ of Calif v Heckler")</f>
        <v>Regents of the Univ of Calif v Heckler</v>
      </c>
      <c r="C137" s="63" t="str">
        <f>IFERROR(__xludf.DUMMYFUNCTION("""COMPUTED_VALUE"""),"111")</f>
        <v>111</v>
      </c>
      <c r="D137" s="79" t="str">
        <f>IFERROR(__xludf.DUMMYFUNCTION("""COMPUTED_VALUE"""),"Regents of the Univ. of Calif. v. Heckler, 771 F.2d 1182, 1186-87 (9th Cir. 1985)")</f>
        <v>Regents of the Univ. of Calif. v. Heckler, 771 F.2d 1182, 1186-87 (9th Cir. 1985)</v>
      </c>
      <c r="E137" s="74" t="s">
        <v>1233</v>
      </c>
      <c r="F137" s="63" t="s">
        <v>1506</v>
      </c>
      <c r="G137" s="71" t="s">
        <v>1478</v>
      </c>
      <c r="H137" s="71"/>
      <c r="I137" s="66"/>
      <c r="J137" s="68"/>
      <c r="K137" s="68"/>
      <c r="L137" s="68"/>
      <c r="M137" s="68"/>
      <c r="N137" s="67"/>
      <c r="O137" s="88"/>
      <c r="P137" s="88"/>
      <c r="Q137" s="90"/>
      <c r="R137" s="72"/>
      <c r="S137" s="72"/>
      <c r="T137" s="72"/>
      <c r="U137" s="72"/>
      <c r="V137" s="72"/>
      <c r="W137" s="72"/>
      <c r="X137" s="72"/>
      <c r="Y137" s="72"/>
    </row>
    <row r="138">
      <c r="A138" s="60" t="s">
        <v>1507</v>
      </c>
      <c r="B138" s="61" t="str">
        <f>IFERROR(__xludf.DUMMYFUNCTION("""COMPUTED_VALUE"""),"Good Samaritan Hosp v Shalala")</f>
        <v>Good Samaritan Hosp v Shalala</v>
      </c>
      <c r="C138" s="63" t="str">
        <f>IFERROR(__xludf.DUMMYFUNCTION("""COMPUTED_VALUE"""),"111")</f>
        <v>111</v>
      </c>
      <c r="D138" s="79" t="str">
        <f>IFERROR(__xludf.DUMMYFUNCTION("""COMPUTED_VALUE"""),"Good Samaritan Hosp. v. Shalala, 508 U.S. 402 (1993)")</f>
        <v>Good Samaritan Hosp. v. Shalala, 508 U.S. 402 (1993)</v>
      </c>
      <c r="E138" s="74" t="s">
        <v>1233</v>
      </c>
      <c r="F138" s="63" t="s">
        <v>1508</v>
      </c>
      <c r="G138" s="71" t="s">
        <v>1478</v>
      </c>
      <c r="H138" s="71"/>
      <c r="I138" s="66"/>
      <c r="J138" s="68"/>
      <c r="K138" s="68"/>
      <c r="L138" s="68"/>
      <c r="M138" s="68"/>
      <c r="N138" s="67"/>
      <c r="O138" s="88"/>
      <c r="P138" s="88"/>
      <c r="Q138" s="90"/>
      <c r="R138" s="72"/>
      <c r="S138" s="72"/>
      <c r="T138" s="72"/>
      <c r="U138" s="72"/>
      <c r="V138" s="72"/>
      <c r="W138" s="72"/>
      <c r="X138" s="72"/>
      <c r="Y138" s="72"/>
    </row>
    <row r="139">
      <c r="A139" s="60" t="s">
        <v>1509</v>
      </c>
      <c r="B139" s="61" t="str">
        <f>IFERROR(__xludf.DUMMYFUNCTION("""COMPUTED_VALUE"""),"Bender v Clark")</f>
        <v>Bender v Clark</v>
      </c>
      <c r="C139" s="63" t="str">
        <f>IFERROR(__xludf.DUMMYFUNCTION("""COMPUTED_VALUE"""),"111")</f>
        <v>111</v>
      </c>
      <c r="D139" s="79" t="str">
        <f>IFERROR(__xludf.DUMMYFUNCTION("""COMPUTED_VALUE"""),"Bender v. Clark, 744 F.2d 1424, 1426-28 (10th Cir. 1984)")</f>
        <v>Bender v. Clark, 744 F.2d 1424, 1426-28 (10th Cir. 1984)</v>
      </c>
      <c r="E139" s="74" t="s">
        <v>1233</v>
      </c>
      <c r="F139" s="63" t="s">
        <v>1510</v>
      </c>
      <c r="G139" s="71" t="s">
        <v>1478</v>
      </c>
      <c r="H139" s="71"/>
      <c r="I139" s="66"/>
      <c r="J139" s="68"/>
      <c r="K139" s="68"/>
      <c r="L139" s="68"/>
      <c r="M139" s="68"/>
      <c r="N139" s="67"/>
      <c r="O139" s="88"/>
      <c r="P139" s="88"/>
      <c r="Q139" s="90"/>
      <c r="R139" s="72"/>
      <c r="S139" s="72"/>
      <c r="T139" s="72"/>
      <c r="U139" s="72"/>
      <c r="V139" s="72"/>
      <c r="W139" s="72"/>
      <c r="X139" s="72"/>
      <c r="Y139" s="72"/>
    </row>
    <row r="140">
      <c r="A140" s="60" t="s">
        <v>1511</v>
      </c>
      <c r="B140" s="61" t="str">
        <f>IFERROR(__xludf.DUMMYFUNCTION("""COMPUTED_VALUE"""),"Stone v Heckler")</f>
        <v>Stone v Heckler</v>
      </c>
      <c r="C140" s="63" t="str">
        <f>IFERROR(__xludf.DUMMYFUNCTION("""COMPUTED_VALUE"""),"111")</f>
        <v>111</v>
      </c>
      <c r="D140" s="79" t="str">
        <f>IFERROR(__xludf.DUMMYFUNCTION("""COMPUTED_VALUE"""),"Stone v. Heckler, 722 F.2d 464, 466-68 (9th Cir. 1983)")</f>
        <v>Stone v. Heckler, 722 F.2d 464, 466-68 (9th Cir. 1983)</v>
      </c>
      <c r="E140" s="74" t="s">
        <v>1233</v>
      </c>
      <c r="F140" s="63" t="s">
        <v>1512</v>
      </c>
      <c r="G140" s="71" t="s">
        <v>1478</v>
      </c>
      <c r="H140" s="71"/>
      <c r="I140" s="66"/>
      <c r="J140" s="68"/>
      <c r="K140" s="68"/>
      <c r="L140" s="68"/>
      <c r="M140" s="68"/>
      <c r="N140" s="67"/>
      <c r="O140" s="88"/>
      <c r="P140" s="88"/>
      <c r="Q140" s="90"/>
      <c r="R140" s="72"/>
      <c r="S140" s="72"/>
      <c r="T140" s="72"/>
      <c r="U140" s="72"/>
      <c r="V140" s="72"/>
      <c r="W140" s="72"/>
      <c r="X140" s="72"/>
      <c r="Y140" s="72"/>
    </row>
    <row r="141">
      <c r="A141" s="60" t="s">
        <v>1513</v>
      </c>
      <c r="B141" s="61" t="str">
        <f>IFERROR(__xludf.DUMMYFUNCTION("""COMPUTED_VALUE"""),"United States v Alcon Labs")</f>
        <v>United States v Alcon Labs</v>
      </c>
      <c r="C141" s="63" t="str">
        <f>IFERROR(__xludf.DUMMYFUNCTION("""COMPUTED_VALUE"""),"111")</f>
        <v>111</v>
      </c>
      <c r="D141" s="79" t="str">
        <f>IFERROR(__xludf.DUMMYFUNCTION("""COMPUTED_VALUE"""),"United States v. Alcon Labs., 636 F.2d 876, 884-85 (1st Cir. 1981)")</f>
        <v>United States v. Alcon Labs., 636 F.2d 876, 884-85 (1st Cir. 1981)</v>
      </c>
      <c r="E141" s="74" t="s">
        <v>1233</v>
      </c>
      <c r="F141" s="63" t="s">
        <v>1514</v>
      </c>
      <c r="G141" s="71" t="s">
        <v>1478</v>
      </c>
      <c r="H141" s="71"/>
      <c r="I141" s="66"/>
      <c r="J141" s="68"/>
      <c r="K141" s="68"/>
      <c r="L141" s="68"/>
      <c r="M141" s="68"/>
      <c r="N141" s="67"/>
      <c r="O141" s="88"/>
      <c r="P141" s="88"/>
      <c r="Q141" s="90"/>
      <c r="R141" s="72"/>
      <c r="S141" s="72"/>
      <c r="T141" s="72"/>
      <c r="U141" s="72"/>
      <c r="V141" s="72"/>
      <c r="W141" s="72"/>
      <c r="X141" s="72"/>
      <c r="Y141" s="72"/>
    </row>
    <row r="142">
      <c r="A142" s="60" t="s">
        <v>1515</v>
      </c>
      <c r="B142" s="61" t="str">
        <f>IFERROR(__xludf.DUMMYFUNCTION("""COMPUTED_VALUE"""),"Mall")</f>
        <v>Mall</v>
      </c>
      <c r="C142" s="63" t="str">
        <f>IFERROR(__xludf.DUMMYFUNCTION("""COMPUTED_VALUE"""),"112")</f>
        <v>112</v>
      </c>
      <c r="D142" s="79" t="str">
        <f>IFERROR(__xludf.DUMMYFUNCTION("""COMPUTED_VALUE"""),"Mall Props., Inc. v. Marsh, 841 F.2d 440, 441-44 (1st Cir. 1988) (per curiam)")</f>
        <v>Mall Props., Inc. v. Marsh, 841 F.2d 440, 441-44 (1st Cir. 1988) (per curiam)</v>
      </c>
      <c r="E142" s="74" t="s">
        <v>1233</v>
      </c>
      <c r="F142" s="63" t="s">
        <v>1516</v>
      </c>
      <c r="G142" s="71" t="s">
        <v>1478</v>
      </c>
      <c r="H142" s="71"/>
      <c r="I142" s="66"/>
      <c r="J142" s="68"/>
      <c r="K142" s="68"/>
      <c r="L142" s="68"/>
      <c r="M142" s="68"/>
      <c r="N142" s="67"/>
      <c r="O142" s="88"/>
      <c r="P142" s="88"/>
      <c r="Q142" s="90"/>
      <c r="R142" s="72"/>
      <c r="S142" s="72"/>
      <c r="T142" s="72"/>
      <c r="U142" s="72"/>
      <c r="V142" s="72"/>
      <c r="W142" s="72"/>
      <c r="X142" s="72"/>
      <c r="Y142" s="72"/>
    </row>
    <row r="143">
      <c r="A143" s="60" t="s">
        <v>1517</v>
      </c>
      <c r="B143" s="61" t="str">
        <f>IFERROR(__xludf.DUMMYFUNCTION("""COMPUTED_VALUE"""),"Jeannette Sheet Glass Corp v United States")</f>
        <v>Jeannette Sheet Glass Corp v United States</v>
      </c>
      <c r="C143" s="63" t="str">
        <f>IFERROR(__xludf.DUMMYFUNCTION("""COMPUTED_VALUE"""),"112")</f>
        <v>112</v>
      </c>
      <c r="D143" s="79" t="str">
        <f>IFERROR(__xludf.DUMMYFUNCTION("""COMPUTED_VALUE"""),"Jeannette Sheet Glass Corp. v. United States, 803 F.2d 1576, 1579-83 (Fed. Cir. 1986)")</f>
        <v>Jeannette Sheet Glass Corp. v. United States, 803 F.2d 1576, 1579-83 (Fed. Cir. 1986)</v>
      </c>
      <c r="E143" s="74" t="s">
        <v>1233</v>
      </c>
      <c r="F143" s="63" t="s">
        <v>1518</v>
      </c>
      <c r="G143" s="71" t="s">
        <v>1478</v>
      </c>
      <c r="H143" s="71"/>
      <c r="I143" s="66"/>
      <c r="J143" s="68"/>
      <c r="K143" s="68"/>
      <c r="L143" s="68"/>
      <c r="M143" s="68"/>
      <c r="N143" s="67"/>
      <c r="O143" s="88"/>
      <c r="P143" s="88"/>
      <c r="Q143" s="90"/>
      <c r="R143" s="72"/>
      <c r="S143" s="72"/>
      <c r="T143" s="72"/>
      <c r="U143" s="72"/>
      <c r="V143" s="72"/>
      <c r="W143" s="72"/>
      <c r="X143" s="72"/>
      <c r="Y143" s="72"/>
    </row>
    <row r="144">
      <c r="A144" s="60" t="s">
        <v>1519</v>
      </c>
      <c r="B144" s="61" t="str">
        <f>IFERROR(__xludf.DUMMYFUNCTION("""COMPUTED_VALUE"""),"Mem'l Hosp Sys v Heckler")</f>
        <v>Mem'l Hosp Sys v Heckler</v>
      </c>
      <c r="C144" s="63" t="str">
        <f>IFERROR(__xludf.DUMMYFUNCTION("""COMPUTED_VALUE"""),"112")</f>
        <v>112</v>
      </c>
      <c r="D144" s="79" t="str">
        <f>IFERROR(__xludf.DUMMYFUNCTION("""COMPUTED_VALUE"""),"Mem’l Hosp. Sys. v. Heckler, 769 F.2d 1043, 1044 (5th Cir. 1985)")</f>
        <v>Mem’l Hosp. Sys. v. Heckler, 769 F.2d 1043, 1044 (5th Cir. 1985)</v>
      </c>
      <c r="E144" s="74" t="s">
        <v>1233</v>
      </c>
      <c r="F144" s="63" t="s">
        <v>1520</v>
      </c>
      <c r="G144" s="71" t="s">
        <v>1478</v>
      </c>
      <c r="H144" s="71"/>
      <c r="I144" s="66"/>
      <c r="J144" s="68"/>
      <c r="K144" s="68"/>
      <c r="L144" s="68"/>
      <c r="M144" s="68"/>
      <c r="N144" s="67"/>
      <c r="O144" s="88"/>
      <c r="P144" s="88"/>
      <c r="Q144" s="90"/>
      <c r="R144" s="72"/>
      <c r="S144" s="72"/>
      <c r="T144" s="72"/>
      <c r="U144" s="72"/>
      <c r="V144" s="72"/>
      <c r="W144" s="72"/>
      <c r="X144" s="72"/>
      <c r="Y144" s="72"/>
    </row>
    <row r="145">
      <c r="A145" s="60" t="s">
        <v>1521</v>
      </c>
      <c r="B145" s="61" t="str">
        <f>IFERROR(__xludf.DUMMYFUNCTION("""COMPUTED_VALUE"""),"Farr v Heckler")</f>
        <v>Farr v Heckler</v>
      </c>
      <c r="C145" s="63" t="str">
        <f>IFERROR(__xludf.DUMMYFUNCTION("""COMPUTED_VALUE"""),"112")</f>
        <v>112</v>
      </c>
      <c r="D145" s="79" t="str">
        <f>IFERROR(__xludf.DUMMYFUNCTION("""COMPUTED_VALUE"""),"Farr v. Heckler, 729 F.2d 1426, 1427-28 (11th Cir. 1984) (en banc)")</f>
        <v>Farr v. Heckler, 729 F.2d 1426, 1427-28 (11th Cir. 1984) (en banc)</v>
      </c>
      <c r="E145" s="74" t="s">
        <v>1233</v>
      </c>
      <c r="F145" s="63" t="s">
        <v>1522</v>
      </c>
      <c r="G145" s="71" t="s">
        <v>1478</v>
      </c>
      <c r="H145" s="71"/>
      <c r="I145" s="66"/>
      <c r="J145" s="68"/>
      <c r="K145" s="68"/>
      <c r="L145" s="68"/>
      <c r="M145" s="68"/>
      <c r="N145" s="67"/>
      <c r="O145" s="88"/>
      <c r="P145" s="88"/>
      <c r="Q145" s="90"/>
      <c r="R145" s="72"/>
      <c r="S145" s="72"/>
      <c r="T145" s="72"/>
      <c r="U145" s="72"/>
      <c r="V145" s="72"/>
      <c r="W145" s="72"/>
      <c r="X145" s="72"/>
      <c r="Y145" s="72"/>
    </row>
    <row r="146">
      <c r="A146" s="60" t="s">
        <v>1523</v>
      </c>
      <c r="B146" s="61" t="str">
        <f>IFERROR(__xludf.DUMMYFUNCTION("""COMPUTED_VALUE"""),"Eluska v Andrus")</f>
        <v>Eluska v Andrus</v>
      </c>
      <c r="C146" s="63" t="str">
        <f>IFERROR(__xludf.DUMMYFUNCTION("""COMPUTED_VALUE"""),"112")</f>
        <v>112</v>
      </c>
      <c r="D146" s="79" t="str">
        <f>IFERROR(__xludf.DUMMYFUNCTION("""COMPUTED_VALUE"""),"Eluska v. Andrus, 587 F.2d 996, 999-1002 (9th Cir. 1978)")</f>
        <v>Eluska v. Andrus, 587 F.2d 996, 999-1002 (9th Cir. 1978)</v>
      </c>
      <c r="E146" s="74" t="s">
        <v>1233</v>
      </c>
      <c r="F146" s="63" t="s">
        <v>1524</v>
      </c>
      <c r="G146" s="71" t="s">
        <v>1478</v>
      </c>
      <c r="H146" s="71"/>
      <c r="I146" s="66"/>
      <c r="J146" s="68"/>
      <c r="K146" s="68"/>
      <c r="L146" s="68"/>
      <c r="M146" s="68"/>
      <c r="N146" s="67"/>
      <c r="O146" s="88"/>
      <c r="P146" s="88"/>
      <c r="Q146" s="90"/>
      <c r="R146" s="72"/>
      <c r="S146" s="72"/>
      <c r="T146" s="72"/>
      <c r="U146" s="72"/>
      <c r="V146" s="72"/>
      <c r="W146" s="72"/>
      <c r="X146" s="72"/>
      <c r="Y146" s="72"/>
    </row>
    <row r="147">
      <c r="A147" s="60" t="s">
        <v>1525</v>
      </c>
      <c r="B147" s="61" t="str">
        <f>IFERROR(__xludf.DUMMYFUNCTION("""COMPUTED_VALUE"""),"Giordano v Roudebush")</f>
        <v>Giordano v Roudebush</v>
      </c>
      <c r="C147" s="63" t="str">
        <f>IFERROR(__xludf.DUMMYFUNCTION("""COMPUTED_VALUE"""),"112")</f>
        <v>112</v>
      </c>
      <c r="D147" s="79" t="str">
        <f>IFERROR(__xludf.DUMMYFUNCTION("""COMPUTED_VALUE"""),"Giordano v. Roudebush, 565 F.2d 1015, 1017-18 (8th Cir. 1977) (per curiam)")</f>
        <v>Giordano v. Roudebush, 565 F.2d 1015, 1017-18 (8th Cir. 1977) (per curiam)</v>
      </c>
      <c r="E147" s="74" t="s">
        <v>1233</v>
      </c>
      <c r="F147" s="63" t="s">
        <v>1526</v>
      </c>
      <c r="G147" s="71" t="s">
        <v>1478</v>
      </c>
      <c r="H147" s="71"/>
      <c r="I147" s="66"/>
      <c r="J147" s="68"/>
      <c r="K147" s="68"/>
      <c r="L147" s="68"/>
      <c r="M147" s="68"/>
      <c r="N147" s="67"/>
      <c r="O147" s="88"/>
      <c r="P147" s="88"/>
      <c r="Q147" s="90"/>
      <c r="R147" s="72"/>
      <c r="S147" s="72"/>
      <c r="T147" s="72"/>
      <c r="U147" s="72"/>
      <c r="V147" s="72"/>
      <c r="W147" s="72"/>
      <c r="X147" s="72"/>
      <c r="Y147" s="72"/>
    </row>
    <row r="148">
      <c r="A148" s="60" t="s">
        <v>1527</v>
      </c>
      <c r="B148" s="61" t="str">
        <f>IFERROR(__xludf.DUMMYFUNCTION("""COMPUTED_VALUE"""),"Occidental Petroleum Corp")</f>
        <v>Occidental Petroleum Corp</v>
      </c>
      <c r="C148" s="63" t="str">
        <f>IFERROR(__xludf.DUMMYFUNCTION("""COMPUTED_VALUE"""),"113")</f>
        <v>113</v>
      </c>
      <c r="D148" s="79" t="str">
        <f>IFERROR(__xludf.DUMMYFUNCTION("""COMPUTED_VALUE"""),"Occidental Petroleum Corp., 873 F.2d at 331-32")</f>
        <v>Occidental Petroleum Corp., 873 F.2d at 331-32</v>
      </c>
      <c r="E148" s="74" t="s">
        <v>1233</v>
      </c>
      <c r="F148" s="63" t="s">
        <v>1528</v>
      </c>
      <c r="G148" s="71" t="s">
        <v>1478</v>
      </c>
      <c r="H148" s="71"/>
      <c r="I148" s="66"/>
      <c r="J148" s="68"/>
      <c r="K148" s="68"/>
      <c r="L148" s="68"/>
      <c r="M148" s="68"/>
      <c r="N148" s="67"/>
      <c r="O148" s="88"/>
      <c r="P148" s="88"/>
      <c r="Q148" s="90"/>
      <c r="R148" s="72"/>
      <c r="S148" s="72"/>
      <c r="T148" s="72"/>
      <c r="U148" s="72"/>
      <c r="V148" s="72"/>
      <c r="W148" s="72"/>
      <c r="X148" s="72"/>
      <c r="Y148" s="72"/>
    </row>
    <row r="149">
      <c r="A149" s="60" t="s">
        <v>1529</v>
      </c>
      <c r="B149" s="61" t="str">
        <f>IFERROR(__xludf.DUMMYFUNCTION("""COMPUTED_VALUE"""),"Individuals")</f>
        <v>Individuals</v>
      </c>
      <c r="C149" s="63" t="str">
        <f>IFERROR(__xludf.DUMMYFUNCTION("""COMPUTED_VALUE"""),"115")</f>
        <v>115</v>
      </c>
      <c r="D149" s="79" t="str">
        <f>IFERROR(__xludf.DUMMYFUNCTION("""COMPUTED_VALUE"""),"Individuals with Disabilities Education Act (“IDEA”), 20 U.S.C. § 1400 et seq.")</f>
        <v>Individuals with Disabilities Education Act (“IDEA”), 20 U.S.C. § 1400 et seq.</v>
      </c>
      <c r="E149" s="74" t="s">
        <v>1233</v>
      </c>
      <c r="F149" s="63" t="s">
        <v>1530</v>
      </c>
      <c r="G149" s="71" t="s">
        <v>1478</v>
      </c>
      <c r="H149" s="71"/>
      <c r="I149" s="66"/>
      <c r="J149" s="68"/>
      <c r="K149" s="68"/>
      <c r="L149" s="68"/>
      <c r="M149" s="68"/>
      <c r="N149" s="67"/>
      <c r="O149" s="88"/>
      <c r="P149" s="88"/>
      <c r="Q149" s="90"/>
      <c r="R149" s="72"/>
      <c r="S149" s="72"/>
      <c r="T149" s="72"/>
      <c r="U149" s="72"/>
      <c r="V149" s="72"/>
      <c r="W149" s="72"/>
      <c r="X149" s="72"/>
      <c r="Y149" s="72"/>
    </row>
    <row r="150">
      <c r="A150" s="60" t="s">
        <v>1531</v>
      </c>
      <c r="B150" s="61" t="str">
        <f>IFERROR(__xludf.DUMMYFUNCTION("""COMPUTED_VALUE"""),"Cobb Cnty")</f>
        <v>Cobb Cnty</v>
      </c>
      <c r="C150" s="63" t="str">
        <f>IFERROR(__xludf.DUMMYFUNCTION("""COMPUTED_VALUE"""),"115")</f>
        <v>115</v>
      </c>
      <c r="D150" s="79" t="str">
        <f>IFERROR(__xludf.DUMMYFUNCTION("""COMPUTED_VALUE"""),"S.S. by and through A.S. v. Cobb Cnty. Sch. Dist., 43 F.4th 1165, 1171 (11th Cir. 2022)")</f>
        <v>S.S. by and through A.S. v. Cobb Cnty. Sch. Dist., 43 F.4th 1165, 1171 (11th Cir. 2022)</v>
      </c>
      <c r="E150" s="74" t="s">
        <v>1233</v>
      </c>
      <c r="F150" s="63" t="s">
        <v>1532</v>
      </c>
      <c r="G150" s="71" t="s">
        <v>1478</v>
      </c>
      <c r="H150" s="71"/>
      <c r="I150" s="66"/>
      <c r="J150" s="68"/>
      <c r="K150" s="68"/>
      <c r="L150" s="68"/>
      <c r="M150" s="68"/>
      <c r="N150" s="67"/>
      <c r="O150" s="88"/>
      <c r="P150" s="88"/>
      <c r="Q150" s="90"/>
      <c r="R150" s="72"/>
      <c r="S150" s="72"/>
      <c r="T150" s="72"/>
      <c r="U150" s="72"/>
      <c r="V150" s="72"/>
      <c r="W150" s="72"/>
      <c r="X150" s="72"/>
      <c r="Y150" s="72"/>
    </row>
    <row r="151">
      <c r="A151" s="60" t="s">
        <v>1533</v>
      </c>
      <c r="B151" s="61" t="str">
        <f>IFERROR(__xludf.DUMMYFUNCTION("""COMPUTED_VALUE"""),"Shapiro v Paradise Valley Unified SCH Dist")</f>
        <v>Shapiro v Paradise Valley Unified SCH Dist</v>
      </c>
      <c r="C151" s="63" t="str">
        <f>IFERROR(__xludf.DUMMYFUNCTION("""COMPUTED_VALUE"""),"115")</f>
        <v>115</v>
      </c>
      <c r="D151" s="79" t="str">
        <f>IFERROR(__xludf.DUMMYFUNCTION("""COMPUTED_VALUE"""),"Shapiro v. Paradise Valley Unified Sch. Dist., 152 F.3d 1159, 1160-61 (9th Cir. 1998) (per curiam)")</f>
        <v>Shapiro v. Paradise Valley Unified Sch. Dist., 152 F.3d 1159, 1160-61 (9th Cir. 1998) (per curiam)</v>
      </c>
      <c r="E151" s="74" t="s">
        <v>1233</v>
      </c>
      <c r="F151" s="63" t="s">
        <v>1534</v>
      </c>
      <c r="G151" s="71" t="s">
        <v>1478</v>
      </c>
      <c r="H151" s="71"/>
      <c r="I151" s="66"/>
      <c r="J151" s="68"/>
      <c r="K151" s="68"/>
      <c r="L151" s="68"/>
      <c r="M151" s="68"/>
      <c r="N151" s="67"/>
      <c r="O151" s="88"/>
      <c r="P151" s="88"/>
      <c r="Q151" s="90"/>
      <c r="R151" s="72"/>
      <c r="S151" s="72"/>
      <c r="T151" s="72"/>
      <c r="U151" s="72"/>
      <c r="V151" s="72"/>
      <c r="W151" s="72"/>
      <c r="X151" s="72"/>
      <c r="Y151" s="72"/>
    </row>
    <row r="152">
      <c r="A152" s="60" t="s">
        <v>1535</v>
      </c>
      <c r="B152" s="61" t="str">
        <f>IFERROR(__xludf.DUMMYFUNCTION("""COMPUTED_VALUE"""),"Mead v Reliastar Life Ins Co")</f>
        <v>Mead v Reliastar Life Ins Co</v>
      </c>
      <c r="C152" s="63" t="str">
        <f>IFERROR(__xludf.DUMMYFUNCTION("""COMPUTED_VALUE"""),"115")</f>
        <v>115</v>
      </c>
      <c r="D152" s="79" t="str">
        <f>IFERROR(__xludf.DUMMYFUNCTION("""COMPUTED_VALUE"""),"Mead v. Reliastar Life Ins. Co., 768 F.3d 102, 108 (2d Cir. 2014)")</f>
        <v>Mead v. Reliastar Life Ins. Co., 768 F.3d 102, 108 (2d Cir. 2014)</v>
      </c>
      <c r="E152" s="74" t="s">
        <v>1233</v>
      </c>
      <c r="F152" s="63" t="s">
        <v>1536</v>
      </c>
      <c r="G152" s="71" t="s">
        <v>1478</v>
      </c>
      <c r="H152" s="71"/>
      <c r="I152" s="66"/>
      <c r="J152" s="68"/>
      <c r="K152" s="68"/>
      <c r="L152" s="68"/>
      <c r="M152" s="68"/>
      <c r="N152" s="67"/>
      <c r="O152" s="88"/>
      <c r="P152" s="88"/>
      <c r="Q152" s="90"/>
      <c r="R152" s="72"/>
      <c r="S152" s="72"/>
      <c r="T152" s="72"/>
      <c r="U152" s="72"/>
      <c r="V152" s="72"/>
      <c r="W152" s="72"/>
      <c r="X152" s="72"/>
      <c r="Y152" s="72"/>
    </row>
    <row r="153">
      <c r="A153" s="60" t="s">
        <v>1537</v>
      </c>
      <c r="B153" s="61" t="str">
        <f>IFERROR(__xludf.DUMMYFUNCTION("""COMPUTED_VALUE"""),"World Fuel Corp v Geithner")</f>
        <v>World Fuel Corp v Geithner</v>
      </c>
      <c r="C153" s="63" t="str">
        <f>IFERROR(__xludf.DUMMYFUNCTION("""COMPUTED_VALUE"""),"115")</f>
        <v>115</v>
      </c>
      <c r="D153" s="79" t="str">
        <f>IFERROR(__xludf.DUMMYFUNCTION("""COMPUTED_VALUE"""),"World Fuel Corp. v. Geithner, 568 F.3d 1345, 1349 (11th Cir. 2009)")</f>
        <v>World Fuel Corp. v. Geithner, 568 F.3d 1345, 1349 (11th Cir. 2009)</v>
      </c>
      <c r="E153" s="74" t="s">
        <v>1233</v>
      </c>
      <c r="F153" s="63" t="s">
        <v>1538</v>
      </c>
      <c r="G153" s="71" t="s">
        <v>1478</v>
      </c>
      <c r="H153" s="71"/>
      <c r="I153" s="66"/>
      <c r="J153" s="68"/>
      <c r="K153" s="68"/>
      <c r="L153" s="68"/>
      <c r="M153" s="68"/>
      <c r="N153" s="67"/>
      <c r="O153" s="88"/>
      <c r="P153" s="88"/>
      <c r="Q153" s="90"/>
      <c r="R153" s="72"/>
      <c r="S153" s="72"/>
      <c r="T153" s="72"/>
      <c r="U153" s="72"/>
      <c r="V153" s="72"/>
      <c r="W153" s="72"/>
      <c r="X153" s="72"/>
      <c r="Y153" s="72"/>
    </row>
    <row r="154">
      <c r="A154" s="60" t="s">
        <v>1539</v>
      </c>
      <c r="B154" s="61" t="str">
        <f>IFERROR(__xludf.DUMMYFUNCTION("""COMPUTED_VALUE"""),"Miami Tribe")</f>
        <v>Miami Tribe</v>
      </c>
      <c r="C154" s="63" t="str">
        <f>IFERROR(__xludf.DUMMYFUNCTION("""COMPUTED_VALUE"""),"115")</f>
        <v>115</v>
      </c>
      <c r="D154" s="79" t="str">
        <f>IFERROR(__xludf.DUMMYFUNCTION("""COMPUTED_VALUE"""),"Miami Tribe of Okla. v. United States, 656 F.3d 1129, 1140 (10th Cir. 2011)")</f>
        <v>Miami Tribe of Okla. v. United States, 656 F.3d 1129, 1140 (10th Cir. 2011)</v>
      </c>
      <c r="E154" s="74" t="s">
        <v>1233</v>
      </c>
      <c r="F154" s="63" t="s">
        <v>1540</v>
      </c>
      <c r="G154" s="71" t="s">
        <v>1478</v>
      </c>
      <c r="H154" s="71"/>
      <c r="I154" s="66"/>
      <c r="J154" s="68"/>
      <c r="K154" s="68"/>
      <c r="L154" s="68"/>
      <c r="M154" s="68"/>
      <c r="N154" s="67"/>
      <c r="O154" s="88"/>
      <c r="P154" s="88"/>
      <c r="Q154" s="90"/>
      <c r="R154" s="72"/>
      <c r="S154" s="72"/>
      <c r="T154" s="72"/>
      <c r="U154" s="72"/>
      <c r="V154" s="72"/>
      <c r="W154" s="72"/>
      <c r="X154" s="72"/>
      <c r="Y154" s="72"/>
    </row>
    <row r="155">
      <c r="A155" s="60" t="s">
        <v>1541</v>
      </c>
      <c r="B155" s="61" t="str">
        <f>IFERROR(__xludf.DUMMYFUNCTION("""COMPUTED_VALUE"""),"Nat'l Air Traffic Controllers")</f>
        <v>Nat'l Air Traffic Controllers</v>
      </c>
      <c r="C155" s="63" t="str">
        <f>IFERROR(__xludf.DUMMYFUNCTION("""COMPUTED_VALUE"""),"115")</f>
        <v>115</v>
      </c>
      <c r="D155" s="79" t="str">
        <f>IFERROR(__xludf.DUMMYFUNCTION("""COMPUTED_VALUE"""),"Nat’l Air Traffic Controllers Ass’n v. Sec’y of Transp., No. 06-3466, 2007 WL 2141941, *3 (6th Cir. 2007) (per curiam)")</f>
        <v>Nat’l Air Traffic Controllers Ass’n v. Sec’y of Transp., No. 06-3466, 2007 WL 2141941, *3 (6th Cir. 2007) (per curiam)</v>
      </c>
      <c r="E155" s="74" t="s">
        <v>1233</v>
      </c>
      <c r="F155" s="63" t="s">
        <v>1542</v>
      </c>
      <c r="G155" s="71" t="s">
        <v>1478</v>
      </c>
      <c r="H155" s="71"/>
      <c r="I155" s="66"/>
      <c r="J155" s="68"/>
      <c r="K155" s="68"/>
      <c r="L155" s="68"/>
      <c r="M155" s="68"/>
      <c r="N155" s="67"/>
      <c r="O155" s="88"/>
      <c r="P155" s="88"/>
      <c r="Q155" s="90"/>
      <c r="R155" s="72"/>
      <c r="S155" s="72"/>
      <c r="T155" s="72"/>
      <c r="U155" s="72"/>
      <c r="V155" s="72"/>
      <c r="W155" s="72"/>
      <c r="X155" s="72"/>
      <c r="Y155" s="72"/>
    </row>
    <row r="156">
      <c r="A156" s="60" t="s">
        <v>1543</v>
      </c>
      <c r="B156" s="61" t="str">
        <f>IFERROR(__xludf.DUMMYFUNCTION("""COMPUTED_VALUE"""),"Supra Notes 98-115 and Accompanying Text")</f>
        <v>Supra Notes 98-115 and Accompanying Text</v>
      </c>
      <c r="C156" s="63" t="str">
        <f>IFERROR(__xludf.DUMMYFUNCTION("""COMPUTED_VALUE"""),"116")</f>
        <v>116</v>
      </c>
      <c r="D156" s="79" t="str">
        <f>IFERROR(__xludf.DUMMYFUNCTION("""COMPUTED_VALUE"""),"supra notes 98-115 and accompanying text")</f>
        <v>supra notes 98-115 and accompanying text</v>
      </c>
      <c r="E156" s="74" t="s">
        <v>1233</v>
      </c>
      <c r="F156" s="63" t="s">
        <v>1544</v>
      </c>
      <c r="G156" s="71" t="s">
        <v>1478</v>
      </c>
      <c r="H156" s="71"/>
      <c r="I156" s="66"/>
      <c r="J156" s="68"/>
      <c r="K156" s="68"/>
      <c r="L156" s="68"/>
      <c r="M156" s="68"/>
      <c r="N156" s="67"/>
      <c r="O156" s="88"/>
      <c r="P156" s="88"/>
      <c r="Q156" s="90"/>
      <c r="R156" s="72"/>
      <c r="S156" s="72"/>
      <c r="T156" s="72"/>
      <c r="U156" s="72"/>
      <c r="V156" s="72"/>
      <c r="W156" s="72"/>
      <c r="X156" s="72"/>
      <c r="Y156" s="72"/>
    </row>
    <row r="157">
      <c r="A157" s="60" t="s">
        <v>1545</v>
      </c>
      <c r="B157" s="61" t="str">
        <f>IFERROR(__xludf.DUMMYFUNCTION("""COMPUTED_VALUE"""),"Cotton Petroleum Corp")</f>
        <v>Cotton Petroleum Corp</v>
      </c>
      <c r="C157" s="63" t="str">
        <f>IFERROR(__xludf.DUMMYFUNCTION("""COMPUTED_VALUE"""),"116")</f>
        <v>116</v>
      </c>
      <c r="D157" s="79" t="str">
        <f>IFERROR(__xludf.DUMMYFUNCTION("""COMPUTED_VALUE"""),"Cotton Petroleum Corp. v. U.S. Dep’t of the Interior, Bureau of Indian Affairs, 870 F.2d 1515, 1521-22 (10th Cir. 1989)")</f>
        <v>Cotton Petroleum Corp. v. U.S. Dep’t of the Interior, Bureau of Indian Affairs, 870 F.2d 1515, 1521-22 (10th Cir. 1989)</v>
      </c>
      <c r="E157" s="74" t="s">
        <v>1233</v>
      </c>
      <c r="F157" s="63" t="s">
        <v>1546</v>
      </c>
      <c r="G157" s="71" t="s">
        <v>1478</v>
      </c>
      <c r="H157" s="71"/>
      <c r="I157" s="66"/>
      <c r="J157" s="68"/>
      <c r="K157" s="68"/>
      <c r="L157" s="68"/>
      <c r="M157" s="68"/>
      <c r="N157" s="67"/>
      <c r="O157" s="88"/>
      <c r="P157" s="88"/>
      <c r="Q157" s="90"/>
      <c r="R157" s="72"/>
      <c r="S157" s="72"/>
      <c r="T157" s="72"/>
      <c r="U157" s="72"/>
      <c r="V157" s="72"/>
      <c r="W157" s="72"/>
      <c r="X157" s="72"/>
      <c r="Y157" s="72"/>
    </row>
    <row r="158">
      <c r="A158" s="60" t="s">
        <v>1547</v>
      </c>
      <c r="B158" s="61" t="str">
        <f>IFERROR(__xludf.DUMMYFUNCTION("""COMPUTED_VALUE"""),"Infra Notes 177")</f>
        <v>Infra Notes 177</v>
      </c>
      <c r="C158" s="63" t="str">
        <f>IFERROR(__xludf.DUMMYFUNCTION("""COMPUTED_VALUE"""),"116")</f>
        <v>116</v>
      </c>
      <c r="D158" s="79" t="str">
        <f>IFERROR(__xludf.DUMMYFUNCTION("""COMPUTED_VALUE"""),"infra notes 177, 194, 325 and accompanying text")</f>
        <v>infra notes 177, 194, 325 and accompanying text</v>
      </c>
      <c r="E158" s="74" t="s">
        <v>1233</v>
      </c>
      <c r="F158" s="63" t="s">
        <v>1548</v>
      </c>
      <c r="G158" s="71" t="s">
        <v>1478</v>
      </c>
      <c r="H158" s="71"/>
      <c r="I158" s="66"/>
      <c r="J158" s="68"/>
      <c r="K158" s="68"/>
      <c r="L158" s="68"/>
      <c r="M158" s="68"/>
      <c r="N158" s="67"/>
      <c r="O158" s="88"/>
      <c r="P158" s="88"/>
      <c r="Q158" s="90"/>
      <c r="R158" s="72"/>
      <c r="S158" s="72"/>
      <c r="T158" s="72"/>
      <c r="U158" s="72"/>
      <c r="V158" s="72"/>
      <c r="W158" s="72"/>
      <c r="X158" s="72"/>
      <c r="Y158" s="72"/>
    </row>
    <row r="159">
      <c r="A159" s="60" t="s">
        <v>1549</v>
      </c>
      <c r="B159" s="61" t="str">
        <f>IFERROR(__xludf.DUMMYFUNCTION("""COMPUTED_VALUE"""),"Infra Notes 134-194 and Accompanying Text")</f>
        <v>Infra Notes 134-194 and Accompanying Text</v>
      </c>
      <c r="C159" s="63" t="str">
        <f>IFERROR(__xludf.DUMMYFUNCTION("""COMPUTED_VALUE"""),"117")</f>
        <v>117</v>
      </c>
      <c r="D159" s="79" t="str">
        <f>IFERROR(__xludf.DUMMYFUNCTION("""COMPUTED_VALUE"""),"infra notes 134-194 and accompanying text")</f>
        <v>infra notes 134-194 and accompanying text</v>
      </c>
      <c r="E159" s="74" t="s">
        <v>1233</v>
      </c>
      <c r="F159" s="63" t="s">
        <v>1550</v>
      </c>
      <c r="G159" s="71" t="s">
        <v>1478</v>
      </c>
      <c r="H159" s="71"/>
      <c r="I159" s="66"/>
      <c r="J159" s="68"/>
      <c r="K159" s="68"/>
      <c r="L159" s="68"/>
      <c r="M159" s="68"/>
      <c r="N159" s="67"/>
      <c r="O159" s="88"/>
      <c r="P159" s="88"/>
      <c r="Q159" s="90"/>
      <c r="R159" s="72"/>
      <c r="S159" s="72"/>
      <c r="T159" s="72"/>
      <c r="U159" s="72"/>
      <c r="V159" s="72"/>
      <c r="W159" s="72"/>
      <c r="X159" s="72"/>
      <c r="Y159" s="72"/>
    </row>
    <row r="160">
      <c r="A160" s="60" t="s">
        <v>1551</v>
      </c>
      <c r="B160" s="61" t="str">
        <f>IFERROR(__xludf.DUMMYFUNCTION("""COMPUTED_VALUE"""),"Billboard (1987)")</f>
        <v>Billboard (1987)</v>
      </c>
      <c r="C160" s="63" t="str">
        <f>IFERROR(__xludf.DUMMYFUNCTION("""COMPUTED_VALUE"""),"119")</f>
        <v>119</v>
      </c>
      <c r="D160" s="76" t="str">
        <f>IFERROR(__xludf.DUMMYFUNCTION("""COMPUTED_VALUE"""),"https://books.google.com/books?id=JCgEAAAAMBAJ&amp;pg=RA1-PA25#v=onepage&amp;q&amp;f=false")</f>
        <v>https://books.google.com/books?id=JCgEAAAAMBAJ&amp;pg=RA1-PA25#v=onepage&amp;q&amp;f=false</v>
      </c>
      <c r="E160" s="74" t="s">
        <v>1233</v>
      </c>
      <c r="F160" s="63" t="s">
        <v>1552</v>
      </c>
      <c r="G160" s="71" t="s">
        <v>1478</v>
      </c>
      <c r="H160" s="71"/>
      <c r="I160" s="66"/>
      <c r="J160" s="68"/>
      <c r="K160" s="68"/>
      <c r="L160" s="68"/>
      <c r="M160" s="68"/>
      <c r="N160" s="67"/>
      <c r="O160" s="88"/>
      <c r="P160" s="88"/>
      <c r="Q160" s="90"/>
      <c r="R160" s="72"/>
      <c r="S160" s="72"/>
      <c r="T160" s="72"/>
      <c r="U160" s="72"/>
      <c r="V160" s="72"/>
      <c r="W160" s="72"/>
      <c r="X160" s="72"/>
      <c r="Y160" s="72"/>
    </row>
    <row r="161">
      <c r="A161" s="60" t="s">
        <v>1553</v>
      </c>
      <c r="B161" s="61" t="str">
        <f>IFERROR(__xludf.DUMMYFUNCTION("""COMPUTED_VALUE"""),"Billboard (1976)")</f>
        <v>Billboard (1976)</v>
      </c>
      <c r="C161" s="63" t="str">
        <f>IFERROR(__xludf.DUMMYFUNCTION("""COMPUTED_VALUE"""),"001")</f>
        <v>001</v>
      </c>
      <c r="D161" s="76" t="str">
        <f>IFERROR(__xludf.DUMMYFUNCTION("""COMPUTED_VALUE"""),"https://books.google.com/books?id=xCQEAAAAMBAJ&amp;pg=PT43#v=onepage&amp;q&amp;f=false")</f>
        <v>https://books.google.com/books?id=xCQEAAAAMBAJ&amp;pg=PT43#v=onepage&amp;q&amp;f=false</v>
      </c>
      <c r="E161" s="74" t="s">
        <v>1233</v>
      </c>
      <c r="F161" s="63" t="s">
        <v>1554</v>
      </c>
      <c r="G161" s="71" t="s">
        <v>1478</v>
      </c>
      <c r="H161" s="71"/>
      <c r="I161" s="66"/>
      <c r="J161" s="68"/>
      <c r="K161" s="68"/>
      <c r="L161" s="68"/>
      <c r="M161" s="68"/>
      <c r="N161" s="67"/>
      <c r="O161" s="88"/>
      <c r="P161" s="88"/>
      <c r="Q161" s="90"/>
      <c r="R161" s="72"/>
      <c r="S161" s="72"/>
      <c r="T161" s="72"/>
      <c r="U161" s="72"/>
      <c r="V161" s="72"/>
      <c r="W161" s="72"/>
      <c r="X161" s="72"/>
      <c r="Y161" s="72"/>
    </row>
    <row r="162">
      <c r="A162" s="60" t="s">
        <v>1555</v>
      </c>
      <c r="B162" s="61" t="str">
        <f>IFERROR(__xludf.DUMMYFUNCTION("""COMPUTED_VALUE"""),"Paluso")</f>
        <v>Paluso</v>
      </c>
      <c r="C162" s="63" t="str">
        <f>IFERROR(__xludf.DUMMYFUNCTION("""COMPUTED_VALUE"""),"124")</f>
        <v>124</v>
      </c>
      <c r="D162" s="79" t="str">
        <f>IFERROR(__xludf.DUMMYFUNCTION("""COMPUTED_VALUE"""),"Paluso, 573 F.2d at 8")</f>
        <v>Paluso, 573 F.2d at 8</v>
      </c>
      <c r="E162" s="74" t="s">
        <v>1233</v>
      </c>
      <c r="F162" s="63" t="s">
        <v>1556</v>
      </c>
      <c r="G162" s="71" t="s">
        <v>1478</v>
      </c>
      <c r="H162" s="71"/>
      <c r="I162" s="66"/>
      <c r="J162" s="68"/>
      <c r="K162" s="68"/>
      <c r="L162" s="68"/>
      <c r="M162" s="68"/>
      <c r="N162" s="67"/>
      <c r="O162" s="88"/>
      <c r="P162" s="88"/>
      <c r="Q162" s="90"/>
      <c r="R162" s="72"/>
      <c r="S162" s="72"/>
      <c r="T162" s="72"/>
      <c r="U162" s="72"/>
      <c r="V162" s="72"/>
      <c r="W162" s="72"/>
      <c r="X162" s="72"/>
      <c r="Y162" s="72"/>
    </row>
    <row r="163">
      <c r="A163" s="60" t="s">
        <v>1557</v>
      </c>
      <c r="B163" s="61" t="str">
        <f>IFERROR(__xludf.DUMMYFUNCTION("""COMPUTED_VALUE"""),"Howell")</f>
        <v>Howell</v>
      </c>
      <c r="C163" s="63" t="str">
        <f>IFERROR(__xludf.DUMMYFUNCTION("""COMPUTED_VALUE"""),"126")</f>
        <v>126</v>
      </c>
      <c r="D163" s="79" t="str">
        <f>IFERROR(__xludf.DUMMYFUNCTION("""COMPUTED_VALUE"""),"Howell, 699 F.2d at 526")</f>
        <v>Howell, 699 F.2d at 526</v>
      </c>
      <c r="E163" s="74" t="s">
        <v>1233</v>
      </c>
      <c r="F163" s="63" t="s">
        <v>1558</v>
      </c>
      <c r="G163" s="71" t="s">
        <v>1559</v>
      </c>
      <c r="H163" s="71"/>
      <c r="I163" s="66"/>
      <c r="J163" s="68"/>
      <c r="K163" s="68"/>
      <c r="L163" s="68"/>
      <c r="M163" s="68"/>
      <c r="N163" s="67"/>
      <c r="O163" s="88"/>
      <c r="P163" s="88"/>
      <c r="Q163" s="90"/>
      <c r="R163" s="72"/>
      <c r="S163" s="72"/>
      <c r="T163" s="72"/>
      <c r="U163" s="72"/>
      <c r="V163" s="72"/>
      <c r="W163" s="72"/>
      <c r="X163" s="72"/>
      <c r="Y163" s="72"/>
    </row>
    <row r="164">
      <c r="A164" s="60" t="s">
        <v>1560</v>
      </c>
      <c r="B164" s="61" t="str">
        <f>IFERROR(__xludf.DUMMYFUNCTION("""COMPUTED_VALUE"""),"Supra Note 51 and Accompanying Text")</f>
        <v>Supra Note 51 and Accompanying Text</v>
      </c>
      <c r="C164" s="63" t="str">
        <f>IFERROR(__xludf.DUMMYFUNCTION("""COMPUTED_VALUE"""),"128")</f>
        <v>128</v>
      </c>
      <c r="D164" s="79" t="str">
        <f>IFERROR(__xludf.DUMMYFUNCTION("""COMPUTED_VALUE"""),"supra note 51 and accompanying text")</f>
        <v>supra note 51 and accompanying text</v>
      </c>
      <c r="E164" s="74" t="s">
        <v>1233</v>
      </c>
      <c r="F164" s="63" t="s">
        <v>1561</v>
      </c>
      <c r="G164" s="71" t="s">
        <v>1559</v>
      </c>
      <c r="H164" s="71"/>
      <c r="I164" s="66"/>
      <c r="J164" s="68"/>
      <c r="K164" s="68"/>
      <c r="L164" s="68"/>
      <c r="M164" s="68"/>
      <c r="N164" s="67"/>
      <c r="O164" s="88"/>
      <c r="P164" s="88"/>
      <c r="Q164" s="90"/>
      <c r="R164" s="72"/>
      <c r="S164" s="72"/>
      <c r="T164" s="72"/>
      <c r="U164" s="72"/>
      <c r="V164" s="72"/>
      <c r="W164" s="72"/>
      <c r="X164" s="72"/>
      <c r="Y164" s="72"/>
    </row>
    <row r="165">
      <c r="A165" s="60" t="s">
        <v>1562</v>
      </c>
      <c r="B165" s="61" t="str">
        <f>IFERROR(__xludf.DUMMYFUNCTION("""COMPUTED_VALUE"""),"Infra Notes 183-185 and Accompanying Text")</f>
        <v>Infra Notes 183-185 and Accompanying Text</v>
      </c>
      <c r="C165" s="63" t="str">
        <f>IFERROR(__xludf.DUMMYFUNCTION("""COMPUTED_VALUE"""),"129")</f>
        <v>129</v>
      </c>
      <c r="D165" s="79" t="str">
        <f>IFERROR(__xludf.DUMMYFUNCTION("""COMPUTED_VALUE"""),"infra notes 183-185 and accompanying text")</f>
        <v>infra notes 183-185 and accompanying text</v>
      </c>
      <c r="E165" s="74" t="s">
        <v>1233</v>
      </c>
      <c r="F165" s="63" t="s">
        <v>1563</v>
      </c>
      <c r="G165" s="71" t="s">
        <v>1559</v>
      </c>
      <c r="H165" s="71"/>
      <c r="I165" s="66"/>
      <c r="J165" s="68"/>
      <c r="K165" s="68"/>
      <c r="L165" s="68"/>
      <c r="M165" s="68"/>
      <c r="N165" s="67"/>
      <c r="O165" s="88"/>
      <c r="P165" s="88"/>
      <c r="Q165" s="90"/>
      <c r="R165" s="72"/>
      <c r="S165" s="72"/>
      <c r="T165" s="72"/>
      <c r="U165" s="72"/>
      <c r="V165" s="72"/>
      <c r="W165" s="72"/>
      <c r="X165" s="72"/>
      <c r="Y165" s="72"/>
    </row>
    <row r="166">
      <c r="A166" s="60" t="s">
        <v>1564</v>
      </c>
      <c r="B166" s="61" t="str">
        <f>IFERROR(__xludf.DUMMYFUNCTION("""COMPUTED_VALUE"""),"Infra Notes 186-187 and Accompanying Text")</f>
        <v>Infra Notes 186-187 and Accompanying Text</v>
      </c>
      <c r="C166" s="63" t="str">
        <f>IFERROR(__xludf.DUMMYFUNCTION("""COMPUTED_VALUE"""),"130")</f>
        <v>130</v>
      </c>
      <c r="D166" s="79" t="str">
        <f>IFERROR(__xludf.DUMMYFUNCTION("""COMPUTED_VALUE"""),"infra notes 186-187 and accompanying text")</f>
        <v>infra notes 186-187 and accompanying text</v>
      </c>
      <c r="E166" s="74" t="s">
        <v>1233</v>
      </c>
      <c r="F166" s="63" t="s">
        <v>1565</v>
      </c>
      <c r="G166" s="71" t="s">
        <v>1559</v>
      </c>
      <c r="H166" s="71"/>
      <c r="I166" s="66"/>
      <c r="J166" s="68"/>
      <c r="K166" s="68"/>
      <c r="L166" s="68"/>
      <c r="M166" s="68"/>
      <c r="N166" s="67"/>
      <c r="O166" s="88"/>
      <c r="P166" s="88"/>
      <c r="Q166" s="90"/>
      <c r="R166" s="72"/>
      <c r="S166" s="72"/>
      <c r="T166" s="72"/>
      <c r="U166" s="72"/>
      <c r="V166" s="72"/>
      <c r="W166" s="72"/>
      <c r="X166" s="72"/>
      <c r="Y166" s="72"/>
    </row>
    <row r="167">
      <c r="A167" s="60" t="s">
        <v>1566</v>
      </c>
      <c r="B167" s="61" t="str">
        <f>IFERROR(__xludf.DUMMYFUNCTION("""COMPUTED_VALUE"""),"Infra Note 182 and Accompanying Text")</f>
        <v>Infra Note 182 and Accompanying Text</v>
      </c>
      <c r="C167" s="63" t="str">
        <f>IFERROR(__xludf.DUMMYFUNCTION("""COMPUTED_VALUE"""),"133")</f>
        <v>133</v>
      </c>
      <c r="D167" s="79" t="str">
        <f>IFERROR(__xludf.DUMMYFUNCTION("""COMPUTED_VALUE"""),"infra note 182 and accompanying text")</f>
        <v>infra note 182 and accompanying text</v>
      </c>
      <c r="E167" s="74" t="s">
        <v>1233</v>
      </c>
      <c r="F167" s="63" t="s">
        <v>1567</v>
      </c>
      <c r="G167" s="71" t="s">
        <v>1559</v>
      </c>
      <c r="H167" s="71"/>
      <c r="I167" s="66"/>
      <c r="J167" s="68"/>
      <c r="K167" s="68"/>
      <c r="L167" s="68"/>
      <c r="M167" s="68"/>
      <c r="N167" s="67"/>
      <c r="O167" s="88"/>
      <c r="P167" s="88"/>
      <c r="Q167" s="90"/>
      <c r="R167" s="72"/>
      <c r="S167" s="72"/>
      <c r="T167" s="72"/>
      <c r="U167" s="72"/>
      <c r="V167" s="72"/>
      <c r="W167" s="72"/>
      <c r="X167" s="72"/>
      <c r="Y167" s="72"/>
    </row>
    <row r="168">
      <c r="A168" s="60" t="s">
        <v>1568</v>
      </c>
      <c r="B168" s="61" t="str">
        <f>IFERROR(__xludf.DUMMYFUNCTION("""COMPUTED_VALUE"""),"Sierra Club v US Dep't of Agric")</f>
        <v>Sierra Club v US Dep't of Agric</v>
      </c>
      <c r="C168" s="63" t="str">
        <f>IFERROR(__xludf.DUMMYFUNCTION("""COMPUTED_VALUE"""),"134")</f>
        <v>134</v>
      </c>
      <c r="D168" s="79" t="str">
        <f>IFERROR(__xludf.DUMMYFUNCTION("""COMPUTED_VALUE"""),"Sierra Club v. U.S. Dep’t of Agric., 716 F.3d 653, 656-57 (D.C. Cir. 2013)")</f>
        <v>Sierra Club v. U.S. Dep’t of Agric., 716 F.3d 653, 656-57 (D.C. Cir. 2013)</v>
      </c>
      <c r="E168" s="74" t="s">
        <v>1233</v>
      </c>
      <c r="F168" s="63" t="s">
        <v>1569</v>
      </c>
      <c r="G168" s="71" t="s">
        <v>1559</v>
      </c>
      <c r="H168" s="71"/>
      <c r="I168" s="66"/>
      <c r="J168" s="68"/>
      <c r="K168" s="68"/>
      <c r="L168" s="68"/>
      <c r="M168" s="68"/>
      <c r="N168" s="67"/>
      <c r="O168" s="88"/>
      <c r="P168" s="88"/>
      <c r="Q168" s="90"/>
      <c r="R168" s="72"/>
      <c r="S168" s="72"/>
      <c r="T168" s="72"/>
      <c r="U168" s="72"/>
      <c r="V168" s="72"/>
      <c r="W168" s="72"/>
      <c r="X168" s="72"/>
      <c r="Y168" s="72"/>
    </row>
    <row r="169">
      <c r="A169" s="60" t="s">
        <v>1570</v>
      </c>
      <c r="B169" s="61" t="str">
        <f>IFERROR(__xludf.DUMMYFUNCTION("""COMPUTED_VALUE"""),"N Air Cargo v US Postal Serv")</f>
        <v>N Air Cargo v US Postal Serv</v>
      </c>
      <c r="C169" s="63" t="str">
        <f>IFERROR(__xludf.DUMMYFUNCTION("""COMPUTED_VALUE"""),"134")</f>
        <v>134</v>
      </c>
      <c r="D169" s="79" t="str">
        <f>IFERROR(__xludf.DUMMYFUNCTION("""COMPUTED_VALUE"""),"N. Air Cargo v. U.S. Postal Serv., 674 F.3d 852, 857 (D.C. Cir. 2012)")</f>
        <v>N. Air Cargo v. U.S. Postal Serv., 674 F.3d 852, 857 (D.C. Cir. 2012)</v>
      </c>
      <c r="E169" s="74" t="s">
        <v>1233</v>
      </c>
      <c r="F169" s="63" t="s">
        <v>1571</v>
      </c>
      <c r="G169" s="71" t="s">
        <v>1559</v>
      </c>
      <c r="H169" s="71"/>
      <c r="I169" s="66"/>
      <c r="J169" s="68"/>
      <c r="K169" s="68"/>
      <c r="L169" s="68"/>
      <c r="M169" s="68"/>
      <c r="N169" s="67"/>
      <c r="O169" s="88"/>
      <c r="P169" s="88"/>
      <c r="Q169" s="90"/>
      <c r="R169" s="72"/>
      <c r="S169" s="72"/>
      <c r="T169" s="72"/>
      <c r="U169" s="72"/>
      <c r="V169" s="72"/>
      <c r="W169" s="72"/>
      <c r="X169" s="72"/>
      <c r="Y169" s="72"/>
    </row>
    <row r="170">
      <c r="A170" s="60" t="s">
        <v>1572</v>
      </c>
      <c r="B170" s="61" t="str">
        <f>IFERROR(__xludf.DUMMYFUNCTION("""COMPUTED_VALUE"""),"NC Fisheries Ass'n v Gutierrez")</f>
        <v>NC Fisheries Ass'n v Gutierrez</v>
      </c>
      <c r="C170" s="63" t="str">
        <f>IFERROR(__xludf.DUMMYFUNCTION("""COMPUTED_VALUE"""),"135")</f>
        <v>135</v>
      </c>
      <c r="D170" s="79" t="str">
        <f>IFERROR(__xludf.DUMMYFUNCTION("""COMPUTED_VALUE"""),"N.C. Fisheries Ass’n v. Gutierrez, 550 F.3d 16, 19-20 (D.C. Cir. 2008)")</f>
        <v>N.C. Fisheries Ass’n v. Gutierrez, 550 F.3d 16, 19-20 (D.C. Cir. 2008)</v>
      </c>
      <c r="E170" s="74" t="s">
        <v>1233</v>
      </c>
      <c r="F170" s="63" t="s">
        <v>1573</v>
      </c>
      <c r="G170" s="71" t="s">
        <v>1559</v>
      </c>
      <c r="H170" s="71"/>
      <c r="I170" s="66"/>
      <c r="J170" s="68"/>
      <c r="K170" s="68"/>
      <c r="L170" s="68"/>
      <c r="M170" s="68"/>
      <c r="N170" s="67"/>
      <c r="O170" s="88"/>
      <c r="P170" s="88"/>
      <c r="Q170" s="90"/>
      <c r="R170" s="72"/>
      <c r="S170" s="72"/>
      <c r="T170" s="72"/>
      <c r="U170" s="72"/>
      <c r="V170" s="72"/>
      <c r="W170" s="72"/>
      <c r="X170" s="72"/>
      <c r="Y170" s="72"/>
    </row>
    <row r="171">
      <c r="A171" s="60" t="s">
        <v>1574</v>
      </c>
      <c r="B171" s="61" t="str">
        <f>IFERROR(__xludf.DUMMYFUNCTION("""COMPUTED_VALUE"""),"Lake Pilots Ass'n v US Coast Guard")</f>
        <v>Lake Pilots Ass'n v US Coast Guard</v>
      </c>
      <c r="C171" s="63" t="str">
        <f>IFERROR(__xludf.DUMMYFUNCTION("""COMPUTED_VALUE"""),"135")</f>
        <v>135</v>
      </c>
      <c r="D171" s="79" t="str">
        <f>IFERROR(__xludf.DUMMYFUNCTION("""COMPUTED_VALUE"""),"Lake Pilots Ass’n v. U.S. Coast Guard, 359 F.3d 624, 625 (D.C. Cir. 2004)")</f>
        <v>Lake Pilots Ass’n v. U.S. Coast Guard, 359 F.3d 624, 625 (D.C. Cir. 2004)</v>
      </c>
      <c r="E171" s="74" t="s">
        <v>1233</v>
      </c>
      <c r="F171" s="63" t="s">
        <v>1575</v>
      </c>
      <c r="G171" s="71" t="s">
        <v>1559</v>
      </c>
      <c r="H171" s="71"/>
      <c r="I171" s="66"/>
      <c r="J171" s="68"/>
      <c r="K171" s="68"/>
      <c r="L171" s="68"/>
      <c r="M171" s="68"/>
      <c r="N171" s="67"/>
      <c r="O171" s="88"/>
      <c r="P171" s="88"/>
      <c r="Q171" s="90"/>
      <c r="R171" s="72"/>
      <c r="S171" s="72"/>
      <c r="T171" s="72"/>
      <c r="U171" s="72"/>
      <c r="V171" s="72"/>
      <c r="W171" s="72"/>
      <c r="X171" s="72"/>
      <c r="Y171" s="72"/>
    </row>
    <row r="172">
      <c r="A172" s="60" t="s">
        <v>1576</v>
      </c>
      <c r="B172" s="61" t="str">
        <f>IFERROR(__xludf.DUMMYFUNCTION("""COMPUTED_VALUE"""),"Oceana")</f>
        <v>Oceana</v>
      </c>
      <c r="C172" s="63" t="str">
        <f>IFERROR(__xludf.DUMMYFUNCTION("""COMPUTED_VALUE"""),"135")</f>
        <v>135</v>
      </c>
      <c r="D172" s="79" t="str">
        <f>IFERROR(__xludf.DUMMYFUNCTION("""COMPUTED_VALUE"""),"Oceana, Inc. v. Gutierrez, 179 Fed. Appx. 703, 703 (D.C. Cir. 2006)")</f>
        <v>Oceana, Inc. v. Gutierrez, 179 Fed. Appx. 703, 703 (D.C. Cir. 2006)</v>
      </c>
      <c r="E172" s="74" t="s">
        <v>1233</v>
      </c>
      <c r="F172" s="63" t="s">
        <v>1577</v>
      </c>
      <c r="G172" s="71" t="s">
        <v>1559</v>
      </c>
      <c r="H172" s="71"/>
      <c r="I172" s="66"/>
      <c r="J172" s="68"/>
      <c r="K172" s="68"/>
      <c r="L172" s="68"/>
      <c r="M172" s="68"/>
      <c r="N172" s="67"/>
      <c r="O172" s="88"/>
      <c r="P172" s="88"/>
      <c r="Q172" s="90"/>
      <c r="R172" s="72"/>
      <c r="S172" s="72"/>
      <c r="T172" s="72"/>
      <c r="U172" s="72"/>
      <c r="V172" s="72"/>
      <c r="W172" s="72"/>
      <c r="X172" s="72"/>
      <c r="Y172" s="72"/>
    </row>
    <row r="173">
      <c r="A173" s="60" t="s">
        <v>1578</v>
      </c>
      <c r="B173" s="61" t="str">
        <f>IFERROR(__xludf.DUMMYFUNCTION("""COMPUTED_VALUE"""),"Naacp")</f>
        <v>Naacp</v>
      </c>
      <c r="C173" s="63" t="str">
        <f>IFERROR(__xludf.DUMMYFUNCTION("""COMPUTED_VALUE"""),"135")</f>
        <v>135</v>
      </c>
      <c r="D173" s="79" t="str">
        <f>IFERROR(__xludf.DUMMYFUNCTION("""COMPUTED_VALUE"""),"NAACP, Jefferson Cnty. Branch v. U.S. Sugar Corp., 84 F.3d 1432, 1436 (D.C. Cir. 1996)")</f>
        <v>NAACP, Jefferson Cnty. Branch v. U.S. Sugar Corp., 84 F.3d 1432, 1436 (D.C. Cir. 1996)</v>
      </c>
      <c r="E173" s="74" t="s">
        <v>1233</v>
      </c>
      <c r="F173" s="63" t="s">
        <v>1579</v>
      </c>
      <c r="G173" s="71" t="s">
        <v>1559</v>
      </c>
      <c r="H173" s="71"/>
      <c r="I173" s="66"/>
      <c r="J173" s="68"/>
      <c r="K173" s="68"/>
      <c r="L173" s="68"/>
      <c r="M173" s="68"/>
      <c r="N173" s="67"/>
      <c r="O173" s="88"/>
      <c r="P173" s="88"/>
      <c r="Q173" s="90"/>
      <c r="R173" s="72"/>
      <c r="S173" s="72"/>
      <c r="T173" s="72"/>
      <c r="U173" s="72"/>
      <c r="V173" s="72"/>
      <c r="W173" s="72"/>
      <c r="X173" s="72"/>
      <c r="Y173" s="72"/>
    </row>
    <row r="174">
      <c r="A174" s="60" t="s">
        <v>1580</v>
      </c>
      <c r="B174" s="61" t="str">
        <f>IFERROR(__xludf.DUMMYFUNCTION("""COMPUTED_VALUE"""),"Limnia")</f>
        <v>Limnia</v>
      </c>
      <c r="C174" s="63" t="str">
        <f>IFERROR(__xludf.DUMMYFUNCTION("""COMPUTED_VALUE"""),"136")</f>
        <v>136</v>
      </c>
      <c r="D174" s="79" t="str">
        <f>IFERROR(__xludf.DUMMYFUNCTION("""COMPUTED_VALUE"""),"Limnia, Inc. v. U.S. Dep’t of Energy, 857 F.3d 379, 385-86 (D.C. Cir. 2017)")</f>
        <v>Limnia, Inc. v. U.S. Dep’t of Energy, 857 F.3d 379, 385-86 (D.C. Cir. 2017)</v>
      </c>
      <c r="E174" s="74" t="s">
        <v>1233</v>
      </c>
      <c r="F174" s="63" t="s">
        <v>1581</v>
      </c>
      <c r="G174" s="71" t="s">
        <v>1559</v>
      </c>
      <c r="H174" s="71"/>
      <c r="I174" s="66"/>
      <c r="J174" s="68"/>
      <c r="K174" s="68"/>
      <c r="L174" s="68"/>
      <c r="M174" s="68"/>
      <c r="N174" s="67"/>
      <c r="O174" s="88"/>
      <c r="P174" s="88"/>
      <c r="Q174" s="90"/>
      <c r="R174" s="72"/>
      <c r="S174" s="72"/>
      <c r="T174" s="72"/>
      <c r="U174" s="72"/>
      <c r="V174" s="72"/>
      <c r="W174" s="72"/>
      <c r="X174" s="72"/>
      <c r="Y174" s="72"/>
    </row>
    <row r="175">
      <c r="A175" s="60" t="s">
        <v>1582</v>
      </c>
      <c r="B175" s="61" t="str">
        <f>IFERROR(__xludf.DUMMYFUNCTION("""COMPUTED_VALUE"""),"Am Haw Cruises v Skinner")</f>
        <v>Am Haw Cruises v Skinner</v>
      </c>
      <c r="C175" s="63" t="str">
        <f>IFERROR(__xludf.DUMMYFUNCTION("""COMPUTED_VALUE"""),"136")</f>
        <v>136</v>
      </c>
      <c r="D175" s="79" t="str">
        <f>IFERROR(__xludf.DUMMYFUNCTION("""COMPUTED_VALUE"""),"Am. Haw. Cruises v. Skinner, 893 F.2d 1400, 1403 (D.C. Cir. 1990)")</f>
        <v>Am. Haw. Cruises v. Skinner, 893 F.2d 1400, 1403 (D.C. Cir. 1990)</v>
      </c>
      <c r="E175" s="74" t="s">
        <v>1233</v>
      </c>
      <c r="F175" s="63" t="s">
        <v>1583</v>
      </c>
      <c r="G175" s="71" t="s">
        <v>1559</v>
      </c>
      <c r="H175" s="71"/>
      <c r="I175" s="66"/>
      <c r="J175" s="68"/>
      <c r="K175" s="68"/>
      <c r="L175" s="68"/>
      <c r="M175" s="68"/>
      <c r="N175" s="67"/>
      <c r="O175" s="88"/>
      <c r="P175" s="88"/>
      <c r="Q175" s="90"/>
      <c r="R175" s="72"/>
      <c r="S175" s="72"/>
      <c r="T175" s="72"/>
      <c r="U175" s="72"/>
      <c r="V175" s="72"/>
      <c r="W175" s="72"/>
      <c r="X175" s="72"/>
      <c r="Y175" s="72"/>
    </row>
    <row r="176">
      <c r="A176" s="60" t="s">
        <v>1584</v>
      </c>
      <c r="B176" s="61" t="str">
        <f>IFERROR(__xludf.DUMMYFUNCTION("""COMPUTED_VALUE"""),"Koyo Seiko Co v United States")</f>
        <v>Koyo Seiko Co v United States</v>
      </c>
      <c r="C176" s="63" t="str">
        <f>IFERROR(__xludf.DUMMYFUNCTION("""COMPUTED_VALUE"""),"138")</f>
        <v>138</v>
      </c>
      <c r="D176" s="79" t="str">
        <f>IFERROR(__xludf.DUMMYFUNCTION("""COMPUTED_VALUE"""),"Koyo Seiko Co. v. United States, 95 F.3d 1094, 1097 (Fed. Cir. 1996)")</f>
        <v>Koyo Seiko Co. v. United States, 95 F.3d 1094, 1097 (Fed. Cir. 1996)</v>
      </c>
      <c r="E176" s="74" t="s">
        <v>1233</v>
      </c>
      <c r="F176" s="63" t="s">
        <v>1585</v>
      </c>
      <c r="G176" s="71" t="s">
        <v>1559</v>
      </c>
      <c r="H176" s="71"/>
      <c r="I176" s="66"/>
      <c r="J176" s="68"/>
      <c r="K176" s="68"/>
      <c r="L176" s="68"/>
      <c r="M176" s="68"/>
      <c r="N176" s="67"/>
      <c r="O176" s="88"/>
      <c r="P176" s="88"/>
      <c r="Q176" s="90"/>
      <c r="R176" s="72"/>
      <c r="S176" s="72"/>
      <c r="T176" s="72"/>
      <c r="U176" s="72"/>
      <c r="V176" s="72"/>
      <c r="W176" s="72"/>
      <c r="X176" s="72"/>
      <c r="Y176" s="72"/>
    </row>
    <row r="177">
      <c r="A177" s="60" t="s">
        <v>1586</v>
      </c>
      <c r="B177" s="61" t="str">
        <f>IFERROR(__xludf.DUMMYFUNCTION("""COMPUTED_VALUE"""),"Supra Note 138")</f>
        <v>Supra Note 138</v>
      </c>
      <c r="C177" s="63" t="str">
        <f>IFERROR(__xludf.DUMMYFUNCTION("""COMPUTED_VALUE"""),"139")</f>
        <v>139</v>
      </c>
      <c r="D177" s="79" t="str">
        <f>IFERROR(__xludf.DUMMYFUNCTION("""COMPUTED_VALUE"""),"supra note 138")</f>
        <v>supra note 138</v>
      </c>
      <c r="E177" s="74" t="s">
        <v>1233</v>
      </c>
      <c r="F177" s="63" t="s">
        <v>1587</v>
      </c>
      <c r="G177" s="71" t="s">
        <v>1559</v>
      </c>
      <c r="H177" s="71"/>
      <c r="I177" s="66"/>
      <c r="J177" s="68"/>
      <c r="K177" s="68"/>
      <c r="L177" s="68"/>
      <c r="M177" s="68"/>
      <c r="N177" s="67"/>
      <c r="O177" s="88"/>
      <c r="P177" s="88"/>
      <c r="Q177" s="90"/>
      <c r="R177" s="72"/>
      <c r="S177" s="72"/>
      <c r="T177" s="72"/>
      <c r="U177" s="72"/>
      <c r="V177" s="72"/>
      <c r="W177" s="72"/>
      <c r="X177" s="72"/>
      <c r="Y177" s="72"/>
    </row>
    <row r="178">
      <c r="A178" s="60" t="s">
        <v>1588</v>
      </c>
      <c r="B178" s="61" t="str">
        <f>IFERROR(__xludf.DUMMYFUNCTION("""COMPUTED_VALUE"""),"Littlefield v Mashpee Wampanoag Indian Tribe")</f>
        <v>Littlefield v Mashpee Wampanoag Indian Tribe</v>
      </c>
      <c r="C178" s="63" t="str">
        <f>IFERROR(__xludf.DUMMYFUNCTION("""COMPUTED_VALUE"""),"140")</f>
        <v>140</v>
      </c>
      <c r="D178" s="79" t="str">
        <f>IFERROR(__xludf.DUMMYFUNCTION("""COMPUTED_VALUE"""),"Littlefield v. Mashpee Wampanoag Indian Tribe, 951 F.3d 30, 36 (1st Cir. 2020)")</f>
        <v>Littlefield v. Mashpee Wampanoag Indian Tribe, 951 F.3d 30, 36 (1st Cir. 2020)</v>
      </c>
      <c r="E178" s="74" t="s">
        <v>1233</v>
      </c>
      <c r="F178" s="63" t="s">
        <v>1589</v>
      </c>
      <c r="G178" s="71" t="s">
        <v>1559</v>
      </c>
      <c r="H178" s="71"/>
      <c r="I178" s="66"/>
      <c r="J178" s="68"/>
      <c r="K178" s="68"/>
      <c r="L178" s="68"/>
      <c r="M178" s="68"/>
      <c r="N178" s="67"/>
      <c r="O178" s="88"/>
      <c r="P178" s="88"/>
      <c r="Q178" s="90"/>
      <c r="R178" s="72"/>
      <c r="S178" s="72"/>
      <c r="T178" s="72"/>
      <c r="U178" s="72"/>
      <c r="V178" s="72"/>
      <c r="W178" s="72"/>
      <c r="X178" s="72"/>
      <c r="Y178" s="72"/>
    </row>
    <row r="179">
      <c r="A179" s="60" t="s">
        <v>1590</v>
      </c>
      <c r="B179" s="61" t="str">
        <f>IFERROR(__xludf.DUMMYFUNCTION("""COMPUTED_VALUE"""),"Perales v Sullivan")</f>
        <v>Perales v Sullivan</v>
      </c>
      <c r="C179" s="63" t="str">
        <f>IFERROR(__xludf.DUMMYFUNCTION("""COMPUTED_VALUE"""),"142")</f>
        <v>142</v>
      </c>
      <c r="D179" s="79" t="str">
        <f>IFERROR(__xludf.DUMMYFUNCTION("""COMPUTED_VALUE"""),"Perales v. Sullivan, 948 F.2d 1348, 1353 (2d Cir. 1991)")</f>
        <v>Perales v. Sullivan, 948 F.2d 1348, 1353 (2d Cir. 1991)</v>
      </c>
      <c r="E179" s="74" t="s">
        <v>1233</v>
      </c>
      <c r="F179" s="63" t="s">
        <v>1591</v>
      </c>
      <c r="G179" s="71" t="s">
        <v>1559</v>
      </c>
      <c r="H179" s="71"/>
      <c r="I179" s="66"/>
      <c r="J179" s="68"/>
      <c r="K179" s="68"/>
      <c r="L179" s="68"/>
      <c r="M179" s="68"/>
      <c r="N179" s="67"/>
      <c r="O179" s="88"/>
      <c r="P179" s="88"/>
      <c r="Q179" s="90"/>
      <c r="R179" s="72"/>
      <c r="S179" s="72"/>
      <c r="T179" s="72"/>
      <c r="U179" s="72"/>
      <c r="V179" s="72"/>
      <c r="W179" s="72"/>
      <c r="X179" s="72"/>
      <c r="Y179" s="72"/>
    </row>
    <row r="180">
      <c r="A180" s="60" t="s">
        <v>1592</v>
      </c>
      <c r="B180" s="61" t="str">
        <f>IFERROR(__xludf.DUMMYFUNCTION("""COMPUTED_VALUE"""),"Silver v Smith")</f>
        <v>Silver v Smith</v>
      </c>
      <c r="C180" s="63" t="str">
        <f>IFERROR(__xludf.DUMMYFUNCTION("""COMPUTED_VALUE"""),"143")</f>
        <v>143</v>
      </c>
      <c r="D180" s="79" t="str">
        <f>IFERROR(__xludf.DUMMYFUNCTION("""COMPUTED_VALUE"""),"Silver v. Smith, 70 Fed. Appx. 17, 19 (2d Cir. 2003)")</f>
        <v>Silver v. Smith, 70 Fed. Appx. 17, 19 (2d Cir. 2003)</v>
      </c>
      <c r="E180" s="74" t="s">
        <v>1233</v>
      </c>
      <c r="F180" s="63" t="s">
        <v>1593</v>
      </c>
      <c r="G180" s="71" t="s">
        <v>1559</v>
      </c>
      <c r="H180" s="71"/>
      <c r="I180" s="66"/>
      <c r="J180" s="68"/>
      <c r="K180" s="68"/>
      <c r="L180" s="68"/>
      <c r="M180" s="68"/>
      <c r="N180" s="67"/>
      <c r="O180" s="88"/>
      <c r="P180" s="88"/>
      <c r="Q180" s="90"/>
      <c r="R180" s="72"/>
      <c r="S180" s="72"/>
      <c r="T180" s="72"/>
      <c r="U180" s="72"/>
      <c r="V180" s="72"/>
      <c r="W180" s="72"/>
      <c r="X180" s="72"/>
      <c r="Y180" s="72"/>
    </row>
    <row r="181">
      <c r="A181" s="60" t="s">
        <v>1594</v>
      </c>
      <c r="B181" s="61" t="str">
        <f>IFERROR(__xludf.DUMMYFUNCTION("""COMPUTED_VALUE"""),"Bey v City of New York")</f>
        <v>Bey v City of New York</v>
      </c>
      <c r="C181" s="63" t="str">
        <f>IFERROR(__xludf.DUMMYFUNCTION("""COMPUTED_VALUE"""),"144")</f>
        <v>144</v>
      </c>
      <c r="D181" s="79" t="str">
        <f>IFERROR(__xludf.DUMMYFUNCTION("""COMPUTED_VALUE"""),"Bey v. City of New York, 999 F.3d 157, 163 (2d Cir. 2021)")</f>
        <v>Bey v. City of New York, 999 F.3d 157, 163 (2d Cir. 2021)</v>
      </c>
      <c r="E181" s="74" t="s">
        <v>1233</v>
      </c>
      <c r="F181" s="63" t="s">
        <v>1595</v>
      </c>
      <c r="G181" s="71" t="s">
        <v>1559</v>
      </c>
      <c r="H181" s="71"/>
      <c r="I181" s="66"/>
      <c r="J181" s="68"/>
      <c r="K181" s="68"/>
      <c r="L181" s="68"/>
      <c r="M181" s="68"/>
      <c r="N181" s="67"/>
      <c r="O181" s="88"/>
      <c r="P181" s="88"/>
      <c r="Q181" s="90"/>
      <c r="R181" s="72"/>
      <c r="S181" s="72"/>
      <c r="T181" s="72"/>
      <c r="U181" s="72"/>
      <c r="V181" s="72"/>
      <c r="W181" s="72"/>
      <c r="X181" s="72"/>
      <c r="Y181" s="72"/>
    </row>
    <row r="182">
      <c r="A182" s="60" t="s">
        <v>1596</v>
      </c>
      <c r="B182" s="61" t="str">
        <f>IFERROR(__xludf.DUMMYFUNCTION("""COMPUTED_VALUE"""),"BHD of Maint of Way Emps v Consol Rail Corp")</f>
        <v>BHD of Maint of Way Emps v Consol Rail Corp</v>
      </c>
      <c r="C182" s="63" t="str">
        <f>IFERROR(__xludf.DUMMYFUNCTION("""COMPUTED_VALUE"""),"145")</f>
        <v>145</v>
      </c>
      <c r="D182" s="79" t="str">
        <f>IFERROR(__xludf.DUMMYFUNCTION("""COMPUTED_VALUE"""),"Bhd. of Maint. of Way Emps. v. Consol. Rail Corp., 864 F.2d 283, 286 (3d Cir. 1988)")</f>
        <v>Bhd. of Maint. of Way Emps. v. Consol. Rail Corp., 864 F.2d 283, 286 (3d Cir. 1988)</v>
      </c>
      <c r="E182" s="74" t="s">
        <v>1233</v>
      </c>
      <c r="F182" s="63" t="s">
        <v>1597</v>
      </c>
      <c r="G182" s="71" t="s">
        <v>1559</v>
      </c>
      <c r="H182" s="71"/>
      <c r="I182" s="66"/>
      <c r="J182" s="68"/>
      <c r="K182" s="68"/>
      <c r="L182" s="68"/>
      <c r="M182" s="68"/>
      <c r="N182" s="67"/>
      <c r="O182" s="88"/>
      <c r="P182" s="88"/>
      <c r="Q182" s="90"/>
      <c r="R182" s="72"/>
      <c r="S182" s="72"/>
      <c r="T182" s="72"/>
      <c r="U182" s="72"/>
      <c r="V182" s="72"/>
      <c r="W182" s="72"/>
      <c r="X182" s="72"/>
      <c r="Y182" s="72"/>
    </row>
    <row r="183">
      <c r="A183" s="60" t="s">
        <v>1598</v>
      </c>
      <c r="B183" s="61" t="str">
        <f>IFERROR(__xludf.DUMMYFUNCTION("""COMPUTED_VALUE"""),"United Steelworkers of Am Local 1913 v Union RR Co")</f>
        <v>United Steelworkers of Am Local 1913 v Union RR Co</v>
      </c>
      <c r="C183" s="63" t="str">
        <f>IFERROR(__xludf.DUMMYFUNCTION("""COMPUTED_VALUE"""),"145")</f>
        <v>145</v>
      </c>
      <c r="D183" s="79" t="str">
        <f>IFERROR(__xludf.DUMMYFUNCTION("""COMPUTED_VALUE"""),"United Steelworkers of Am. Local 1913 v. Union R.R. Co., 648 F.2d 905, 910 (3d Cir. 1981)")</f>
        <v>United Steelworkers of Am. Local 1913 v. Union R.R. Co., 648 F.2d 905, 910 (3d Cir. 1981)</v>
      </c>
      <c r="E183" s="74" t="s">
        <v>1233</v>
      </c>
      <c r="F183" s="63" t="s">
        <v>1599</v>
      </c>
      <c r="G183" s="71" t="s">
        <v>1559</v>
      </c>
      <c r="H183" s="71"/>
      <c r="I183" s="66"/>
      <c r="J183" s="68"/>
      <c r="K183" s="68"/>
      <c r="L183" s="68"/>
      <c r="M183" s="68"/>
      <c r="N183" s="67"/>
      <c r="O183" s="88"/>
      <c r="P183" s="88"/>
      <c r="Q183" s="90"/>
      <c r="R183" s="72"/>
      <c r="S183" s="72"/>
      <c r="T183" s="72"/>
      <c r="U183" s="72"/>
      <c r="V183" s="72"/>
      <c r="W183" s="72"/>
      <c r="X183" s="72"/>
      <c r="Y183" s="72"/>
    </row>
    <row r="184">
      <c r="A184" s="60" t="s">
        <v>1600</v>
      </c>
      <c r="B184" s="61" t="str">
        <f>IFERROR(__xludf.DUMMYFUNCTION("""COMPUTED_VALUE"""),"United States v Spears")</f>
        <v>United States v Spears</v>
      </c>
      <c r="C184" s="63" t="str">
        <f>IFERROR(__xludf.DUMMYFUNCTION("""COMPUTED_VALUE"""),"146")</f>
        <v>146</v>
      </c>
      <c r="D184" s="79" t="str">
        <f>IFERROR(__xludf.DUMMYFUNCTION("""COMPUTED_VALUE"""),"United States v. Spears, 859 F.2d 284, 287 (3d Cir. 1988)")</f>
        <v>United States v. Spears, 859 F.2d 284, 287 (3d Cir. 1988)</v>
      </c>
      <c r="E184" s="74" t="s">
        <v>1233</v>
      </c>
      <c r="F184" s="63" t="s">
        <v>1601</v>
      </c>
      <c r="G184" s="71" t="s">
        <v>1559</v>
      </c>
      <c r="H184" s="71"/>
      <c r="I184" s="66"/>
      <c r="J184" s="68"/>
      <c r="K184" s="68"/>
      <c r="L184" s="68"/>
      <c r="M184" s="68"/>
      <c r="N184" s="67"/>
      <c r="O184" s="88"/>
      <c r="P184" s="88"/>
      <c r="Q184" s="90"/>
      <c r="R184" s="72"/>
      <c r="S184" s="72"/>
      <c r="T184" s="72"/>
      <c r="U184" s="72"/>
      <c r="V184" s="72"/>
      <c r="W184" s="72"/>
      <c r="X184" s="72"/>
      <c r="Y184" s="72"/>
    </row>
    <row r="185">
      <c r="A185" s="60" t="s">
        <v>1602</v>
      </c>
      <c r="B185" s="61" t="str">
        <f>IFERROR(__xludf.DUMMYFUNCTION("""COMPUTED_VALUE"""),"Horizons")</f>
        <v>Horizons</v>
      </c>
      <c r="C185" s="63" t="str">
        <f>IFERROR(__xludf.DUMMYFUNCTION("""COMPUTED_VALUE"""),"146")</f>
        <v>146</v>
      </c>
      <c r="D185" s="79" t="str">
        <f>IFERROR(__xludf.DUMMYFUNCTION("""COMPUTED_VALUE"""),"Horizons Int’l, Inc. v. Baldrige, 811 F.2d 154, 156 (3d Cir. 1987)")</f>
        <v>Horizons Int’l, Inc. v. Baldrige, 811 F.2d 154, 156 (3d Cir. 1987)</v>
      </c>
      <c r="E185" s="74" t="s">
        <v>1233</v>
      </c>
      <c r="F185" s="63" t="s">
        <v>1603</v>
      </c>
      <c r="G185" s="71" t="s">
        <v>1559</v>
      </c>
      <c r="H185" s="71"/>
      <c r="I185" s="66"/>
      <c r="J185" s="68"/>
      <c r="K185" s="68"/>
      <c r="L185" s="68"/>
      <c r="M185" s="68"/>
      <c r="N185" s="67"/>
      <c r="O185" s="88"/>
      <c r="P185" s="88"/>
      <c r="Q185" s="90"/>
      <c r="R185" s="72"/>
      <c r="S185" s="72"/>
      <c r="T185" s="72"/>
      <c r="U185" s="72"/>
      <c r="V185" s="72"/>
      <c r="W185" s="72"/>
      <c r="X185" s="72"/>
      <c r="Y185" s="72"/>
    </row>
    <row r="186">
      <c r="A186" s="60" t="s">
        <v>1604</v>
      </c>
      <c r="B186" s="61" t="str">
        <f>IFERROR(__xludf.DUMMYFUNCTION("""COMPUTED_VALUE"""),"Shipbuilders Council of Am v US Coast Guard")</f>
        <v>Shipbuilders Council of Am v US Coast Guard</v>
      </c>
      <c r="C186" s="63" t="str">
        <f>IFERROR(__xludf.DUMMYFUNCTION("""COMPUTED_VALUE"""),"147")</f>
        <v>147</v>
      </c>
      <c r="D186" s="79" t="str">
        <f>IFERROR(__xludf.DUMMYFUNCTION("""COMPUTED_VALUE"""),"Shipbuilders Council of Am. v. U.S. Coast Guard, 578 F.3d 234, 240 (4th Cir. 2009)")</f>
        <v>Shipbuilders Council of Am. v. U.S. Coast Guard, 578 F.3d 234, 240 (4th Cir. 2009)</v>
      </c>
      <c r="E186" s="74" t="s">
        <v>1233</v>
      </c>
      <c r="F186" s="63" t="s">
        <v>1605</v>
      </c>
      <c r="G186" s="71" t="s">
        <v>1559</v>
      </c>
      <c r="H186" s="71"/>
      <c r="I186" s="66"/>
      <c r="J186" s="68"/>
      <c r="K186" s="68"/>
      <c r="L186" s="68"/>
      <c r="M186" s="68"/>
      <c r="N186" s="67"/>
      <c r="O186" s="88"/>
      <c r="P186" s="88"/>
      <c r="Q186" s="90"/>
      <c r="R186" s="72"/>
      <c r="S186" s="72"/>
      <c r="T186" s="72"/>
      <c r="U186" s="72"/>
      <c r="V186" s="72"/>
      <c r="W186" s="72"/>
      <c r="X186" s="72"/>
      <c r="Y186" s="72"/>
    </row>
    <row r="187">
      <c r="A187" s="60" t="s">
        <v>1606</v>
      </c>
      <c r="B187" s="61" t="str">
        <f>IFERROR(__xludf.DUMMYFUNCTION("""COMPUTED_VALUE"""),"Highlands Conservancy")</f>
        <v>Highlands Conservancy</v>
      </c>
      <c r="C187" s="63" t="str">
        <f>IFERROR(__xludf.DUMMYFUNCTION("""COMPUTED_VALUE"""),"147")</f>
        <v>147</v>
      </c>
      <c r="D187" s="79" t="str">
        <f>IFERROR(__xludf.DUMMYFUNCTION("""COMPUTED_VALUE"""),"W. Va. Highlands Conservancy, Inc. v. Norton, 343 F.3d 239, 240 (4th Cir. 2003)")</f>
        <v>W. Va. Highlands Conservancy, Inc. v. Norton, 343 F.3d 239, 240 (4th Cir. 2003)</v>
      </c>
      <c r="E187" s="74" t="s">
        <v>1233</v>
      </c>
      <c r="F187" s="63" t="s">
        <v>1607</v>
      </c>
      <c r="G187" s="71" t="s">
        <v>1559</v>
      </c>
      <c r="H187" s="71"/>
      <c r="I187" s="66"/>
      <c r="J187" s="68"/>
      <c r="K187" s="68"/>
      <c r="L187" s="68"/>
      <c r="M187" s="68"/>
      <c r="N187" s="67"/>
      <c r="O187" s="88"/>
      <c r="P187" s="88"/>
      <c r="Q187" s="90"/>
      <c r="R187" s="72"/>
      <c r="S187" s="72"/>
      <c r="T187" s="72"/>
      <c r="U187" s="72"/>
      <c r="V187" s="72"/>
      <c r="W187" s="72"/>
      <c r="X187" s="72"/>
      <c r="Y187" s="72"/>
    </row>
    <row r="188">
      <c r="A188" s="60" t="s">
        <v>1608</v>
      </c>
      <c r="B188" s="61" t="str">
        <f>IFERROR(__xludf.DUMMYFUNCTION("""COMPUTED_VALUE"""),"Hanauer v Reich")</f>
        <v>Hanauer v Reich</v>
      </c>
      <c r="C188" s="63" t="str">
        <f>IFERROR(__xludf.DUMMYFUNCTION("""COMPUTED_VALUE"""),"147")</f>
        <v>147</v>
      </c>
      <c r="D188" s="79" t="str">
        <f>IFERROR(__xludf.DUMMYFUNCTION("""COMPUTED_VALUE"""),"Hanauer v. Reich, 82 F.3d 1304, 1307 (4th Cir. 1996)")</f>
        <v>Hanauer v. Reich, 82 F.3d 1304, 1307 (4th Cir. 1996)</v>
      </c>
      <c r="E188" s="74" t="s">
        <v>1233</v>
      </c>
      <c r="F188" s="63" t="s">
        <v>1609</v>
      </c>
      <c r="G188" s="71" t="s">
        <v>1559</v>
      </c>
      <c r="H188" s="71"/>
      <c r="I188" s="66"/>
      <c r="J188" s="68"/>
      <c r="K188" s="68"/>
      <c r="L188" s="68"/>
      <c r="M188" s="68"/>
      <c r="N188" s="67"/>
      <c r="O188" s="88"/>
      <c r="P188" s="88"/>
      <c r="Q188" s="90"/>
      <c r="R188" s="72"/>
      <c r="S188" s="72"/>
      <c r="T188" s="72"/>
      <c r="U188" s="72"/>
      <c r="V188" s="72"/>
      <c r="W188" s="72"/>
      <c r="X188" s="72"/>
      <c r="Y188" s="72"/>
    </row>
    <row r="189">
      <c r="A189" s="60" t="s">
        <v>1610</v>
      </c>
      <c r="B189" s="61" t="str">
        <f>IFERROR(__xludf.DUMMYFUNCTION("""COMPUTED_VALUE"""),"Colvin v Sullivan")</f>
        <v>Colvin v Sullivan</v>
      </c>
      <c r="C189" s="63" t="str">
        <f>IFERROR(__xludf.DUMMYFUNCTION("""COMPUTED_VALUE"""),"147")</f>
        <v>147</v>
      </c>
      <c r="D189" s="79" t="str">
        <f>IFERROR(__xludf.DUMMYFUNCTION("""COMPUTED_VALUE"""),"Colvin v. Sullivan, 939 F.2d 153, 155 (4th Cir. 1991)")</f>
        <v>Colvin v. Sullivan, 939 F.2d 153, 155 (4th Cir. 1991)</v>
      </c>
      <c r="E189" s="74" t="s">
        <v>1233</v>
      </c>
      <c r="F189" s="63" t="s">
        <v>1611</v>
      </c>
      <c r="G189" s="71" t="s">
        <v>1559</v>
      </c>
      <c r="H189" s="71"/>
      <c r="I189" s="66"/>
      <c r="J189" s="68"/>
      <c r="K189" s="68"/>
      <c r="L189" s="68"/>
      <c r="M189" s="68"/>
      <c r="N189" s="67"/>
      <c r="O189" s="88"/>
      <c r="P189" s="88"/>
      <c r="Q189" s="90"/>
      <c r="R189" s="72"/>
      <c r="S189" s="72"/>
      <c r="T189" s="72"/>
      <c r="U189" s="72"/>
      <c r="V189" s="72"/>
      <c r="W189" s="72"/>
      <c r="X189" s="72"/>
      <c r="Y189" s="72"/>
    </row>
    <row r="190">
      <c r="A190" s="60" t="s">
        <v>1612</v>
      </c>
      <c r="B190" s="61" t="str">
        <f>IFERROR(__xludf.DUMMYFUNCTION("""COMPUTED_VALUE"""),"Nielsen v Hagel")</f>
        <v>Nielsen v Hagel</v>
      </c>
      <c r="C190" s="63" t="str">
        <f>IFERROR(__xludf.DUMMYFUNCTION("""COMPUTED_VALUE"""),"147")</f>
        <v>147</v>
      </c>
      <c r="D190" s="79" t="str">
        <f>IFERROR(__xludf.DUMMYFUNCTION("""COMPUTED_VALUE"""),"Nielsen v. Hagel, 666 Fed. Appx. 225, 230 (4th Cir. 2016)")</f>
        <v>Nielsen v. Hagel, 666 Fed. Appx. 225, 230 (4th Cir. 2016)</v>
      </c>
      <c r="E190" s="74" t="s">
        <v>1233</v>
      </c>
      <c r="F190" s="63" t="s">
        <v>1613</v>
      </c>
      <c r="G190" s="71" t="s">
        <v>1559</v>
      </c>
      <c r="H190" s="71"/>
      <c r="I190" s="66"/>
      <c r="J190" s="68"/>
      <c r="K190" s="68"/>
      <c r="L190" s="68"/>
      <c r="M190" s="68"/>
      <c r="N190" s="67"/>
      <c r="O190" s="88"/>
      <c r="P190" s="88"/>
      <c r="Q190" s="90"/>
      <c r="R190" s="72"/>
      <c r="S190" s="72"/>
      <c r="T190" s="72"/>
      <c r="U190" s="72"/>
      <c r="V190" s="72"/>
      <c r="W190" s="72"/>
      <c r="X190" s="72"/>
      <c r="Y190" s="72"/>
    </row>
    <row r="191">
      <c r="A191" s="60" t="s">
        <v>1614</v>
      </c>
      <c r="B191" s="61" t="str">
        <f>IFERROR(__xludf.DUMMYFUNCTION("""COMPUTED_VALUE"""),"Culbertson v Sec'y of Health and Hum Servs")</f>
        <v>Culbertson v Sec'y of Health and Hum Servs</v>
      </c>
      <c r="C191" s="63" t="str">
        <f>IFERROR(__xludf.DUMMYFUNCTION("""COMPUTED_VALUE"""),"148")</f>
        <v>148</v>
      </c>
      <c r="D191" s="79" t="str">
        <f>IFERROR(__xludf.DUMMYFUNCTION("""COMPUTED_VALUE"""),"Culbertson v. Sec’y of Health &amp; Hum. Servs., 859 F.2d 319, 323 (4th Cir. 1988)")</f>
        <v>Culbertson v. Sec’y of Health &amp; Hum. Servs., 859 F.2d 319, 323 (4th Cir. 1988)</v>
      </c>
      <c r="E191" s="74" t="s">
        <v>1233</v>
      </c>
      <c r="F191" s="63" t="s">
        <v>1615</v>
      </c>
      <c r="G191" s="71" t="s">
        <v>1559</v>
      </c>
      <c r="H191" s="71"/>
      <c r="I191" s="66"/>
      <c r="J191" s="68"/>
      <c r="K191" s="68"/>
      <c r="L191" s="68"/>
      <c r="M191" s="68"/>
      <c r="N191" s="67"/>
      <c r="O191" s="88"/>
      <c r="P191" s="88"/>
      <c r="Q191" s="90"/>
      <c r="R191" s="72"/>
      <c r="S191" s="72"/>
      <c r="T191" s="72"/>
      <c r="U191" s="72"/>
      <c r="V191" s="72"/>
      <c r="W191" s="72"/>
      <c r="X191" s="72"/>
      <c r="Y191" s="72"/>
    </row>
    <row r="192">
      <c r="A192" s="60" t="s">
        <v>1616</v>
      </c>
      <c r="B192" s="61" t="str">
        <f>IFERROR(__xludf.DUMMYFUNCTION("""COMPUTED_VALUE"""),"Adkins v Silverman")</f>
        <v>Adkins v Silverman</v>
      </c>
      <c r="C192" s="63" t="str">
        <f>IFERROR(__xludf.DUMMYFUNCTION("""COMPUTED_VALUE"""),"149")</f>
        <v>149</v>
      </c>
      <c r="D192" s="79" t="str">
        <f>IFERROR(__xludf.DUMMYFUNCTION("""COMPUTED_VALUE"""),"Adkins v. Silverman, 899 F.3d 395, 401 (5th Cir. 2018)")</f>
        <v>Adkins v. Silverman, 899 F.3d 395, 401 (5th Cir. 2018)</v>
      </c>
      <c r="E192" s="74" t="s">
        <v>1233</v>
      </c>
      <c r="F192" s="63" t="s">
        <v>1617</v>
      </c>
      <c r="G192" s="71" t="s">
        <v>1559</v>
      </c>
      <c r="H192" s="71"/>
      <c r="I192" s="66"/>
      <c r="J192" s="68"/>
      <c r="K192" s="68"/>
      <c r="L192" s="68"/>
      <c r="M192" s="68"/>
      <c r="N192" s="67"/>
      <c r="O192" s="88"/>
      <c r="P192" s="88"/>
      <c r="Q192" s="90"/>
      <c r="R192" s="72"/>
      <c r="S192" s="72"/>
      <c r="T192" s="72"/>
      <c r="U192" s="72"/>
      <c r="V192" s="72"/>
      <c r="W192" s="72"/>
      <c r="X192" s="72"/>
      <c r="Y192" s="72"/>
    </row>
    <row r="193">
      <c r="A193" s="60" t="s">
        <v>1618</v>
      </c>
      <c r="B193" s="61" t="str">
        <f>IFERROR(__xludf.DUMMYFUNCTION("""COMPUTED_VALUE"""),"BNSF Ry Co v Am Train Dispatchers Ass'n")</f>
        <v>BNSF Ry Co v Am Train Dispatchers Ass'n</v>
      </c>
      <c r="C193" s="63" t="str">
        <f>IFERROR(__xludf.DUMMYFUNCTION("""COMPUTED_VALUE"""),"149")</f>
        <v>149</v>
      </c>
      <c r="D193" s="79" t="str">
        <f>IFERROR(__xludf.DUMMYFUNCTION("""COMPUTED_VALUE"""),"BNSF Ry. Co. v. Am. Train Dispatchers Ass’n, 426 Fed. Appx. 265, 267 (5th Cir. 2011)")</f>
        <v>BNSF Ry. Co. v. Am. Train Dispatchers Ass’n, 426 Fed. Appx. 265, 267 (5th Cir. 2011)</v>
      </c>
      <c r="E193" s="74" t="s">
        <v>1233</v>
      </c>
      <c r="F193" s="63" t="s">
        <v>1619</v>
      </c>
      <c r="G193" s="71" t="s">
        <v>1559</v>
      </c>
      <c r="H193" s="71"/>
      <c r="I193" s="66"/>
      <c r="J193" s="68"/>
      <c r="K193" s="68"/>
      <c r="L193" s="68"/>
      <c r="M193" s="68"/>
      <c r="N193" s="67"/>
      <c r="O193" s="88"/>
      <c r="P193" s="88"/>
      <c r="Q193" s="90"/>
      <c r="R193" s="72"/>
      <c r="S193" s="72"/>
      <c r="T193" s="72"/>
      <c r="U193" s="72"/>
      <c r="V193" s="72"/>
      <c r="W193" s="72"/>
      <c r="X193" s="72"/>
      <c r="Y193" s="72"/>
    </row>
    <row r="194">
      <c r="A194" s="60" t="s">
        <v>1620</v>
      </c>
      <c r="B194" s="61" t="str">
        <f>IFERROR(__xludf.DUMMYFUNCTION("""COMPUTED_VALUE"""),"Schuck v Frank")</f>
        <v>Schuck v Frank</v>
      </c>
      <c r="C194" s="63" t="str">
        <f>IFERROR(__xludf.DUMMYFUNCTION("""COMPUTED_VALUE"""),"150")</f>
        <v>150</v>
      </c>
      <c r="D194" s="79" t="str">
        <f>IFERROR(__xludf.DUMMYFUNCTION("""COMPUTED_VALUE"""),"Schuck v. Frank, 27 F.3d 194, 196-97 (6th Cir. 1994)")</f>
        <v>Schuck v. Frank, 27 F.3d 194, 196-97 (6th Cir. 1994)</v>
      </c>
      <c r="E194" s="74" t="s">
        <v>1233</v>
      </c>
      <c r="F194" s="63" t="s">
        <v>1621</v>
      </c>
      <c r="G194" s="71" t="s">
        <v>1559</v>
      </c>
      <c r="H194" s="71"/>
      <c r="I194" s="66"/>
      <c r="J194" s="68"/>
      <c r="K194" s="68"/>
      <c r="L194" s="68"/>
      <c r="M194" s="68"/>
      <c r="N194" s="67"/>
      <c r="O194" s="88"/>
      <c r="P194" s="88"/>
      <c r="Q194" s="90"/>
      <c r="R194" s="72"/>
      <c r="S194" s="72"/>
      <c r="T194" s="72"/>
      <c r="U194" s="72"/>
      <c r="V194" s="72"/>
      <c r="W194" s="72"/>
      <c r="X194" s="72"/>
      <c r="Y194" s="72"/>
    </row>
    <row r="195">
      <c r="A195" s="60" t="s">
        <v>1622</v>
      </c>
      <c r="B195" s="61" t="str">
        <f>IFERROR(__xludf.DUMMYFUNCTION("""COMPUTED_VALUE"""),"Ackerman v US Dep't of Agric")</f>
        <v>Ackerman v US Dep't of Agric</v>
      </c>
      <c r="C195" s="63" t="str">
        <f>IFERROR(__xludf.DUMMYFUNCTION("""COMPUTED_VALUE"""),"150")</f>
        <v>150</v>
      </c>
      <c r="D195" s="79" t="str">
        <f>IFERROR(__xludf.DUMMYFUNCTION("""COMPUTED_VALUE"""),"Ackerman v. U.S. Dep’t of Agric., No. 22-1056, 2022 WL 2965613, *1 (6th Cir. 2022)")</f>
        <v>Ackerman v. U.S. Dep’t of Agric., No. 22-1056, 2022 WL 2965613, *1 (6th Cir. 2022)</v>
      </c>
      <c r="E195" s="74" t="s">
        <v>1233</v>
      </c>
      <c r="F195" s="63" t="s">
        <v>1623</v>
      </c>
      <c r="G195" s="71" t="s">
        <v>1559</v>
      </c>
      <c r="H195" s="71"/>
      <c r="I195" s="66"/>
      <c r="J195" s="68"/>
      <c r="K195" s="68"/>
      <c r="L195" s="68"/>
      <c r="M195" s="68"/>
      <c r="N195" s="67"/>
      <c r="O195" s="88"/>
      <c r="P195" s="88"/>
      <c r="Q195" s="90"/>
      <c r="R195" s="72"/>
      <c r="S195" s="72"/>
      <c r="T195" s="72"/>
      <c r="U195" s="72"/>
      <c r="V195" s="72"/>
      <c r="W195" s="72"/>
      <c r="X195" s="72"/>
      <c r="Y195" s="72"/>
    </row>
    <row r="196">
      <c r="A196" s="60" t="s">
        <v>1624</v>
      </c>
      <c r="B196" s="61" t="str">
        <f>IFERROR(__xludf.DUMMYFUNCTION("""COMPUTED_VALUE"""),"Local 1982")</f>
        <v>Local 1982</v>
      </c>
      <c r="C196" s="63" t="str">
        <f>IFERROR(__xludf.DUMMYFUNCTION("""COMPUTED_VALUE"""),"150")</f>
        <v>150</v>
      </c>
      <c r="D196" s="79" t="str">
        <f>IFERROR(__xludf.DUMMYFUNCTION("""COMPUTED_VALUE"""),"Local 1982, Int’l Longshoremen’s Ass’n v. Midwest Terminals of Toledo, Int’l, Inc., 944 F.3d 607, 612-13 (6th Cir. 2019) (Thapar, J., concurring)")</f>
        <v>Local 1982, Int’l Longshoremen’s Ass’n v. Midwest Terminals of Toledo, Int’l, Inc., 944 F.3d 607, 612-13 (6th Cir. 2019) (Thapar, J., concurring)</v>
      </c>
      <c r="E196" s="74" t="s">
        <v>1233</v>
      </c>
      <c r="F196" s="63" t="s">
        <v>1625</v>
      </c>
      <c r="G196" s="71" t="s">
        <v>1559</v>
      </c>
      <c r="H196" s="71"/>
      <c r="I196" s="66"/>
      <c r="J196" s="68"/>
      <c r="K196" s="68"/>
      <c r="L196" s="68"/>
      <c r="M196" s="68"/>
      <c r="N196" s="67"/>
      <c r="O196" s="88"/>
      <c r="P196" s="88"/>
      <c r="Q196" s="90"/>
      <c r="R196" s="72"/>
      <c r="S196" s="72"/>
      <c r="T196" s="72"/>
      <c r="U196" s="72"/>
      <c r="V196" s="72"/>
      <c r="W196" s="72"/>
      <c r="X196" s="72"/>
      <c r="Y196" s="72"/>
    </row>
    <row r="197">
      <c r="A197" s="60" t="s">
        <v>1626</v>
      </c>
      <c r="B197" s="61" t="str">
        <f>IFERROR(__xludf.DUMMYFUNCTION("""COMPUTED_VALUE"""),"Matter")</f>
        <v>Matter</v>
      </c>
      <c r="C197" s="63" t="str">
        <f>IFERROR(__xludf.DUMMYFUNCTION("""COMPUTED_VALUE"""),"151")</f>
        <v>151</v>
      </c>
      <c r="D197" s="79" t="str">
        <f>IFERROR(__xludf.DUMMYFUNCTION("""COMPUTED_VALUE"""),"Matter of Riggsby, 745 F.2d 1153, 1156 (7th Cir. 1984)")</f>
        <v>Matter of Riggsby, 745 F.2d 1153, 1156 (7th Cir. 1984)</v>
      </c>
      <c r="E197" s="74" t="s">
        <v>1233</v>
      </c>
      <c r="F197" s="63" t="s">
        <v>1627</v>
      </c>
      <c r="G197" s="71" t="s">
        <v>1559</v>
      </c>
      <c r="H197" s="71"/>
      <c r="I197" s="66"/>
      <c r="J197" s="68"/>
      <c r="K197" s="68"/>
      <c r="L197" s="68"/>
      <c r="M197" s="68"/>
      <c r="N197" s="67"/>
      <c r="O197" s="88"/>
      <c r="P197" s="88"/>
      <c r="Q197" s="90"/>
      <c r="R197" s="72"/>
      <c r="S197" s="72"/>
      <c r="T197" s="72"/>
      <c r="U197" s="72"/>
      <c r="V197" s="72"/>
      <c r="W197" s="72"/>
      <c r="X197" s="72"/>
      <c r="Y197" s="72"/>
    </row>
    <row r="198">
      <c r="A198" s="60" t="s">
        <v>1628</v>
      </c>
      <c r="B198" s="61" t="str">
        <f>IFERROR(__xludf.DUMMYFUNCTION("""COMPUTED_VALUE"""),"Am Train Dispatchers Dep't of Int'l BHD of Locomotive Eng'rs v Norfolk S Ry Co")</f>
        <v>Am Train Dispatchers Dep't of Int'l BHD of Locomotive Eng'rs v Norfolk S Ry Co</v>
      </c>
      <c r="C198" s="63" t="str">
        <f>IFERROR(__xludf.DUMMYFUNCTION("""COMPUTED_VALUE"""),"152")</f>
        <v>152</v>
      </c>
      <c r="D198" s="79" t="str">
        <f>IFERROR(__xludf.DUMMYFUNCTION("""COMPUTED_VALUE"""),"Am. Train Dispatchers Dep’t of Int’l Bhd. of Locomotive Eng’rs v. Norfolk S. Ry. Co., 67 F.3d 301, *3 (7th Cir. 1995) (unpublished)")</f>
        <v>Am. Train Dispatchers Dep’t of Int’l Bhd. of Locomotive Eng’rs v. Norfolk S. Ry. Co., 67 F.3d 301, *3 (7th Cir. 1995) (unpublished)</v>
      </c>
      <c r="E198" s="74" t="s">
        <v>1233</v>
      </c>
      <c r="F198" s="63" t="s">
        <v>1629</v>
      </c>
      <c r="G198" s="71" t="s">
        <v>1559</v>
      </c>
      <c r="H198" s="71"/>
      <c r="I198" s="66"/>
      <c r="J198" s="68"/>
      <c r="K198" s="68"/>
      <c r="L198" s="68"/>
      <c r="M198" s="68"/>
      <c r="N198" s="67"/>
      <c r="O198" s="88"/>
      <c r="P198" s="88"/>
      <c r="Q198" s="90"/>
      <c r="R198" s="72"/>
      <c r="S198" s="72"/>
      <c r="T198" s="72"/>
      <c r="U198" s="72"/>
      <c r="V198" s="72"/>
      <c r="W198" s="72"/>
      <c r="X198" s="72"/>
      <c r="Y198" s="72"/>
    </row>
    <row r="199">
      <c r="A199" s="60" t="s">
        <v>1630</v>
      </c>
      <c r="B199" s="61" t="str">
        <f>IFERROR(__xludf.DUMMYFUNCTION("""COMPUTED_VALUE"""),"Perlman v Swiss Bank Corp Comprehensive Disability Prot Plan")</f>
        <v>Perlman v Swiss Bank Corp Comprehensive Disability Prot Plan</v>
      </c>
      <c r="C199" s="63" t="str">
        <f>IFERROR(__xludf.DUMMYFUNCTION("""COMPUTED_VALUE"""),"153")</f>
        <v>153</v>
      </c>
      <c r="D199" s="79" t="str">
        <f>IFERROR(__xludf.DUMMYFUNCTION("""COMPUTED_VALUE"""),"Perlman v. Swiss Bank Corp. Comprehensive Disability Prot. Plan, 195 F.3d 975, 980 (7th Cir. 1999)")</f>
        <v>Perlman v. Swiss Bank Corp. Comprehensive Disability Prot. Plan, 195 F.3d 975, 980 (7th Cir. 1999)</v>
      </c>
      <c r="E199" s="74" t="s">
        <v>1233</v>
      </c>
      <c r="F199" s="63" t="s">
        <v>1631</v>
      </c>
      <c r="G199" s="71" t="s">
        <v>1559</v>
      </c>
      <c r="H199" s="71"/>
      <c r="I199" s="66"/>
      <c r="J199" s="68"/>
      <c r="K199" s="68"/>
      <c r="L199" s="68"/>
      <c r="M199" s="68"/>
      <c r="N199" s="67"/>
      <c r="O199" s="88"/>
      <c r="P199" s="88"/>
      <c r="Q199" s="90"/>
      <c r="R199" s="72"/>
      <c r="S199" s="72"/>
      <c r="T199" s="72"/>
      <c r="U199" s="72"/>
      <c r="V199" s="72"/>
      <c r="W199" s="72"/>
      <c r="X199" s="72"/>
      <c r="Y199" s="72"/>
    </row>
    <row r="200">
      <c r="A200" s="60" t="s">
        <v>1632</v>
      </c>
      <c r="B200" s="61" t="str">
        <f>IFERROR(__xludf.DUMMYFUNCTION("""COMPUTED_VALUE"""),"Travis v Sullivan")</f>
        <v>Travis v Sullivan</v>
      </c>
      <c r="C200" s="63" t="str">
        <f>IFERROR(__xludf.DUMMYFUNCTION("""COMPUTED_VALUE"""),"154")</f>
        <v>154</v>
      </c>
      <c r="D200" s="79" t="str">
        <f>IFERROR(__xludf.DUMMYFUNCTION("""COMPUTED_VALUE"""),"Travis v. Sullivan, 985 F.2d 919, 922-23 (7th Cir. 1993)")</f>
        <v>Travis v. Sullivan, 985 F.2d 919, 922-23 (7th Cir. 1993)</v>
      </c>
      <c r="E200" s="74" t="s">
        <v>1233</v>
      </c>
      <c r="F200" s="63" t="s">
        <v>1633</v>
      </c>
      <c r="G200" s="71" t="s">
        <v>1559</v>
      </c>
      <c r="H200" s="71"/>
      <c r="I200" s="66"/>
      <c r="J200" s="68"/>
      <c r="K200" s="68"/>
      <c r="L200" s="68"/>
      <c r="M200" s="68"/>
      <c r="N200" s="67"/>
      <c r="O200" s="88"/>
      <c r="P200" s="88"/>
      <c r="Q200" s="90"/>
      <c r="R200" s="72"/>
      <c r="S200" s="72"/>
      <c r="T200" s="72"/>
      <c r="U200" s="72"/>
      <c r="V200" s="72"/>
      <c r="W200" s="72"/>
      <c r="X200" s="72"/>
      <c r="Y200" s="72"/>
    </row>
    <row r="201">
      <c r="A201" s="60" t="s">
        <v>1634</v>
      </c>
      <c r="B201" s="61" t="str">
        <f>IFERROR(__xludf.DUMMYFUNCTION("""COMPUTED_VALUE"""),"Izaak Walton")</f>
        <v>Izaak Walton</v>
      </c>
      <c r="C201" s="63" t="str">
        <f>IFERROR(__xludf.DUMMYFUNCTION("""COMPUTED_VALUE"""),"156")</f>
        <v>156</v>
      </c>
      <c r="D201" s="79" t="str">
        <f>IFERROR(__xludf.DUMMYFUNCTION("""COMPUTED_VALUE"""),"Izaak Walton League of Am., Inc. v. Kimbell, 558 F.3d 751, 763 (8th Cir. 2009)")</f>
        <v>Izaak Walton League of Am., Inc. v. Kimbell, 558 F.3d 751, 763 (8th Cir. 2009)</v>
      </c>
      <c r="E201" s="74" t="s">
        <v>1233</v>
      </c>
      <c r="F201" s="63" t="s">
        <v>1635</v>
      </c>
      <c r="G201" s="71" t="s">
        <v>1559</v>
      </c>
      <c r="H201" s="71"/>
      <c r="I201" s="66"/>
      <c r="J201" s="68"/>
      <c r="K201" s="68"/>
      <c r="L201" s="68"/>
      <c r="M201" s="68"/>
      <c r="N201" s="67"/>
      <c r="O201" s="88"/>
      <c r="P201" s="88"/>
      <c r="Q201" s="90"/>
      <c r="R201" s="72"/>
      <c r="S201" s="72"/>
      <c r="T201" s="72"/>
      <c r="U201" s="72"/>
      <c r="V201" s="72"/>
      <c r="W201" s="72"/>
      <c r="X201" s="72"/>
      <c r="Y201" s="72"/>
    </row>
    <row r="202">
      <c r="A202" s="60" t="s">
        <v>1636</v>
      </c>
      <c r="B202" s="61" t="str">
        <f>IFERROR(__xludf.DUMMYFUNCTION("""COMPUTED_VALUE"""),"City")</f>
        <v>City</v>
      </c>
      <c r="C202" s="63" t="str">
        <f>IFERROR(__xludf.DUMMYFUNCTION("""COMPUTED_VALUE"""),"157")</f>
        <v>157</v>
      </c>
      <c r="D202" s="79" t="str">
        <f>IFERROR(__xludf.DUMMYFUNCTION("""COMPUTED_VALUE"""),"City of Council Bluffs, Iowa v. U.S. Dep’t of Interior, 11 F.4th 852, 856 (8th Cir. 2021)")</f>
        <v>City of Council Bluffs, Iowa v. U.S. Dep’t of Interior, 11 F.4th 852, 856 (8th Cir. 2021)</v>
      </c>
      <c r="E202" s="74" t="s">
        <v>1233</v>
      </c>
      <c r="F202" s="63" t="s">
        <v>1637</v>
      </c>
      <c r="G202" s="71" t="s">
        <v>1559</v>
      </c>
      <c r="H202" s="71"/>
      <c r="I202" s="66"/>
      <c r="J202" s="68"/>
      <c r="K202" s="68"/>
      <c r="L202" s="68"/>
      <c r="M202" s="68"/>
      <c r="N202" s="67"/>
      <c r="O202" s="88"/>
      <c r="P202" s="88"/>
      <c r="Q202" s="90"/>
      <c r="R202" s="72"/>
      <c r="S202" s="72"/>
      <c r="T202" s="72"/>
      <c r="U202" s="72"/>
      <c r="V202" s="72"/>
      <c r="W202" s="72"/>
      <c r="X202" s="72"/>
      <c r="Y202" s="72"/>
    </row>
    <row r="203">
      <c r="A203" s="60" t="s">
        <v>1638</v>
      </c>
      <c r="B203" s="61" t="str">
        <f>IFERROR(__xludf.DUMMYFUNCTION("""COMPUTED_VALUE"""),"Davies v Johanns")</f>
        <v>Davies v Johanns</v>
      </c>
      <c r="C203" s="63" t="str">
        <f>IFERROR(__xludf.DUMMYFUNCTION("""COMPUTED_VALUE"""),"157")</f>
        <v>157</v>
      </c>
      <c r="D203" s="79" t="str">
        <f>IFERROR(__xludf.DUMMYFUNCTION("""COMPUTED_VALUE"""),"Davies v. Johanns, 477 F.3d 968, 971 (8th Cir. 2007)")</f>
        <v>Davies v. Johanns, 477 F.3d 968, 971 (8th Cir. 2007)</v>
      </c>
      <c r="E203" s="74" t="s">
        <v>1233</v>
      </c>
      <c r="F203" s="63" t="s">
        <v>1639</v>
      </c>
      <c r="G203" s="71" t="s">
        <v>1640</v>
      </c>
      <c r="H203" s="71"/>
      <c r="I203" s="66"/>
      <c r="J203" s="68"/>
      <c r="K203" s="68"/>
      <c r="L203" s="68"/>
      <c r="M203" s="68"/>
      <c r="N203" s="67"/>
      <c r="O203" s="88"/>
      <c r="P203" s="88"/>
      <c r="Q203" s="90"/>
      <c r="R203" s="72"/>
      <c r="S203" s="72"/>
      <c r="T203" s="72"/>
      <c r="U203" s="72"/>
      <c r="V203" s="72"/>
      <c r="W203" s="72"/>
      <c r="X203" s="72"/>
      <c r="Y203" s="72"/>
    </row>
    <row r="204">
      <c r="A204" s="60" t="s">
        <v>1641</v>
      </c>
      <c r="B204" s="61" t="str">
        <f>IFERROR(__xludf.DUMMYFUNCTION("""COMPUTED_VALUE"""),"Supra Note 68 and Accompanying Text")</f>
        <v>Supra Note 68 and Accompanying Text</v>
      </c>
      <c r="C204" s="63" t="str">
        <f>IFERROR(__xludf.DUMMYFUNCTION("""COMPUTED_VALUE"""),"160")</f>
        <v>160</v>
      </c>
      <c r="D204" s="79" t="str">
        <f>IFERROR(__xludf.DUMMYFUNCTION("""COMPUTED_VALUE"""),"supra note 68 and accompanying text")</f>
        <v>supra note 68 and accompanying text</v>
      </c>
      <c r="E204" s="74" t="s">
        <v>1233</v>
      </c>
      <c r="F204" s="63" t="s">
        <v>1642</v>
      </c>
      <c r="G204" s="71" t="s">
        <v>1640</v>
      </c>
      <c r="H204" s="71"/>
      <c r="I204" s="66"/>
      <c r="J204" s="68"/>
      <c r="K204" s="68"/>
      <c r="L204" s="68"/>
      <c r="M204" s="68"/>
      <c r="N204" s="67"/>
      <c r="O204" s="88"/>
      <c r="P204" s="88"/>
      <c r="Q204" s="90"/>
      <c r="R204" s="72"/>
      <c r="S204" s="72"/>
      <c r="T204" s="72"/>
      <c r="U204" s="72"/>
      <c r="V204" s="72"/>
      <c r="W204" s="72"/>
      <c r="X204" s="72"/>
      <c r="Y204" s="72"/>
    </row>
    <row r="205">
      <c r="A205" s="60" t="s">
        <v>1643</v>
      </c>
      <c r="B205" s="61" t="str">
        <f>IFERROR(__xludf.DUMMYFUNCTION("""COMPUTED_VALUE"""),"Borntrager v Cent States")</f>
        <v>Borntrager v Cent States</v>
      </c>
      <c r="C205" s="63" t="str">
        <f>IFERROR(__xludf.DUMMYFUNCTION("""COMPUTED_VALUE"""),"160")</f>
        <v>160</v>
      </c>
      <c r="D205" s="79" t="str">
        <f>IFERROR(__xludf.DUMMYFUNCTION("""COMPUTED_VALUE"""),"Borntrager v. Cent. States, Se. &amp; Sw. Areas Pension Fund, 425 F.3d 1087, 1091-92 (8th Cir. 2005)")</f>
        <v>Borntrager v. Cent. States, Se. &amp; Sw. Areas Pension Fund, 425 F.3d 1087, 1091-92 (8th Cir. 2005)</v>
      </c>
      <c r="E205" s="74" t="s">
        <v>1233</v>
      </c>
      <c r="F205" s="63" t="s">
        <v>1644</v>
      </c>
      <c r="G205" s="71" t="s">
        <v>1640</v>
      </c>
      <c r="H205" s="71"/>
      <c r="I205" s="66"/>
      <c r="J205" s="68"/>
      <c r="K205" s="68"/>
      <c r="L205" s="68"/>
      <c r="M205" s="68"/>
      <c r="N205" s="67"/>
      <c r="O205" s="88"/>
      <c r="P205" s="88"/>
      <c r="Q205" s="90"/>
      <c r="R205" s="72"/>
      <c r="S205" s="72"/>
      <c r="T205" s="72"/>
      <c r="U205" s="72"/>
      <c r="V205" s="72"/>
      <c r="W205" s="72"/>
      <c r="X205" s="72"/>
      <c r="Y205" s="72"/>
    </row>
    <row r="206">
      <c r="A206" s="60" t="s">
        <v>1645</v>
      </c>
      <c r="B206" s="61" t="str">
        <f>IFERROR(__xludf.DUMMYFUNCTION("""COMPUTED_VALUE"""),"Sierra Forest Legacy v Sherman")</f>
        <v>Sierra Forest Legacy v Sherman</v>
      </c>
      <c r="C206" s="63" t="str">
        <f>IFERROR(__xludf.DUMMYFUNCTION("""COMPUTED_VALUE"""),"164")</f>
        <v>164</v>
      </c>
      <c r="D206" s="79" t="str">
        <f>IFERROR(__xludf.DUMMYFUNCTION("""COMPUTED_VALUE"""),"Sierra Forest Legacy v. Sherman, 646 F.3d 1161, 1175 (9th Cir. 2011)")</f>
        <v>Sierra Forest Legacy v. Sherman, 646 F.3d 1161, 1175 (9th Cir. 2011)</v>
      </c>
      <c r="E206" s="74" t="s">
        <v>1233</v>
      </c>
      <c r="F206" s="63" t="s">
        <v>1646</v>
      </c>
      <c r="G206" s="71" t="s">
        <v>1640</v>
      </c>
      <c r="H206" s="71"/>
      <c r="I206" s="66"/>
      <c r="J206" s="68"/>
      <c r="K206" s="68"/>
      <c r="L206" s="68"/>
      <c r="M206" s="68"/>
      <c r="N206" s="67"/>
      <c r="O206" s="88"/>
      <c r="P206" s="88"/>
      <c r="Q206" s="90"/>
      <c r="R206" s="72"/>
      <c r="S206" s="72"/>
      <c r="T206" s="72"/>
      <c r="U206" s="72"/>
      <c r="V206" s="72"/>
      <c r="W206" s="72"/>
      <c r="X206" s="72"/>
      <c r="Y206" s="72"/>
    </row>
    <row r="207">
      <c r="A207" s="60" t="s">
        <v>1647</v>
      </c>
      <c r="B207" s="61" t="str">
        <f>IFERROR(__xludf.DUMMYFUNCTION("""COMPUTED_VALUE"""),"United States v US Bd of Water Comm'rs")</f>
        <v>United States v US Bd of Water Comm'rs</v>
      </c>
      <c r="C207" s="63" t="str">
        <f>IFERROR(__xludf.DUMMYFUNCTION("""COMPUTED_VALUE"""),"164")</f>
        <v>164</v>
      </c>
      <c r="D207" s="79" t="str">
        <f>IFERROR(__xludf.DUMMYFUNCTION("""COMPUTED_VALUE"""),"United States v. U.S. Bd. of Water Comm’rs, 893 F.3d 578, 594 (9th Cir. 2018)")</f>
        <v>United States v. U.S. Bd. of Water Comm’rs, 893 F.3d 578, 594 (9th Cir. 2018)</v>
      </c>
      <c r="E207" s="74" t="s">
        <v>1233</v>
      </c>
      <c r="F207" s="63" t="s">
        <v>1648</v>
      </c>
      <c r="G207" s="71" t="s">
        <v>1640</v>
      </c>
      <c r="H207" s="71"/>
      <c r="I207" s="66"/>
      <c r="J207" s="68"/>
      <c r="K207" s="68"/>
      <c r="L207" s="68"/>
      <c r="M207" s="68"/>
      <c r="N207" s="67"/>
      <c r="O207" s="88"/>
      <c r="P207" s="88"/>
      <c r="Q207" s="90"/>
      <c r="R207" s="72"/>
      <c r="S207" s="72"/>
      <c r="T207" s="72"/>
      <c r="U207" s="72"/>
      <c r="V207" s="72"/>
      <c r="W207" s="72"/>
      <c r="X207" s="72"/>
      <c r="Y207" s="72"/>
    </row>
    <row r="208">
      <c r="A208" s="60" t="s">
        <v>1649</v>
      </c>
      <c r="B208" s="61" t="str">
        <f>IFERROR(__xludf.DUMMYFUNCTION("""COMPUTED_VALUE"""),"Gallatin Wildlife Ass'n v US Forest Serv")</f>
        <v>Gallatin Wildlife Ass'n v US Forest Serv</v>
      </c>
      <c r="C208" s="63" t="str">
        <f>IFERROR(__xludf.DUMMYFUNCTION("""COMPUTED_VALUE"""),"164")</f>
        <v>164</v>
      </c>
      <c r="D208" s="79" t="str">
        <f>IFERROR(__xludf.DUMMYFUNCTION("""COMPUTED_VALUE"""),"Gallatin Wildlife Ass’n v. U.S. Forest Serv., 743 Fed. Appx. 753, 756 (9th Cir. 2018)")</f>
        <v>Gallatin Wildlife Ass’n v. U.S. Forest Serv., 743 Fed. Appx. 753, 756 (9th Cir. 2018)</v>
      </c>
      <c r="E208" s="74" t="s">
        <v>1233</v>
      </c>
      <c r="F208" s="63" t="s">
        <v>1650</v>
      </c>
      <c r="G208" s="71" t="s">
        <v>1640</v>
      </c>
      <c r="H208" s="71"/>
      <c r="I208" s="66"/>
      <c r="J208" s="68"/>
      <c r="K208" s="68"/>
      <c r="L208" s="68"/>
      <c r="M208" s="68"/>
      <c r="N208" s="67"/>
      <c r="O208" s="88"/>
      <c r="P208" s="88"/>
      <c r="Q208" s="90"/>
      <c r="R208" s="72"/>
      <c r="S208" s="72"/>
      <c r="T208" s="72"/>
      <c r="U208" s="72"/>
      <c r="V208" s="72"/>
      <c r="W208" s="72"/>
      <c r="X208" s="72"/>
      <c r="Y208" s="72"/>
    </row>
    <row r="209">
      <c r="A209" s="60" t="s">
        <v>1651</v>
      </c>
      <c r="B209" s="61" t="str">
        <f>IFERROR(__xludf.DUMMYFUNCTION("""COMPUTED_VALUE"""),"Supra Notes 53-97 and Accompanying Text")</f>
        <v>Supra Notes 53-97 and Accompanying Text</v>
      </c>
      <c r="C209" s="63" t="str">
        <f>IFERROR(__xludf.DUMMYFUNCTION("""COMPUTED_VALUE"""),"164")</f>
        <v>164</v>
      </c>
      <c r="D209" s="79" t="str">
        <f>IFERROR(__xludf.DUMMYFUNCTION("""COMPUTED_VALUE"""),"supra notes 53-97 and accompanying text")</f>
        <v>supra notes 53-97 and accompanying text</v>
      </c>
      <c r="E209" s="74" t="s">
        <v>1233</v>
      </c>
      <c r="F209" s="63" t="s">
        <v>1652</v>
      </c>
      <c r="G209" s="71" t="s">
        <v>1640</v>
      </c>
      <c r="H209" s="71"/>
      <c r="I209" s="66"/>
      <c r="J209" s="68"/>
      <c r="K209" s="68"/>
      <c r="L209" s="68"/>
      <c r="M209" s="68"/>
      <c r="N209" s="67"/>
      <c r="O209" s="88"/>
      <c r="P209" s="88"/>
      <c r="Q209" s="90"/>
      <c r="R209" s="72"/>
      <c r="S209" s="72"/>
      <c r="T209" s="72"/>
      <c r="U209" s="72"/>
      <c r="V209" s="72"/>
      <c r="W209" s="72"/>
      <c r="X209" s="72"/>
      <c r="Y209" s="72"/>
    </row>
    <row r="210">
      <c r="A210" s="60" t="s">
        <v>1653</v>
      </c>
      <c r="B210" s="61" t="str">
        <f>IFERROR(__xludf.DUMMYFUNCTION("""COMPUTED_VALUE"""),"Nat'l Wildlife Fed'n v Nat'l Marine Fisheries Serv")</f>
        <v>Nat'l Wildlife Fed'n v Nat'l Marine Fisheries Serv</v>
      </c>
      <c r="C210" s="63" t="str">
        <f>IFERROR(__xludf.DUMMYFUNCTION("""COMPUTED_VALUE"""),"165")</f>
        <v>165</v>
      </c>
      <c r="D210" s="79" t="str">
        <f>IFERROR(__xludf.DUMMYFUNCTION("""COMPUTED_VALUE"""),"Nat’l Wildlife Fed’n v. Nat’l Marine Fisheries Serv., 886 F.3d 803, 816 (9th Cir. 2018)")</f>
        <v>Nat’l Wildlife Fed’n v. Nat’l Marine Fisheries Serv., 886 F.3d 803, 816 (9th Cir. 2018)</v>
      </c>
      <c r="E210" s="74" t="s">
        <v>1233</v>
      </c>
      <c r="F210" s="63" t="s">
        <v>1654</v>
      </c>
      <c r="G210" s="71" t="s">
        <v>1640</v>
      </c>
      <c r="H210" s="71"/>
      <c r="I210" s="66"/>
      <c r="J210" s="68"/>
      <c r="K210" s="68"/>
      <c r="L210" s="68"/>
      <c r="M210" s="68"/>
      <c r="N210" s="67"/>
      <c r="O210" s="88"/>
      <c r="P210" s="88"/>
      <c r="Q210" s="90"/>
      <c r="R210" s="72"/>
      <c r="S210" s="72"/>
      <c r="T210" s="72"/>
      <c r="U210" s="72"/>
      <c r="V210" s="72"/>
      <c r="W210" s="72"/>
      <c r="X210" s="72"/>
      <c r="Y210" s="72"/>
    </row>
    <row r="211">
      <c r="A211" s="60" t="s">
        <v>1655</v>
      </c>
      <c r="B211" s="61" t="str">
        <f>IFERROR(__xludf.DUMMYFUNCTION("""COMPUTED_VALUE"""),"Oregon Wild v Bureau of Land MGMT")</f>
        <v>Oregon Wild v Bureau of Land MGMT</v>
      </c>
      <c r="C211" s="63" t="str">
        <f>IFERROR(__xludf.DUMMYFUNCTION("""COMPUTED_VALUE"""),"165")</f>
        <v>165</v>
      </c>
      <c r="D211" s="79" t="str">
        <f>IFERROR(__xludf.DUMMYFUNCTION("""COMPUTED_VALUE"""),"Oregon Wild v. Bureau of Land Mgmt., 690 Fed. Appx. 987, 988 (9th Cir. 2017)")</f>
        <v>Oregon Wild v. Bureau of Land Mgmt., 690 Fed. Appx. 987, 988 (9th Cir. 2017)</v>
      </c>
      <c r="E211" s="74" t="s">
        <v>1233</v>
      </c>
      <c r="F211" s="63" t="s">
        <v>1656</v>
      </c>
      <c r="G211" s="71" t="s">
        <v>1640</v>
      </c>
      <c r="H211" s="71"/>
      <c r="I211" s="66"/>
      <c r="J211" s="68"/>
      <c r="K211" s="68"/>
      <c r="L211" s="68"/>
      <c r="M211" s="68"/>
      <c r="N211" s="67"/>
      <c r="O211" s="88"/>
      <c r="P211" s="88"/>
      <c r="Q211" s="90"/>
      <c r="R211" s="72"/>
      <c r="S211" s="72"/>
      <c r="T211" s="72"/>
      <c r="U211" s="72"/>
      <c r="V211" s="72"/>
      <c r="W211" s="72"/>
      <c r="X211" s="72"/>
      <c r="Y211" s="72"/>
    </row>
    <row r="212">
      <c r="A212" s="60" t="s">
        <v>1657</v>
      </c>
      <c r="B212" s="61" t="str">
        <f>IFERROR(__xludf.DUMMYFUNCTION("""COMPUTED_VALUE"""),"Crow Indian Tribe v United States")</f>
        <v>Crow Indian Tribe v United States</v>
      </c>
      <c r="C212" s="63" t="str">
        <f>IFERROR(__xludf.DUMMYFUNCTION("""COMPUTED_VALUE"""),"166")</f>
        <v>166</v>
      </c>
      <c r="D212" s="79" t="str">
        <f>IFERROR(__xludf.DUMMYFUNCTION("""COMPUTED_VALUE"""),"Crow Indian Tribe v. United States, 965 F.3d 662, 676 (9th Cir. 2020)")</f>
        <v>Crow Indian Tribe v. United States, 965 F.3d 662, 676 (9th Cir. 2020)</v>
      </c>
      <c r="E212" s="74" t="s">
        <v>1233</v>
      </c>
      <c r="F212" s="63" t="s">
        <v>1658</v>
      </c>
      <c r="G212" s="71" t="s">
        <v>1640</v>
      </c>
      <c r="H212" s="71"/>
      <c r="I212" s="66"/>
      <c r="J212" s="68"/>
      <c r="K212" s="68"/>
      <c r="L212" s="68"/>
      <c r="M212" s="68"/>
      <c r="N212" s="67"/>
      <c r="O212" s="88"/>
      <c r="P212" s="88"/>
      <c r="Q212" s="90"/>
      <c r="R212" s="72"/>
      <c r="S212" s="72"/>
      <c r="T212" s="72"/>
      <c r="U212" s="72"/>
      <c r="V212" s="72"/>
      <c r="W212" s="72"/>
      <c r="X212" s="72"/>
      <c r="Y212" s="72"/>
    </row>
    <row r="213">
      <c r="A213" s="60" t="s">
        <v>1659</v>
      </c>
      <c r="B213" s="61" t="str">
        <f>IFERROR(__xludf.DUMMYFUNCTION("""COMPUTED_VALUE"""),"Skagit Cnty")</f>
        <v>Skagit Cnty</v>
      </c>
      <c r="C213" s="63" t="str">
        <f>IFERROR(__xludf.DUMMYFUNCTION("""COMPUTED_VALUE"""),"166")</f>
        <v>166</v>
      </c>
      <c r="D213" s="79" t="str">
        <f>IFERROR(__xludf.DUMMYFUNCTION("""COMPUTED_VALUE"""),"Skagit Cnty., 80 F.3d at 384")</f>
        <v>Skagit Cnty., 80 F.3d at 384</v>
      </c>
      <c r="E213" s="74" t="s">
        <v>1233</v>
      </c>
      <c r="F213" s="63" t="s">
        <v>1660</v>
      </c>
      <c r="G213" s="71" t="s">
        <v>1640</v>
      </c>
      <c r="H213" s="71"/>
      <c r="I213" s="66"/>
      <c r="J213" s="68"/>
      <c r="K213" s="68"/>
      <c r="L213" s="68"/>
      <c r="M213" s="68"/>
      <c r="N213" s="67"/>
      <c r="O213" s="88"/>
      <c r="P213" s="88"/>
      <c r="Q213" s="90"/>
      <c r="R213" s="72"/>
      <c r="S213" s="72"/>
      <c r="T213" s="72"/>
      <c r="U213" s="72"/>
      <c r="V213" s="72"/>
      <c r="W213" s="72"/>
      <c r="X213" s="72"/>
      <c r="Y213" s="72"/>
    </row>
    <row r="214">
      <c r="A214" s="60" t="s">
        <v>1661</v>
      </c>
      <c r="B214" s="61" t="str">
        <f>IFERROR(__xludf.DUMMYFUNCTION("""COMPUTED_VALUE"""),"Neighbors Against Bison Slaughter v Nat'l Park Serv")</f>
        <v>Neighbors Against Bison Slaughter v Nat'l Park Serv</v>
      </c>
      <c r="C214" s="63" t="str">
        <f>IFERROR(__xludf.DUMMYFUNCTION("""COMPUTED_VALUE"""),"166")</f>
        <v>166</v>
      </c>
      <c r="D214" s="79" t="str">
        <f>IFERROR(__xludf.DUMMYFUNCTION("""COMPUTED_VALUE"""),"Neighbors Against Bison Slaughter v. Nat’l Park Serv., No. 21-35144, 2022 WL 1315302, *1 (9th Cir. May 3, 2022)")</f>
        <v>Neighbors Against Bison Slaughter v. Nat’l Park Serv., No. 21-35144, 2022 WL 1315302, *1 (9th Cir. May 3, 2022)</v>
      </c>
      <c r="E214" s="74" t="s">
        <v>1233</v>
      </c>
      <c r="F214" s="63" t="s">
        <v>1662</v>
      </c>
      <c r="G214" s="71" t="s">
        <v>1640</v>
      </c>
      <c r="H214" s="71"/>
      <c r="I214" s="66"/>
      <c r="J214" s="68"/>
      <c r="K214" s="68"/>
      <c r="L214" s="68"/>
      <c r="M214" s="68"/>
      <c r="N214" s="67"/>
      <c r="O214" s="88"/>
      <c r="P214" s="88"/>
      <c r="Q214" s="90"/>
      <c r="R214" s="72"/>
      <c r="S214" s="72"/>
      <c r="T214" s="72"/>
      <c r="U214" s="72"/>
      <c r="V214" s="72"/>
      <c r="W214" s="72"/>
      <c r="X214" s="72"/>
      <c r="Y214" s="72"/>
    </row>
    <row r="215">
      <c r="A215" s="60" t="s">
        <v>1663</v>
      </c>
      <c r="B215" s="61" t="str">
        <f>IFERROR(__xludf.DUMMYFUNCTION("""COMPUTED_VALUE"""),"Zen")</f>
        <v>Zen</v>
      </c>
      <c r="C215" s="63" t="str">
        <f>IFERROR(__xludf.DUMMYFUNCTION("""COMPUTED_VALUE"""),"167")</f>
        <v>167</v>
      </c>
      <c r="D215" s="79" t="str">
        <f>IFERROR(__xludf.DUMMYFUNCTION("""COMPUTED_VALUE"""),"Zen Magnets, LLC v. Consumer Product Safety Comm’n, 968 F.3d 1156, 1165-66 (9th Cir. 2020)")</f>
        <v>Zen Magnets, LLC v. Consumer Product Safety Comm’n, 968 F.3d 1156, 1165-66 (9th Cir. 2020)</v>
      </c>
      <c r="E215" s="74" t="s">
        <v>1233</v>
      </c>
      <c r="F215" s="63" t="s">
        <v>1664</v>
      </c>
      <c r="G215" s="71" t="s">
        <v>1640</v>
      </c>
      <c r="H215" s="71"/>
      <c r="I215" s="66"/>
      <c r="J215" s="68"/>
      <c r="K215" s="68"/>
      <c r="L215" s="68"/>
      <c r="M215" s="68"/>
      <c r="N215" s="67"/>
      <c r="O215" s="88"/>
      <c r="P215" s="88"/>
      <c r="Q215" s="90"/>
      <c r="R215" s="72"/>
      <c r="S215" s="72"/>
      <c r="T215" s="72"/>
      <c r="U215" s="72"/>
      <c r="V215" s="72"/>
      <c r="W215" s="72"/>
      <c r="X215" s="72"/>
      <c r="Y215" s="72"/>
    </row>
    <row r="216">
      <c r="A216" s="60" t="s">
        <v>1665</v>
      </c>
      <c r="B216" s="61" t="str">
        <f>IFERROR(__xludf.DUMMYFUNCTION("""COMPUTED_VALUE"""),"Pit River Tribe v US Forest Serv")</f>
        <v>Pit River Tribe v US Forest Serv</v>
      </c>
      <c r="C216" s="63" t="str">
        <f>IFERROR(__xludf.DUMMYFUNCTION("""COMPUTED_VALUE"""),"167")</f>
        <v>167</v>
      </c>
      <c r="D216" s="79" t="str">
        <f>IFERROR(__xludf.DUMMYFUNCTION("""COMPUTED_VALUE"""),"Pit River Tribe v. U.S. Forest Serv., 615 F.3d 1069, 1076 (9th Cir. 2010)")</f>
        <v>Pit River Tribe v. U.S. Forest Serv., 615 F.3d 1069, 1076 (9th Cir. 2010)</v>
      </c>
      <c r="E216" s="74" t="s">
        <v>1233</v>
      </c>
      <c r="F216" s="63" t="s">
        <v>1666</v>
      </c>
      <c r="G216" s="71" t="s">
        <v>1640</v>
      </c>
      <c r="H216" s="71"/>
      <c r="I216" s="66"/>
      <c r="J216" s="68"/>
      <c r="K216" s="68"/>
      <c r="L216" s="68"/>
      <c r="M216" s="68"/>
      <c r="N216" s="67"/>
      <c r="O216" s="88"/>
      <c r="P216" s="88"/>
      <c r="Q216" s="90"/>
      <c r="R216" s="72"/>
      <c r="S216" s="72"/>
      <c r="T216" s="72"/>
      <c r="U216" s="72"/>
      <c r="V216" s="72"/>
      <c r="W216" s="72"/>
      <c r="X216" s="72"/>
      <c r="Y216" s="72"/>
    </row>
    <row r="217">
      <c r="A217" s="60" t="s">
        <v>1667</v>
      </c>
      <c r="B217" s="61" t="str">
        <f>IFERROR(__xludf.DUMMYFUNCTION("""COMPUTED_VALUE"""),"Bair v Cal Dep't of Transp")</f>
        <v>Bair v Cal Dep't of Transp</v>
      </c>
      <c r="C217" s="63" t="str">
        <f>IFERROR(__xludf.DUMMYFUNCTION("""COMPUTED_VALUE"""),"170")</f>
        <v>170</v>
      </c>
      <c r="D217" s="79" t="str">
        <f>IFERROR(__xludf.DUMMYFUNCTION("""COMPUTED_VALUE"""),"Bair v. Cal. Dep’t of Transp., 982 F.3d 569, 577 (9th Cir. 2020)")</f>
        <v>Bair v. Cal. Dep’t of Transp., 982 F.3d 569, 577 (9th Cir. 2020)</v>
      </c>
      <c r="E217" s="74" t="s">
        <v>1233</v>
      </c>
      <c r="F217" s="63" t="s">
        <v>1668</v>
      </c>
      <c r="G217" s="71" t="s">
        <v>1640</v>
      </c>
      <c r="H217" s="71"/>
      <c r="I217" s="66"/>
      <c r="J217" s="68"/>
      <c r="K217" s="68"/>
      <c r="L217" s="68"/>
      <c r="M217" s="68"/>
      <c r="N217" s="67"/>
      <c r="O217" s="88"/>
      <c r="P217" s="88"/>
      <c r="Q217" s="90"/>
      <c r="R217" s="72"/>
      <c r="S217" s="72"/>
      <c r="T217" s="72"/>
      <c r="U217" s="72"/>
      <c r="V217" s="72"/>
      <c r="W217" s="72"/>
      <c r="X217" s="72"/>
      <c r="Y217" s="72"/>
    </row>
    <row r="218">
      <c r="A218" s="60" t="s">
        <v>1669</v>
      </c>
      <c r="B218" s="61" t="str">
        <f>IFERROR(__xludf.DUMMYFUNCTION("""COMPUTED_VALUE"""),"W Energy Alliance")</f>
        <v>W Energy Alliance</v>
      </c>
      <c r="C218" s="63" t="str">
        <f>IFERROR(__xludf.DUMMYFUNCTION("""COMPUTED_VALUE"""),"172")</f>
        <v>172</v>
      </c>
      <c r="D218" s="79" t="str">
        <f>IFERROR(__xludf.DUMMYFUNCTION("""COMPUTED_VALUE"""),"W. Energy All., 709 F.3d at 1049")</f>
        <v>W. Energy All., 709 F.3d at 1049</v>
      </c>
      <c r="E218" s="74" t="s">
        <v>1233</v>
      </c>
      <c r="F218" s="63" t="s">
        <v>1670</v>
      </c>
      <c r="G218" s="71" t="s">
        <v>1640</v>
      </c>
      <c r="H218" s="71"/>
      <c r="I218" s="66"/>
      <c r="J218" s="68"/>
      <c r="K218" s="68"/>
      <c r="L218" s="68"/>
      <c r="M218" s="68"/>
      <c r="N218" s="67"/>
      <c r="O218" s="88"/>
      <c r="P218" s="88"/>
      <c r="Q218" s="90"/>
      <c r="R218" s="72"/>
      <c r="S218" s="72"/>
      <c r="T218" s="72"/>
      <c r="U218" s="72"/>
      <c r="V218" s="72"/>
      <c r="W218" s="72"/>
      <c r="X218" s="72"/>
      <c r="Y218" s="72"/>
    </row>
    <row r="219">
      <c r="A219" s="60" t="s">
        <v>1671</v>
      </c>
      <c r="B219" s="61" t="str">
        <f>IFERROR(__xludf.DUMMYFUNCTION("""COMPUTED_VALUE"""),"Graham")</f>
        <v>Graham</v>
      </c>
      <c r="C219" s="63" t="str">
        <f>IFERROR(__xludf.DUMMYFUNCTION("""COMPUTED_VALUE"""),"172")</f>
        <v>172</v>
      </c>
      <c r="D219" s="79" t="str">
        <f>IFERROR(__xludf.DUMMYFUNCTION("""COMPUTED_VALUE"""),"Graham, 501 F.3d at 1158")</f>
        <v>Graham, 501 F.3d at 1158</v>
      </c>
      <c r="E219" s="74" t="s">
        <v>1233</v>
      </c>
      <c r="F219" s="63" t="s">
        <v>1672</v>
      </c>
      <c r="G219" s="71" t="s">
        <v>1640</v>
      </c>
      <c r="H219" s="71"/>
      <c r="I219" s="66"/>
      <c r="J219" s="68"/>
      <c r="K219" s="68"/>
      <c r="L219" s="68"/>
      <c r="M219" s="68"/>
      <c r="N219" s="67"/>
      <c r="O219" s="88"/>
      <c r="P219" s="88"/>
      <c r="Q219" s="90"/>
      <c r="R219" s="72"/>
      <c r="S219" s="72"/>
      <c r="T219" s="72"/>
      <c r="U219" s="72"/>
      <c r="V219" s="72"/>
      <c r="W219" s="72"/>
      <c r="X219" s="72"/>
      <c r="Y219" s="72"/>
    </row>
    <row r="220">
      <c r="A220" s="60" t="s">
        <v>1673</v>
      </c>
      <c r="B220" s="61" t="str">
        <f>IFERROR(__xludf.DUMMYFUNCTION("""COMPUTED_VALUE"""),"American Wild Horse Preservation Campaign v Jewell")</f>
        <v>American Wild Horse Preservation Campaign v Jewell</v>
      </c>
      <c r="C220" s="63" t="str">
        <f>IFERROR(__xludf.DUMMYFUNCTION("""COMPUTED_VALUE"""),"174")</f>
        <v>174</v>
      </c>
      <c r="D220" s="79" t="str">
        <f>IFERROR(__xludf.DUMMYFUNCTION("""COMPUTED_VALUE"""),"American Wild Horse Preservation Campaign v. Jewell, 847 F.3d 1174, 1185 (10th Cir. 2016)")</f>
        <v>American Wild Horse Preservation Campaign v. Jewell, 847 F.3d 1174, 1185 (10th Cir. 2016)</v>
      </c>
      <c r="E220" s="74" t="s">
        <v>1233</v>
      </c>
      <c r="F220" s="63" t="s">
        <v>1674</v>
      </c>
      <c r="G220" s="71" t="s">
        <v>1640</v>
      </c>
      <c r="H220" s="71"/>
      <c r="I220" s="66"/>
      <c r="J220" s="68"/>
      <c r="K220" s="68"/>
      <c r="L220" s="68"/>
      <c r="M220" s="68"/>
      <c r="N220" s="67"/>
      <c r="O220" s="88"/>
      <c r="P220" s="88"/>
      <c r="Q220" s="90"/>
      <c r="R220" s="72"/>
      <c r="S220" s="72"/>
      <c r="T220" s="72"/>
      <c r="U220" s="72"/>
      <c r="V220" s="72"/>
      <c r="W220" s="72"/>
      <c r="X220" s="72"/>
      <c r="Y220" s="72"/>
    </row>
    <row r="221">
      <c r="A221" s="60" t="s">
        <v>1675</v>
      </c>
      <c r="B221" s="61" t="str">
        <f>IFERROR(__xludf.DUMMYFUNCTION("""COMPUTED_VALUE"""),"New Mexico Health Connections v US Dep't of Health and Human Servs")</f>
        <v>New Mexico Health Connections v US Dep't of Health and Human Servs</v>
      </c>
      <c r="C221" s="63" t="str">
        <f>IFERROR(__xludf.DUMMYFUNCTION("""COMPUTED_VALUE"""),"175")</f>
        <v>175</v>
      </c>
      <c r="D221" s="79" t="str">
        <f>IFERROR(__xludf.DUMMYFUNCTION("""COMPUTED_VALUE"""),"New Mexico Health Connections v. U.S. Dep’t of Health &amp; Human Servs., 946 F.3d 1138, 1158 &amp; n.17 (10th Cir. 2019)")</f>
        <v>New Mexico Health Connections v. U.S. Dep’t of Health &amp; Human Servs., 946 F.3d 1138, 1158 &amp; n.17 (10th Cir. 2019)</v>
      </c>
      <c r="E221" s="74" t="s">
        <v>1233</v>
      </c>
      <c r="F221" s="63" t="s">
        <v>1676</v>
      </c>
      <c r="G221" s="71" t="s">
        <v>1640</v>
      </c>
      <c r="H221" s="71"/>
      <c r="I221" s="66"/>
      <c r="J221" s="68"/>
      <c r="K221" s="68"/>
      <c r="L221" s="68"/>
      <c r="M221" s="68"/>
      <c r="N221" s="67"/>
      <c r="O221" s="88"/>
      <c r="P221" s="88"/>
      <c r="Q221" s="90"/>
      <c r="R221" s="72"/>
      <c r="S221" s="72"/>
      <c r="T221" s="72"/>
      <c r="U221" s="72"/>
      <c r="V221" s="72"/>
      <c r="W221" s="72"/>
      <c r="X221" s="72"/>
      <c r="Y221" s="72"/>
    </row>
    <row r="222">
      <c r="A222" s="60" t="s">
        <v>1677</v>
      </c>
      <c r="B222" s="61" t="str">
        <f>IFERROR(__xludf.DUMMYFUNCTION("""COMPUTED_VALUE"""),"Rocky MTN Wild v Dallas")</f>
        <v>Rocky MTN Wild v Dallas</v>
      </c>
      <c r="C222" s="63" t="str">
        <f>IFERROR(__xludf.DUMMYFUNCTION("""COMPUTED_VALUE"""),"176")</f>
        <v>176</v>
      </c>
      <c r="D222" s="79" t="str">
        <f>IFERROR(__xludf.DUMMYFUNCTION("""COMPUTED_VALUE"""),"Rocky MTN Wild v Dallas")</f>
        <v>Rocky MTN Wild v Dallas</v>
      </c>
      <c r="E222" s="74" t="s">
        <v>1233</v>
      </c>
      <c r="F222" s="63" t="s">
        <v>1678</v>
      </c>
      <c r="G222" s="71" t="s">
        <v>1640</v>
      </c>
      <c r="H222" s="71"/>
      <c r="I222" s="66"/>
      <c r="J222" s="68"/>
      <c r="K222" s="68"/>
      <c r="L222" s="68"/>
      <c r="M222" s="68"/>
      <c r="N222" s="67"/>
      <c r="O222" s="88"/>
      <c r="P222" s="88"/>
      <c r="Q222" s="90"/>
      <c r="R222" s="72"/>
      <c r="S222" s="72"/>
      <c r="T222" s="72"/>
      <c r="U222" s="72"/>
      <c r="V222" s="72"/>
      <c r="W222" s="72"/>
      <c r="X222" s="72"/>
      <c r="Y222" s="72"/>
    </row>
    <row r="223">
      <c r="A223" s="60" t="s">
        <v>1679</v>
      </c>
      <c r="B223" s="61" t="str">
        <f>IFERROR(__xludf.DUMMYFUNCTION("""COMPUTED_VALUE"""),"Trout Unlimited v US Dep't of Agric")</f>
        <v>Trout Unlimited v US Dep't of Agric</v>
      </c>
      <c r="C223" s="63" t="str">
        <f>IFERROR(__xludf.DUMMYFUNCTION("""COMPUTED_VALUE"""),"176")</f>
        <v>176</v>
      </c>
      <c r="D223" s="79" t="str">
        <f>IFERROR(__xludf.DUMMYFUNCTION("""COMPUTED_VALUE"""),"Trout Unlimited v. U.S. Dep’t of Agric., 441 F.3d 1214, 1218-19 (10th Cir. 2006)")</f>
        <v>Trout Unlimited v. U.S. Dep’t of Agric., 441 F.3d 1214, 1218-19 (10th Cir. 2006)</v>
      </c>
      <c r="E223" s="74" t="s">
        <v>1233</v>
      </c>
      <c r="F223" s="63" t="s">
        <v>1680</v>
      </c>
      <c r="G223" s="71" t="s">
        <v>1640</v>
      </c>
      <c r="H223" s="71"/>
      <c r="I223" s="66"/>
      <c r="J223" s="68"/>
      <c r="K223" s="68"/>
      <c r="L223" s="68"/>
      <c r="M223" s="68"/>
      <c r="N223" s="67"/>
      <c r="O223" s="88"/>
      <c r="P223" s="88"/>
      <c r="Q223" s="90"/>
      <c r="R223" s="72"/>
      <c r="S223" s="72"/>
      <c r="T223" s="72"/>
      <c r="U223" s="72"/>
      <c r="V223" s="72"/>
      <c r="W223" s="72"/>
      <c r="X223" s="72"/>
      <c r="Y223" s="72"/>
    </row>
    <row r="224">
      <c r="A224" s="60" t="s">
        <v>1681</v>
      </c>
      <c r="B224" s="61" t="str">
        <f>IFERROR(__xludf.DUMMYFUNCTION("""COMPUTED_VALUE"""),"Merit")</f>
        <v>Merit</v>
      </c>
      <c r="C224" s="63" t="str">
        <f>IFERROR(__xludf.DUMMYFUNCTION("""COMPUTED_VALUE"""),"177")</f>
        <v>177</v>
      </c>
      <c r="D224" s="79" t="str">
        <f>IFERROR(__xludf.DUMMYFUNCTION("""COMPUTED_VALUE"""),"Merit Energy Co., LLC v. Haaland, Nos. 21-8047 and 21-8048, 2022 WL 17844513, *4 (10th Cir. 2022)")</f>
        <v>Merit Energy Co., LLC v. Haaland, Nos. 21-8047 and 21-8048, 2022 WL 17844513, *4 (10th Cir. 2022)</v>
      </c>
      <c r="E224" s="74" t="s">
        <v>1233</v>
      </c>
      <c r="F224" s="63" t="s">
        <v>1682</v>
      </c>
      <c r="G224" s="71" t="s">
        <v>1640</v>
      </c>
      <c r="H224" s="71"/>
      <c r="I224" s="66"/>
      <c r="J224" s="68"/>
      <c r="K224" s="68"/>
      <c r="L224" s="68"/>
      <c r="M224" s="68"/>
      <c r="N224" s="67"/>
      <c r="O224" s="88"/>
      <c r="P224" s="88"/>
      <c r="Q224" s="90"/>
      <c r="R224" s="72"/>
      <c r="S224" s="72"/>
      <c r="T224" s="72"/>
      <c r="U224" s="72"/>
      <c r="V224" s="72"/>
      <c r="W224" s="72"/>
      <c r="X224" s="72"/>
      <c r="Y224" s="72"/>
    </row>
    <row r="225">
      <c r="A225" s="60" t="s">
        <v>1683</v>
      </c>
      <c r="B225" s="61" t="str">
        <f>IFERROR(__xludf.DUMMYFUNCTION("""COMPUTED_VALUE"""),"S Utah Wilderness Alliance v Kempthorne")</f>
        <v>S Utah Wilderness Alliance v Kempthorne</v>
      </c>
      <c r="C225" s="63" t="str">
        <f>IFERROR(__xludf.DUMMYFUNCTION("""COMPUTED_VALUE"""),"177")</f>
        <v>177</v>
      </c>
      <c r="D225" s="79" t="str">
        <f>IFERROR(__xludf.DUMMYFUNCTION("""COMPUTED_VALUE"""),"S. Utah Wilderness Alliance v. Kempthorne, 525 F.3d 966, 970 (10th Cir. 2008)")</f>
        <v>S. Utah Wilderness Alliance v. Kempthorne, 525 F.3d 966, 970 (10th Cir. 2008)</v>
      </c>
      <c r="E225" s="74" t="s">
        <v>1233</v>
      </c>
      <c r="F225" s="63" t="s">
        <v>1684</v>
      </c>
      <c r="G225" s="71" t="s">
        <v>1640</v>
      </c>
      <c r="H225" s="71"/>
      <c r="I225" s="66"/>
      <c r="J225" s="68"/>
      <c r="K225" s="68"/>
      <c r="L225" s="68"/>
      <c r="M225" s="68"/>
      <c r="N225" s="67"/>
      <c r="O225" s="88"/>
      <c r="P225" s="88"/>
      <c r="Q225" s="90"/>
      <c r="R225" s="72"/>
      <c r="S225" s="72"/>
      <c r="T225" s="72"/>
      <c r="U225" s="72"/>
      <c r="V225" s="72"/>
      <c r="W225" s="72"/>
      <c r="X225" s="72"/>
      <c r="Y225" s="72"/>
    </row>
    <row r="226">
      <c r="A226" s="60" t="s">
        <v>1685</v>
      </c>
      <c r="B226" s="61" t="str">
        <f>IFERROR(__xludf.DUMMYFUNCTION("""COMPUTED_VALUE"""),"Rocky MTN Unpublished")</f>
        <v>Rocky MTN Unpublished</v>
      </c>
      <c r="C226" s="63" t="str">
        <f>IFERROR(__xludf.DUMMYFUNCTION("""COMPUTED_VALUE"""),"177")</f>
        <v>177</v>
      </c>
      <c r="D226" s="79" t="str">
        <f>IFERROR(__xludf.DUMMYFUNCTION("""COMPUTED_VALUE"""),"Rocky Mtn. Wild v. Dallas, Nos. 17-1366 and 17-1413, 2018 WL 11225766, *4-5 (10th Cir. 2018)")</f>
        <v>Rocky Mtn. Wild v. Dallas, Nos. 17-1366 and 17-1413, 2018 WL 11225766, *4-5 (10th Cir. 2018)</v>
      </c>
      <c r="E226" s="74" t="s">
        <v>1233</v>
      </c>
      <c r="F226" s="63" t="s">
        <v>1686</v>
      </c>
      <c r="G226" s="71" t="s">
        <v>1640</v>
      </c>
      <c r="H226" s="71"/>
      <c r="I226" s="66"/>
      <c r="J226" s="68"/>
      <c r="K226" s="68"/>
      <c r="L226" s="68"/>
      <c r="M226" s="68"/>
      <c r="N226" s="67"/>
      <c r="O226" s="88"/>
      <c r="P226" s="88"/>
      <c r="Q226" s="90"/>
      <c r="R226" s="72"/>
      <c r="S226" s="72"/>
      <c r="T226" s="72"/>
      <c r="U226" s="72"/>
      <c r="V226" s="72"/>
      <c r="W226" s="72"/>
      <c r="X226" s="72"/>
      <c r="Y226" s="72"/>
    </row>
    <row r="227">
      <c r="A227" s="60" t="s">
        <v>1687</v>
      </c>
      <c r="B227" s="61" t="str">
        <f>IFERROR(__xludf.DUMMYFUNCTION("""COMPUTED_VALUE"""),"Dine Citizens Against Ruining Our Env't v Klein")</f>
        <v>Dine Citizens Against Ruining Our Env't v Klein</v>
      </c>
      <c r="C227" s="63" t="str">
        <f>IFERROR(__xludf.DUMMYFUNCTION("""COMPUTED_VALUE"""),"177")</f>
        <v>177</v>
      </c>
      <c r="D227" s="79" t="str">
        <f>IFERROR(__xludf.DUMMYFUNCTION("""COMPUTED_VALUE"""),"Dine Citizens Against Ruining Our Env’t v. Klein, 439 Fed. Appx. 679, 681-82 (10th Cir. 2011)")</f>
        <v>Dine Citizens Against Ruining Our Env’t v. Klein, 439 Fed. Appx. 679, 681-82 (10th Cir. 2011)</v>
      </c>
      <c r="E227" s="74" t="s">
        <v>1233</v>
      </c>
      <c r="F227" s="63" t="s">
        <v>1688</v>
      </c>
      <c r="G227" s="71" t="s">
        <v>1640</v>
      </c>
      <c r="H227" s="71"/>
      <c r="I227" s="66"/>
      <c r="J227" s="68"/>
      <c r="K227" s="68"/>
      <c r="L227" s="68"/>
      <c r="M227" s="68"/>
      <c r="N227" s="67"/>
      <c r="O227" s="88"/>
      <c r="P227" s="88"/>
      <c r="Q227" s="90"/>
      <c r="R227" s="72"/>
      <c r="S227" s="72"/>
      <c r="T227" s="72"/>
      <c r="U227" s="72"/>
      <c r="V227" s="72"/>
      <c r="W227" s="72"/>
      <c r="X227" s="72"/>
      <c r="Y227" s="72"/>
    </row>
    <row r="228">
      <c r="A228" s="60" t="s">
        <v>1689</v>
      </c>
      <c r="B228" s="61" t="str">
        <f>IFERROR(__xludf.DUMMYFUNCTION("""COMPUTED_VALUE"""),"Mci Telecomms Corp v Bellsouth Telecomms Corp")</f>
        <v>Mci Telecomms Corp v Bellsouth Telecomms Corp</v>
      </c>
      <c r="C228" s="63" t="str">
        <f>IFERROR(__xludf.DUMMYFUNCTION("""COMPUTED_VALUE"""),"178")</f>
        <v>178</v>
      </c>
      <c r="D228" s="79" t="str">
        <f>IFERROR(__xludf.DUMMYFUNCTION("""COMPUTED_VALUE"""),"MCI Telecomms. Corp. v. BellSouth Telecomms. Corp., 298 F.3d 1269, 1271 (11th Cir. 2002) (per curiam)")</f>
        <v>MCI Telecomms. Corp. v. BellSouth Telecomms. Corp., 298 F.3d 1269, 1271 (11th Cir. 2002) (per curiam)</v>
      </c>
      <c r="E228" s="74" t="s">
        <v>1233</v>
      </c>
      <c r="F228" s="63" t="s">
        <v>1690</v>
      </c>
      <c r="G228" s="71" t="s">
        <v>1640</v>
      </c>
      <c r="H228" s="71"/>
      <c r="I228" s="66"/>
      <c r="J228" s="68"/>
      <c r="K228" s="68"/>
      <c r="L228" s="68"/>
      <c r="M228" s="68"/>
      <c r="N228" s="67"/>
      <c r="O228" s="88"/>
      <c r="P228" s="88"/>
      <c r="Q228" s="90"/>
      <c r="R228" s="72"/>
      <c r="S228" s="72"/>
      <c r="T228" s="72"/>
      <c r="U228" s="72"/>
      <c r="V228" s="72"/>
      <c r="W228" s="72"/>
      <c r="X228" s="72"/>
      <c r="Y228" s="72"/>
    </row>
    <row r="229">
      <c r="A229" s="60" t="s">
        <v>1691</v>
      </c>
      <c r="B229" s="61" t="str">
        <f>IFERROR(__xludf.DUMMYFUNCTION("""COMPUTED_VALUE"""),"Fla")</f>
        <v>Fla</v>
      </c>
      <c r="C229" s="63" t="str">
        <f>IFERROR(__xludf.DUMMYFUNCTION("""COMPUTED_VALUE"""),"179")</f>
        <v>179</v>
      </c>
      <c r="D229" s="79" t="str">
        <f>IFERROR(__xludf.DUMMYFUNCTION("""COMPUTED_VALUE"""),"Fla. Wildlife Fed’n, Inc. v. Adm’r, U.S. Env’t Prot. Agency, 737 F.3d 689, 694 (11th Cir. 2013) (per curiam)")</f>
        <v>Fla. Wildlife Fed’n, Inc. v. Adm’r, U.S. Env’t Prot. Agency, 737 F.3d 689, 694 (11th Cir. 2013) (per curiam)</v>
      </c>
      <c r="E229" s="74" t="s">
        <v>1233</v>
      </c>
      <c r="F229" s="63" t="s">
        <v>1692</v>
      </c>
      <c r="G229" s="71" t="s">
        <v>1640</v>
      </c>
      <c r="H229" s="71"/>
      <c r="I229" s="66"/>
      <c r="J229" s="68"/>
      <c r="K229" s="68"/>
      <c r="L229" s="68"/>
      <c r="M229" s="68"/>
      <c r="N229" s="67"/>
      <c r="O229" s="88"/>
      <c r="P229" s="88"/>
      <c r="Q229" s="90"/>
      <c r="R229" s="72"/>
      <c r="S229" s="72"/>
      <c r="T229" s="72"/>
      <c r="U229" s="72"/>
      <c r="V229" s="72"/>
      <c r="W229" s="72"/>
      <c r="X229" s="72"/>
      <c r="Y229" s="72"/>
    </row>
    <row r="230">
      <c r="A230" s="60" t="s">
        <v>1693</v>
      </c>
      <c r="B230" s="61" t="str">
        <f>IFERROR(__xludf.DUMMYFUNCTION("""COMPUTED_VALUE"""),"Supra Notes 145-146")</f>
        <v>Supra Notes 145-146</v>
      </c>
      <c r="C230" s="63" t="str">
        <f>IFERROR(__xludf.DUMMYFUNCTION("""COMPUTED_VALUE"""),"183")</f>
        <v>183</v>
      </c>
      <c r="D230" s="79" t="str">
        <f>IFERROR(__xludf.DUMMYFUNCTION("""COMPUTED_VALUE"""),"supra notes 145-146, 174-176 and accompanying text")</f>
        <v>supra notes 145-146, 174-176 and accompanying text</v>
      </c>
      <c r="E230" s="74" t="s">
        <v>1233</v>
      </c>
      <c r="F230" s="63" t="s">
        <v>1694</v>
      </c>
      <c r="G230" s="71" t="s">
        <v>1640</v>
      </c>
      <c r="H230" s="71"/>
      <c r="I230" s="66"/>
      <c r="J230" s="68"/>
      <c r="K230" s="68"/>
      <c r="L230" s="68"/>
      <c r="M230" s="68"/>
      <c r="N230" s="67"/>
      <c r="O230" s="88"/>
      <c r="P230" s="88"/>
      <c r="Q230" s="90"/>
      <c r="R230" s="72"/>
      <c r="S230" s="72"/>
      <c r="T230" s="72"/>
      <c r="U230" s="72"/>
      <c r="V230" s="72"/>
      <c r="W230" s="72"/>
      <c r="X230" s="72"/>
      <c r="Y230" s="72"/>
    </row>
    <row r="231">
      <c r="A231" s="60" t="s">
        <v>1695</v>
      </c>
      <c r="B231" s="61" t="str">
        <f>IFERROR(__xludf.DUMMYFUNCTION("""COMPUTED_VALUE"""),"Cherokee Nation v Bernhardt")</f>
        <v>Cherokee Nation v Bernhardt</v>
      </c>
      <c r="C231" s="63" t="str">
        <f>IFERROR(__xludf.DUMMYFUNCTION("""COMPUTED_VALUE"""),"185")</f>
        <v>185</v>
      </c>
      <c r="D231" s="79" t="str">
        <f>IFERROR(__xludf.DUMMYFUNCTION("""COMPUTED_VALUE"""),"Cherokee Nation v. Bernhardt, 936 F.3d 1142, 1152 (10th Cir. 2019)")</f>
        <v>Cherokee Nation v. Bernhardt, 936 F.3d 1142, 1152 (10th Cir. 2019)</v>
      </c>
      <c r="E231" s="74" t="s">
        <v>1233</v>
      </c>
      <c r="F231" s="63" t="s">
        <v>1696</v>
      </c>
      <c r="G231" s="71" t="s">
        <v>1640</v>
      </c>
      <c r="H231" s="71"/>
      <c r="I231" s="66"/>
      <c r="J231" s="68"/>
      <c r="K231" s="68"/>
      <c r="L231" s="68"/>
      <c r="M231" s="68"/>
      <c r="N231" s="67"/>
      <c r="O231" s="88"/>
      <c r="P231" s="88"/>
      <c r="Q231" s="90"/>
      <c r="R231" s="72"/>
      <c r="S231" s="72"/>
      <c r="T231" s="72"/>
      <c r="U231" s="72"/>
      <c r="V231" s="72"/>
      <c r="W231" s="72"/>
      <c r="X231" s="72"/>
      <c r="Y231" s="72"/>
    </row>
    <row r="232">
      <c r="A232" s="60" t="s">
        <v>1697</v>
      </c>
      <c r="B232" s="61" t="str">
        <f>IFERROR(__xludf.DUMMYFUNCTION("""COMPUTED_VALUE"""),"Supra Note 165 and Accompanying Text")</f>
        <v>Supra Note 165 and Accompanying Text</v>
      </c>
      <c r="C232" s="63" t="str">
        <f>IFERROR(__xludf.DUMMYFUNCTION("""COMPUTED_VALUE"""),"186")</f>
        <v>186</v>
      </c>
      <c r="D232" s="79" t="str">
        <f>IFERROR(__xludf.DUMMYFUNCTION("""COMPUTED_VALUE"""),"supra note 165 and accompanying text")</f>
        <v>supra note 165 and accompanying text</v>
      </c>
      <c r="E232" s="74" t="s">
        <v>1233</v>
      </c>
      <c r="F232" s="63" t="s">
        <v>1698</v>
      </c>
      <c r="G232" s="71" t="s">
        <v>1640</v>
      </c>
      <c r="H232" s="71"/>
      <c r="I232" s="66"/>
      <c r="J232" s="68"/>
      <c r="K232" s="68"/>
      <c r="L232" s="68"/>
      <c r="M232" s="68"/>
      <c r="N232" s="67"/>
      <c r="O232" s="88"/>
      <c r="P232" s="88"/>
      <c r="Q232" s="90"/>
      <c r="R232" s="72"/>
      <c r="S232" s="72"/>
      <c r="T232" s="72"/>
      <c r="U232" s="72"/>
      <c r="V232" s="72"/>
      <c r="W232" s="72"/>
      <c r="X232" s="72"/>
      <c r="Y232" s="72"/>
    </row>
    <row r="233">
      <c r="A233" s="60" t="s">
        <v>1699</v>
      </c>
      <c r="B233" s="61" t="str">
        <f>IFERROR(__xludf.DUMMYFUNCTION("""COMPUTED_VALUE"""),"Administrative Office")</f>
        <v>Administrative Office</v>
      </c>
      <c r="C233" s="63" t="str">
        <f>IFERROR(__xludf.DUMMYFUNCTION("""COMPUTED_VALUE"""),"188")</f>
        <v>188</v>
      </c>
      <c r="D233" s="79" t="str">
        <f>IFERROR(__xludf.DUMMYFUNCTION("""COMPUTED_VALUE"""),"Administrative Office of the U.S. Courts, Table C-3—U.S. District Courts—Civil Cases Filed, by Jurisdiction, Nature of Suit, and District (12 months ending June 30, 2025) (downloadable .xlsx), https://www.uscourts.gov/data-news/reports/statistical-reports"&amp;"/statistical-tables-federal-judiciary/statistical-tables-federal-judiciary-june-2025?utm_source=chatgpt.com")</f>
        <v>Administrative Office of the U.S. Courts, Table C-3—U.S. District Courts—Civil Cases Filed, by Jurisdiction, Nature of Suit, and District (12 months ending June 30, 2025) (downloadable .xlsx), https://www.uscourts.gov/data-news/reports/statistical-reports/statistical-tables-federal-judiciary/statistical-tables-federal-judiciary-june-2025?utm_source=chatgpt.com</v>
      </c>
      <c r="E233" s="74" t="s">
        <v>1233</v>
      </c>
      <c r="F233" s="63" t="s">
        <v>1700</v>
      </c>
      <c r="G233" s="71" t="s">
        <v>1640</v>
      </c>
      <c r="H233" s="71"/>
      <c r="I233" s="66"/>
      <c r="J233" s="68"/>
      <c r="K233" s="68"/>
      <c r="L233" s="68"/>
      <c r="M233" s="68"/>
      <c r="N233" s="67"/>
      <c r="O233" s="88"/>
      <c r="P233" s="88"/>
      <c r="Q233" s="90"/>
      <c r="R233" s="72"/>
      <c r="S233" s="72"/>
      <c r="T233" s="72"/>
      <c r="U233" s="72"/>
      <c r="V233" s="72"/>
      <c r="W233" s="72"/>
      <c r="X233" s="72"/>
      <c r="Y233" s="72"/>
    </row>
    <row r="234">
      <c r="A234" s="60" t="s">
        <v>1701</v>
      </c>
      <c r="B234" s="61" t="str">
        <f>IFERROR(__xludf.DUMMYFUNCTION("""COMPUTED_VALUE"""),"Chang v United States")</f>
        <v>Chang v United States</v>
      </c>
      <c r="C234" s="63" t="str">
        <f>IFERROR(__xludf.DUMMYFUNCTION("""COMPUTED_VALUE"""),"189")</f>
        <v>189</v>
      </c>
      <c r="D234" s="79" t="str">
        <f>IFERROR(__xludf.DUMMYFUNCTION("""COMPUTED_VALUE"""),"Chang v. United States, 327 F.3d 911, 925 (9th Cir. 2003)")</f>
        <v>Chang v. United States, 327 F.3d 911, 925 (9th Cir. 2003)</v>
      </c>
      <c r="E234" s="74" t="s">
        <v>1233</v>
      </c>
      <c r="F234" s="63" t="s">
        <v>1702</v>
      </c>
      <c r="G234" s="71" t="s">
        <v>1640</v>
      </c>
      <c r="H234" s="71"/>
      <c r="I234" s="66"/>
      <c r="J234" s="68"/>
      <c r="K234" s="68"/>
      <c r="L234" s="68"/>
      <c r="M234" s="68"/>
      <c r="N234" s="67"/>
      <c r="O234" s="88"/>
      <c r="P234" s="88"/>
      <c r="Q234" s="90"/>
      <c r="R234" s="72"/>
      <c r="S234" s="72"/>
      <c r="T234" s="72"/>
      <c r="U234" s="72"/>
      <c r="V234" s="72"/>
      <c r="W234" s="72"/>
      <c r="X234" s="72"/>
      <c r="Y234" s="72"/>
    </row>
    <row r="235">
      <c r="A235" s="60" t="s">
        <v>1703</v>
      </c>
      <c r="B235" s="61" t="str">
        <f>IFERROR(__xludf.DUMMYFUNCTION("""COMPUTED_VALUE"""),"Bitterroot")</f>
        <v>Bitterroot</v>
      </c>
      <c r="C235" s="63" t="str">
        <f>IFERROR(__xludf.DUMMYFUNCTION("""COMPUTED_VALUE"""),"193")</f>
        <v>193</v>
      </c>
      <c r="D235" s="79" t="str">
        <f>IFERROR(__xludf.DUMMYFUNCTION("""COMPUTED_VALUE"""),"Bitterroot Ridge Runners Snowmobile Club, 833 Fed. Appx. at 90")</f>
        <v>Bitterroot Ridge Runners Snowmobile Club, 833 Fed. Appx. at 90</v>
      </c>
      <c r="E235" s="74" t="s">
        <v>1233</v>
      </c>
      <c r="F235" s="63" t="s">
        <v>1704</v>
      </c>
      <c r="G235" s="71" t="s">
        <v>1640</v>
      </c>
      <c r="H235" s="71"/>
      <c r="I235" s="66"/>
      <c r="J235" s="68"/>
      <c r="K235" s="68"/>
      <c r="L235" s="68"/>
      <c r="M235" s="68"/>
      <c r="N235" s="67"/>
      <c r="O235" s="88"/>
      <c r="P235" s="88"/>
      <c r="Q235" s="90"/>
      <c r="R235" s="72"/>
      <c r="S235" s="72"/>
      <c r="T235" s="72"/>
      <c r="U235" s="72"/>
      <c r="V235" s="72"/>
      <c r="W235" s="72"/>
      <c r="X235" s="72"/>
      <c r="Y235" s="72"/>
    </row>
    <row r="236">
      <c r="A236" s="60" t="s">
        <v>1705</v>
      </c>
      <c r="B236" s="61" t="str">
        <f>IFERROR(__xludf.DUMMYFUNCTION("""COMPUTED_VALUE"""),"Infra Notes 227-251")</f>
        <v>Infra Notes 227-251</v>
      </c>
      <c r="C236" s="63" t="str">
        <f>IFERROR(__xludf.DUMMYFUNCTION("""COMPUTED_VALUE"""),"193")</f>
        <v>193</v>
      </c>
      <c r="D236" s="79" t="str">
        <f>IFERROR(__xludf.DUMMYFUNCTION("""COMPUTED_VALUE"""),"infra notes 227-251, 263-270 and accompanying text")</f>
        <v>infra notes 227-251, 263-270 and accompanying text</v>
      </c>
      <c r="E236" s="74" t="s">
        <v>1233</v>
      </c>
      <c r="F236" s="63" t="s">
        <v>1706</v>
      </c>
      <c r="G236" s="71" t="s">
        <v>1640</v>
      </c>
      <c r="H236" s="71"/>
      <c r="I236" s="66"/>
      <c r="J236" s="68"/>
      <c r="K236" s="68"/>
      <c r="L236" s="68"/>
      <c r="M236" s="68"/>
      <c r="N236" s="67"/>
      <c r="O236" s="88"/>
      <c r="P236" s="88"/>
      <c r="Q236" s="90"/>
      <c r="R236" s="72"/>
      <c r="S236" s="72"/>
      <c r="T236" s="72"/>
      <c r="U236" s="72"/>
      <c r="V236" s="72"/>
      <c r="W236" s="72"/>
      <c r="X236" s="72"/>
      <c r="Y236" s="72"/>
    </row>
    <row r="237">
      <c r="A237" s="60" t="s">
        <v>1707</v>
      </c>
      <c r="B237" s="61" t="str">
        <f>IFERROR(__xludf.DUMMYFUNCTION("""COMPUTED_VALUE"""),"Stubblefield v Windsor Cap GRP")</f>
        <v>Stubblefield v Windsor Cap GRP</v>
      </c>
      <c r="C237" s="63" t="str">
        <f>IFERROR(__xludf.DUMMYFUNCTION("""COMPUTED_VALUE"""),"194")</f>
        <v>194</v>
      </c>
      <c r="D237" s="79" t="str">
        <f>IFERROR(__xludf.DUMMYFUNCTION("""COMPUTED_VALUE"""),"Stubblefield v. Windsor Cap. Grp., 74 F.3d 990, 996 (10th Cir. 1996)")</f>
        <v>Stubblefield v. Windsor Cap. Grp., 74 F.3d 990, 996 (10th Cir. 1996)</v>
      </c>
      <c r="E237" s="74" t="s">
        <v>1233</v>
      </c>
      <c r="F237" s="63" t="s">
        <v>1708</v>
      </c>
      <c r="G237" s="71" t="s">
        <v>1640</v>
      </c>
      <c r="H237" s="71"/>
      <c r="I237" s="66"/>
      <c r="J237" s="68"/>
      <c r="K237" s="68"/>
      <c r="L237" s="68"/>
      <c r="M237" s="68"/>
      <c r="N237" s="67"/>
      <c r="O237" s="88"/>
      <c r="P237" s="88"/>
      <c r="Q237" s="90"/>
      <c r="R237" s="72"/>
      <c r="S237" s="72"/>
      <c r="T237" s="72"/>
      <c r="U237" s="72"/>
      <c r="V237" s="72"/>
      <c r="W237" s="72"/>
      <c r="X237" s="72"/>
      <c r="Y237" s="72"/>
    </row>
    <row r="238">
      <c r="A238" s="60" t="s">
        <v>1709</v>
      </c>
      <c r="B238" s="61" t="str">
        <f>IFERROR(__xludf.DUMMYFUNCTION("""COMPUTED_VALUE"""),"Boughton v Cotter Corp")</f>
        <v>Boughton v Cotter Corp</v>
      </c>
      <c r="C238" s="63" t="str">
        <f>IFERROR(__xludf.DUMMYFUNCTION("""COMPUTED_VALUE"""),"194")</f>
        <v>194</v>
      </c>
      <c r="D238" s="79" t="str">
        <f>IFERROR(__xludf.DUMMYFUNCTION("""COMPUTED_VALUE"""),"Boughton v. Cotter Corp., 10 F.3d 746, 752 (10th Cir. 1993)")</f>
        <v>Boughton v. Cotter Corp., 10 F.3d 746, 752 (10th Cir. 1993)</v>
      </c>
      <c r="E238" s="74" t="s">
        <v>1233</v>
      </c>
      <c r="F238" s="63" t="s">
        <v>1710</v>
      </c>
      <c r="G238" s="71" t="s">
        <v>1640</v>
      </c>
      <c r="H238" s="71"/>
      <c r="I238" s="66"/>
      <c r="J238" s="68"/>
      <c r="K238" s="68"/>
      <c r="L238" s="68"/>
      <c r="M238" s="68"/>
      <c r="N238" s="67"/>
      <c r="O238" s="88"/>
      <c r="P238" s="88"/>
      <c r="Q238" s="90"/>
      <c r="R238" s="72"/>
      <c r="S238" s="72"/>
      <c r="T238" s="72"/>
      <c r="U238" s="72"/>
      <c r="V238" s="72"/>
      <c r="W238" s="72"/>
      <c r="X238" s="72"/>
      <c r="Y238" s="72"/>
    </row>
    <row r="239">
      <c r="A239" s="60" t="s">
        <v>1711</v>
      </c>
      <c r="B239" s="61" t="str">
        <f>IFERROR(__xludf.DUMMYFUNCTION("""COMPUTED_VALUE"""),"Supra Notes 176-177 and Accompanying Text")</f>
        <v>Supra Notes 176-177 and Accompanying Text</v>
      </c>
      <c r="C239" s="63" t="str">
        <f>IFERROR(__xludf.DUMMYFUNCTION("""COMPUTED_VALUE"""),"194")</f>
        <v>194</v>
      </c>
      <c r="D239" s="79" t="str">
        <f>IFERROR(__xludf.DUMMYFUNCTION("""COMPUTED_VALUE"""),"supra notes 176-177 and accompanying text")</f>
        <v>supra notes 176-177 and accompanying text</v>
      </c>
      <c r="E239" s="74" t="s">
        <v>1233</v>
      </c>
      <c r="F239" s="63" t="s">
        <v>1712</v>
      </c>
      <c r="G239" s="71" t="s">
        <v>1640</v>
      </c>
      <c r="H239" s="71"/>
      <c r="I239" s="66"/>
      <c r="J239" s="68"/>
      <c r="K239" s="68"/>
      <c r="L239" s="68"/>
      <c r="M239" s="68"/>
      <c r="N239" s="67"/>
      <c r="O239" s="88"/>
      <c r="P239" s="88"/>
      <c r="Q239" s="90"/>
      <c r="R239" s="72"/>
      <c r="S239" s="72"/>
      <c r="T239" s="72"/>
      <c r="U239" s="72"/>
      <c r="V239" s="72"/>
      <c r="W239" s="72"/>
      <c r="X239" s="72"/>
      <c r="Y239" s="72"/>
    </row>
    <row r="240">
      <c r="A240" s="60" t="s">
        <v>1713</v>
      </c>
      <c r="B240" s="61" t="str">
        <f>IFERROR(__xludf.DUMMYFUNCTION("""COMPUTED_VALUE"""),"Johnsen")</f>
        <v>Johnsen</v>
      </c>
      <c r="C240" s="63" t="str">
        <f>IFERROR(__xludf.DUMMYFUNCTION("""COMPUTED_VALUE"""),"195")</f>
        <v>195</v>
      </c>
      <c r="D240" s="79" t="str">
        <f>IFERROR(__xludf.DUMMYFUNCTION("""COMPUTED_VALUE"""),"Bruce Johnsen &amp; Moin A. Yahya, “The Evolution of Sherman Act Jurisdiction: A Roadmap for Competitive Federalism,” 7 U. Pa. J. Const. L. 403, 460 (2004)")</f>
        <v>Bruce Johnsen &amp; Moin A. Yahya, “The Evolution of Sherman Act Jurisdiction: A Roadmap for Competitive Federalism,” 7 U. Pa. J. Const. L. 403, 460 (2004)</v>
      </c>
      <c r="E240" s="74" t="s">
        <v>1233</v>
      </c>
      <c r="F240" s="63" t="s">
        <v>1714</v>
      </c>
      <c r="G240" s="71" t="s">
        <v>1640</v>
      </c>
      <c r="H240" s="71"/>
      <c r="I240" s="66"/>
      <c r="J240" s="68"/>
      <c r="K240" s="68"/>
      <c r="L240" s="68"/>
      <c r="M240" s="68"/>
      <c r="N240" s="67"/>
      <c r="O240" s="88"/>
      <c r="P240" s="88"/>
      <c r="Q240" s="90"/>
      <c r="R240" s="72"/>
      <c r="S240" s="72"/>
      <c r="T240" s="72"/>
      <c r="U240" s="72"/>
      <c r="V240" s="72"/>
      <c r="W240" s="72"/>
      <c r="X240" s="72"/>
      <c r="Y240" s="72"/>
    </row>
    <row r="241">
      <c r="A241" s="60" t="s">
        <v>1715</v>
      </c>
      <c r="B241" s="61" t="str">
        <f>IFERROR(__xludf.DUMMYFUNCTION("""COMPUTED_VALUE"""),"Rabin")</f>
        <v>Rabin</v>
      </c>
      <c r="C241" s="63" t="str">
        <f>IFERROR(__xludf.DUMMYFUNCTION("""COMPUTED_VALUE"""),"199")</f>
        <v>199</v>
      </c>
      <c r="D241" s="79" t="str">
        <f>IFERROR(__xludf.DUMMYFUNCTION("""COMPUTED_VALUE"""),"Robert L. Rabin, Federal Regulation in Historical Perspective, 38 Stan. L. Rev. 1189, 1194 (1986)")</f>
        <v>Robert L. Rabin, Federal Regulation in Historical Perspective, 38 Stan. L. Rev. 1189, 1194 (1986)</v>
      </c>
      <c r="E241" s="74" t="s">
        <v>1233</v>
      </c>
      <c r="F241" s="63" t="s">
        <v>1716</v>
      </c>
      <c r="G241" s="71" t="s">
        <v>1640</v>
      </c>
      <c r="H241" s="71"/>
      <c r="I241" s="66"/>
      <c r="J241" s="68"/>
      <c r="K241" s="68"/>
      <c r="L241" s="68"/>
      <c r="M241" s="68"/>
      <c r="N241" s="67"/>
      <c r="O241" s="88"/>
      <c r="P241" s="88"/>
      <c r="Q241" s="90"/>
      <c r="R241" s="72"/>
      <c r="S241" s="72"/>
      <c r="T241" s="72"/>
      <c r="U241" s="72"/>
      <c r="V241" s="72"/>
      <c r="W241" s="72"/>
      <c r="X241" s="72"/>
      <c r="Y241" s="72"/>
    </row>
    <row r="242">
      <c r="A242" s="60" t="s">
        <v>1717</v>
      </c>
      <c r="B242" s="61" t="str">
        <f>IFERROR(__xludf.DUMMYFUNCTION("""COMPUTED_VALUE"""),"Spitzer")</f>
        <v>Spitzer</v>
      </c>
      <c r="C242" s="63" t="str">
        <f>IFERROR(__xludf.DUMMYFUNCTION("""COMPUTED_VALUE"""),"199")</f>
        <v>199</v>
      </c>
      <c r="D242" s="79" t="str">
        <f>IFERROR(__xludf.DUMMYFUNCTION("""COMPUTED_VALUE"""),"Linda R. Cohen &amp; Matthew L. Spitzer, Judicial Deference to Agency Action: A Rational Choice Theory and an Empirical Test, 69 S. Cal. L. Rev. 431, 474-75 (1996)")</f>
        <v>Linda R. Cohen &amp; Matthew L. Spitzer, Judicial Deference to Agency Action: A Rational Choice Theory and an Empirical Test, 69 S. Cal. L. Rev. 431, 474-75 (1996)</v>
      </c>
      <c r="E242" s="74" t="s">
        <v>1233</v>
      </c>
      <c r="F242" s="63" t="s">
        <v>1718</v>
      </c>
      <c r="G242" s="71" t="s">
        <v>1640</v>
      </c>
      <c r="H242" s="71"/>
      <c r="I242" s="66"/>
      <c r="J242" s="68"/>
      <c r="K242" s="68"/>
      <c r="L242" s="68"/>
      <c r="M242" s="68"/>
      <c r="N242" s="67"/>
      <c r="O242" s="88"/>
      <c r="P242" s="88"/>
      <c r="Q242" s="90"/>
      <c r="R242" s="72"/>
      <c r="S242" s="72"/>
      <c r="T242" s="72"/>
      <c r="U242" s="72"/>
      <c r="V242" s="72"/>
      <c r="W242" s="72"/>
      <c r="X242" s="72"/>
      <c r="Y242" s="72"/>
    </row>
    <row r="243">
      <c r="A243" s="60" t="s">
        <v>1719</v>
      </c>
      <c r="B243" s="61" t="str">
        <f>IFERROR(__xludf.DUMMYFUNCTION("""COMPUTED_VALUE"""),"Stephenson")</f>
        <v>Stephenson</v>
      </c>
      <c r="C243" s="63" t="str">
        <f>IFERROR(__xludf.DUMMYFUNCTION("""COMPUTED_VALUE"""),"199")</f>
        <v>199</v>
      </c>
      <c r="D243" s="79" t="str">
        <f>IFERROR(__xludf.DUMMYFUNCTION("""COMPUTED_VALUE"""),"Matthew C. Stephenson, Mixed Signals: Reconsidering the Political Economy of Judicial Deference to Administrative Agencies, 56 Admin. L. Rev. 657 (2004)")</f>
        <v>Matthew C. Stephenson, Mixed Signals: Reconsidering the Political Economy of Judicial Deference to Administrative Agencies, 56 Admin. L. Rev. 657 (2004)</v>
      </c>
      <c r="E243" s="74" t="s">
        <v>1233</v>
      </c>
      <c r="F243" s="63" t="s">
        <v>1720</v>
      </c>
      <c r="G243" s="71" t="s">
        <v>1721</v>
      </c>
      <c r="H243" s="71"/>
      <c r="I243" s="66"/>
      <c r="J243" s="68"/>
      <c r="K243" s="68"/>
      <c r="L243" s="68"/>
      <c r="M243" s="68"/>
      <c r="N243" s="67"/>
      <c r="O243" s="88"/>
      <c r="P243" s="88"/>
      <c r="Q243" s="90"/>
      <c r="R243" s="72"/>
      <c r="S243" s="72"/>
      <c r="T243" s="72"/>
      <c r="U243" s="72"/>
      <c r="V243" s="72"/>
      <c r="W243" s="72"/>
      <c r="X243" s="72"/>
      <c r="Y243" s="72"/>
    </row>
    <row r="244">
      <c r="A244" s="60" t="s">
        <v>1722</v>
      </c>
      <c r="B244" s="61" t="str">
        <f>IFERROR(__xludf.DUMMYFUNCTION("""COMPUTED_VALUE"""),"Postell")</f>
        <v>Postell</v>
      </c>
      <c r="C244" s="63" t="str">
        <f>IFERROR(__xludf.DUMMYFUNCTION("""COMPUTED_VALUE"""),"200")</f>
        <v>200</v>
      </c>
      <c r="D244" s="79" t="str">
        <f>IFERROR(__xludf.DUMMYFUNCTION("""COMPUTED_VALUE"""),"Joseph Postell, Does American History Legitimize the Administrative State?, 36 Regent U.L. Rev. 321, 326-39 (2024)")</f>
        <v>Joseph Postell, Does American History Legitimize the Administrative State?, 36 Regent U.L. Rev. 321, 326-39 (2024)</v>
      </c>
      <c r="E244" s="74" t="s">
        <v>1233</v>
      </c>
      <c r="F244" s="63" t="s">
        <v>1723</v>
      </c>
      <c r="G244" s="71" t="s">
        <v>1721</v>
      </c>
      <c r="H244" s="71"/>
      <c r="I244" s="66"/>
      <c r="J244" s="68"/>
      <c r="K244" s="68"/>
      <c r="L244" s="68"/>
      <c r="M244" s="68"/>
      <c r="N244" s="67"/>
      <c r="O244" s="88"/>
      <c r="P244" s="88"/>
      <c r="Q244" s="90"/>
      <c r="R244" s="72"/>
      <c r="S244" s="72"/>
      <c r="T244" s="72"/>
      <c r="U244" s="72"/>
      <c r="V244" s="72"/>
      <c r="W244" s="72"/>
      <c r="X244" s="72"/>
      <c r="Y244" s="72"/>
    </row>
    <row r="245">
      <c r="A245" s="60" t="s">
        <v>1724</v>
      </c>
      <c r="B245" s="61" t="str">
        <f>IFERROR(__xludf.DUMMYFUNCTION("""COMPUTED_VALUE"""),"Ilan")</f>
        <v>Ilan</v>
      </c>
      <c r="C245" s="63" t="str">
        <f>IFERROR(__xludf.DUMMYFUNCTION("""COMPUTED_VALUE"""),"200")</f>
        <v>200</v>
      </c>
      <c r="D245" s="79" t="str">
        <f>IFERROR(__xludf.DUMMYFUNCTION("""COMPUTED_VALUE"""),"Ilan Wurman, Constitutional Administration, 69 Stan. L. Rev. 359, 364-81 (2017)")</f>
        <v>Ilan Wurman, Constitutional Administration, 69 Stan. L. Rev. 359, 364-81 (2017)</v>
      </c>
      <c r="E245" s="74" t="s">
        <v>1233</v>
      </c>
      <c r="F245" s="63" t="s">
        <v>1725</v>
      </c>
      <c r="G245" s="71" t="s">
        <v>1721</v>
      </c>
      <c r="H245" s="71"/>
      <c r="I245" s="66"/>
      <c r="J245" s="68"/>
      <c r="K245" s="68"/>
      <c r="L245" s="68"/>
      <c r="M245" s="68"/>
      <c r="N245" s="67"/>
      <c r="O245" s="88"/>
      <c r="P245" s="88"/>
      <c r="Q245" s="90"/>
      <c r="R245" s="72"/>
      <c r="S245" s="72"/>
      <c r="T245" s="72"/>
      <c r="U245" s="72"/>
      <c r="V245" s="72"/>
      <c r="W245" s="72"/>
      <c r="X245" s="72"/>
      <c r="Y245" s="72"/>
    </row>
    <row r="246">
      <c r="A246" s="60" t="s">
        <v>1726</v>
      </c>
      <c r="B246" s="61" t="str">
        <f>IFERROR(__xludf.DUMMYFUNCTION("""COMPUTED_VALUE"""),"Freeman")</f>
        <v>Freeman</v>
      </c>
      <c r="C246" s="63" t="str">
        <f>IFERROR(__xludf.DUMMYFUNCTION("""COMPUTED_VALUE"""),"200")</f>
        <v>200</v>
      </c>
      <c r="D246" s="79" t="str">
        <f>IFERROR(__xludf.DUMMYFUNCTION("""COMPUTED_VALUE"""),"David Freeman Engstrom, Corralling Capture, 36 Harv. J.L. &amp; Pub. Pol’y 31, 31-39 (2013)")</f>
        <v>David Freeman Engstrom, Corralling Capture, 36 Harv. J.L. &amp; Pub. Pol’y 31, 31-39 (2013)</v>
      </c>
      <c r="E246" s="74" t="s">
        <v>1233</v>
      </c>
      <c r="F246" s="63" t="s">
        <v>1727</v>
      </c>
      <c r="G246" s="71" t="s">
        <v>1721</v>
      </c>
      <c r="H246" s="71"/>
      <c r="I246" s="66"/>
      <c r="J246" s="68"/>
      <c r="K246" s="68"/>
      <c r="L246" s="68"/>
      <c r="M246" s="68"/>
      <c r="N246" s="67"/>
      <c r="O246" s="88"/>
      <c r="P246" s="88"/>
      <c r="Q246" s="90"/>
      <c r="R246" s="72"/>
      <c r="S246" s="72"/>
      <c r="T246" s="72"/>
      <c r="U246" s="72"/>
      <c r="V246" s="72"/>
      <c r="W246" s="72"/>
      <c r="X246" s="72"/>
      <c r="Y246" s="72"/>
    </row>
    <row r="247">
      <c r="A247" s="60" t="s">
        <v>1728</v>
      </c>
      <c r="B247" s="61" t="str">
        <f>IFERROR(__xludf.DUMMYFUNCTION("""COMPUTED_VALUE"""),"Boyden")</f>
        <v>Boyden</v>
      </c>
      <c r="C247" s="63" t="str">
        <f>IFERROR(__xludf.DUMMYFUNCTION("""COMPUTED_VALUE"""),"200")</f>
        <v>200</v>
      </c>
      <c r="D247" s="79" t="str">
        <f>IFERROR(__xludf.DUMMYFUNCTION("""COMPUTED_VALUE"""),"C. Boyden Gray, Congressional Abdication: Delegation Without Detail and Without Waiver, 36 Harv. J.L. &amp; Pub. Pol’y 41, 43 (2013)")</f>
        <v>C. Boyden Gray, Congressional Abdication: Delegation Without Detail and Without Waiver, 36 Harv. J.L. &amp; Pub. Pol’y 41, 43 (2013)</v>
      </c>
      <c r="E247" s="74" t="s">
        <v>1233</v>
      </c>
      <c r="F247" s="63" t="s">
        <v>1729</v>
      </c>
      <c r="G247" s="71" t="s">
        <v>1721</v>
      </c>
      <c r="H247" s="71"/>
      <c r="I247" s="66"/>
      <c r="J247" s="68"/>
      <c r="K247" s="68"/>
      <c r="L247" s="68"/>
      <c r="M247" s="68"/>
      <c r="N247" s="67"/>
      <c r="O247" s="88"/>
      <c r="P247" s="88"/>
      <c r="Q247" s="90"/>
      <c r="R247" s="72"/>
      <c r="S247" s="72"/>
      <c r="T247" s="72"/>
      <c r="U247" s="72"/>
      <c r="V247" s="72"/>
      <c r="W247" s="72"/>
      <c r="X247" s="72"/>
      <c r="Y247" s="72"/>
    </row>
    <row r="248">
      <c r="A248" s="60" t="s">
        <v>1730</v>
      </c>
      <c r="B248" s="61" t="str">
        <f>IFERROR(__xludf.DUMMYFUNCTION("""COMPUTED_VALUE"""),"Vertesch")</f>
        <v>Vertesch</v>
      </c>
      <c r="C248" s="63" t="str">
        <f>IFERROR(__xludf.DUMMYFUNCTION("""COMPUTED_VALUE"""),"201")</f>
        <v>201</v>
      </c>
      <c r="D248" s="79" t="str">
        <f>IFERROR(__xludf.DUMMYFUNCTION("""COMPUTED_VALUE"""),"Austin Vertesch, “Poseidon’s Executive: How the Unitary Executive Theory Could Impact Coastal Fisheries,” 15 Ariz. J. Envtl. L. &amp; Pol’y 198, 200 (2025)")</f>
        <v>Austin Vertesch, “Poseidon’s Executive: How the Unitary Executive Theory Could Impact Coastal Fisheries,” 15 Ariz. J. Envtl. L. &amp; Pol’y 198, 200 (2025)</v>
      </c>
      <c r="E248" s="74" t="s">
        <v>1233</v>
      </c>
      <c r="F248" s="63" t="s">
        <v>1731</v>
      </c>
      <c r="G248" s="71" t="s">
        <v>1721</v>
      </c>
      <c r="H248" s="71"/>
      <c r="I248" s="66"/>
      <c r="J248" s="68"/>
      <c r="K248" s="68"/>
      <c r="L248" s="68"/>
      <c r="M248" s="68"/>
      <c r="N248" s="67"/>
      <c r="O248" s="88"/>
      <c r="P248" s="88"/>
      <c r="Q248" s="90"/>
      <c r="R248" s="72"/>
      <c r="S248" s="72"/>
      <c r="T248" s="72"/>
      <c r="U248" s="72"/>
      <c r="V248" s="72"/>
      <c r="W248" s="72"/>
      <c r="X248" s="72"/>
      <c r="Y248" s="72"/>
    </row>
    <row r="249">
      <c r="A249" s="60" t="s">
        <v>1732</v>
      </c>
      <c r="B249" s="61" t="str">
        <f>IFERROR(__xludf.DUMMYFUNCTION("""COMPUTED_VALUE"""),"Infra Notes 273-277 and Accompanying Text")</f>
        <v>Infra Notes 273-277 and Accompanying Text</v>
      </c>
      <c r="C249" s="63" t="str">
        <f>IFERROR(__xludf.DUMMYFUNCTION("""COMPUTED_VALUE"""),"201")</f>
        <v>201</v>
      </c>
      <c r="D249" s="79" t="str">
        <f>IFERROR(__xludf.DUMMYFUNCTION("""COMPUTED_VALUE"""),"infra notes 273-277 and accompanying text")</f>
        <v>infra notes 273-277 and accompanying text</v>
      </c>
      <c r="E249" s="74" t="s">
        <v>1233</v>
      </c>
      <c r="F249" s="63" t="s">
        <v>1733</v>
      </c>
      <c r="G249" s="71" t="s">
        <v>1721</v>
      </c>
      <c r="H249" s="71"/>
      <c r="I249" s="66"/>
      <c r="J249" s="68"/>
      <c r="K249" s="68"/>
      <c r="L249" s="68"/>
      <c r="M249" s="68"/>
      <c r="N249" s="67"/>
      <c r="O249" s="88"/>
      <c r="P249" s="88"/>
      <c r="Q249" s="90"/>
      <c r="R249" s="72"/>
      <c r="S249" s="72"/>
      <c r="T249" s="72"/>
      <c r="U249" s="72"/>
      <c r="V249" s="72"/>
      <c r="W249" s="72"/>
      <c r="X249" s="72"/>
      <c r="Y249" s="72"/>
    </row>
    <row r="250">
      <c r="A250" s="60" t="s">
        <v>1734</v>
      </c>
      <c r="B250" s="61" t="str">
        <f>IFERROR(__xludf.DUMMYFUNCTION("""COMPUTED_VALUE"""),"Barkow")</f>
        <v>Barkow</v>
      </c>
      <c r="C250" s="63" t="str">
        <f>IFERROR(__xludf.DUMMYFUNCTION("""COMPUTED_VALUE"""),"202")</f>
        <v>202</v>
      </c>
      <c r="D250" s="79" t="str">
        <f>IFERROR(__xludf.DUMMYFUNCTION("""COMPUTED_VALUE"""),"Rachel E. Barkow, The Ascent of the Administrative State and the Demise of Mercy, 121 Harv. L. Rev. 1332, 1336 (2008)")</f>
        <v>Rachel E. Barkow, The Ascent of the Administrative State and the Demise of Mercy, 121 Harv. L. Rev. 1332, 1336 (2008)</v>
      </c>
      <c r="E250" s="74" t="s">
        <v>1233</v>
      </c>
      <c r="F250" s="63" t="s">
        <v>1735</v>
      </c>
      <c r="G250" s="71" t="s">
        <v>1721</v>
      </c>
      <c r="H250" s="71"/>
      <c r="I250" s="66"/>
      <c r="J250" s="68"/>
      <c r="K250" s="68"/>
      <c r="L250" s="68"/>
      <c r="M250" s="68"/>
      <c r="N250" s="67"/>
      <c r="O250" s="88"/>
      <c r="P250" s="88"/>
      <c r="Q250" s="90"/>
      <c r="R250" s="72"/>
      <c r="S250" s="72"/>
      <c r="T250" s="72"/>
      <c r="U250" s="72"/>
      <c r="V250" s="72"/>
      <c r="W250" s="72"/>
      <c r="X250" s="72"/>
      <c r="Y250" s="72"/>
    </row>
    <row r="251">
      <c r="A251" s="60" t="s">
        <v>1736</v>
      </c>
      <c r="B251" s="61" t="str">
        <f>IFERROR(__xludf.DUMMYFUNCTION("""COMPUTED_VALUE"""),"M")</f>
        <v>M</v>
      </c>
      <c r="C251" s="63" t="str">
        <f>IFERROR(__xludf.DUMMYFUNCTION("""COMPUTED_VALUE"""),"202")</f>
        <v>202</v>
      </c>
      <c r="D251" s="79" t="str">
        <f>IFERROR(__xludf.DUMMYFUNCTION("""COMPUTED_VALUE"""),"M. Elizabeth Magill, Agency Choice of Policymaking Form, 71 U. Chi. L. Rev. 1383, 1413 (2004)")</f>
        <v>M. Elizabeth Magill, Agency Choice of Policymaking Form, 71 U. Chi. L. Rev. 1383, 1413 (2004)</v>
      </c>
      <c r="E251" s="74" t="s">
        <v>1233</v>
      </c>
      <c r="F251" s="63" t="s">
        <v>1737</v>
      </c>
      <c r="G251" s="71" t="s">
        <v>1721</v>
      </c>
      <c r="H251" s="71"/>
      <c r="I251" s="66"/>
      <c r="J251" s="68"/>
      <c r="K251" s="68"/>
      <c r="L251" s="68"/>
      <c r="M251" s="68"/>
      <c r="N251" s="67"/>
      <c r="O251" s="88"/>
      <c r="P251" s="88"/>
      <c r="Q251" s="90"/>
      <c r="R251" s="72"/>
      <c r="S251" s="72"/>
      <c r="T251" s="72"/>
      <c r="U251" s="72"/>
      <c r="V251" s="72"/>
      <c r="W251" s="72"/>
      <c r="X251" s="72"/>
      <c r="Y251" s="72"/>
    </row>
    <row r="252">
      <c r="A252" s="60" t="s">
        <v>1738</v>
      </c>
      <c r="B252" s="61" t="str">
        <f>IFERROR(__xludf.DUMMYFUNCTION("""COMPUTED_VALUE"""),"Farber")</f>
        <v>Farber</v>
      </c>
      <c r="C252" s="63" t="str">
        <f>IFERROR(__xludf.DUMMYFUNCTION("""COMPUTED_VALUE"""),"203")</f>
        <v>203</v>
      </c>
      <c r="D252" s="79" t="str">
        <f>IFERROR(__xludf.DUMMYFUNCTION("""COMPUTED_VALUE"""),"Daniel A. Farber &amp; Anne Joseph O’Connell, The Lost World of Administrative Law, 92 Tex. L. Rev. 1137, 1143, 1170-71 (2014)")</f>
        <v>Daniel A. Farber &amp; Anne Joseph O’Connell, The Lost World of Administrative Law, 92 Tex. L. Rev. 1137, 1143, 1170-71 (2014)</v>
      </c>
      <c r="E252" s="74" t="s">
        <v>1233</v>
      </c>
      <c r="F252" s="63" t="s">
        <v>1739</v>
      </c>
      <c r="G252" s="71" t="s">
        <v>1721</v>
      </c>
      <c r="H252" s="71"/>
      <c r="I252" s="66"/>
      <c r="J252" s="68"/>
      <c r="K252" s="68"/>
      <c r="L252" s="68"/>
      <c r="M252" s="68"/>
      <c r="N252" s="67"/>
      <c r="O252" s="88"/>
      <c r="P252" s="88"/>
      <c r="Q252" s="90"/>
      <c r="R252" s="72"/>
      <c r="S252" s="72"/>
      <c r="T252" s="72"/>
      <c r="U252" s="72"/>
      <c r="V252" s="72"/>
      <c r="W252" s="72"/>
      <c r="X252" s="72"/>
      <c r="Y252" s="72"/>
    </row>
    <row r="253">
      <c r="A253" s="60" t="s">
        <v>1740</v>
      </c>
      <c r="B253" s="61" t="str">
        <f>IFERROR(__xludf.DUMMYFUNCTION("""COMPUTED_VALUE"""),"Prusak")</f>
        <v>Prusak</v>
      </c>
      <c r="C253" s="63" t="str">
        <f>IFERROR(__xludf.DUMMYFUNCTION("""COMPUTED_VALUE"""),"205")</f>
        <v>205</v>
      </c>
      <c r="D253" s="79" t="str">
        <f>IFERROR(__xludf.DUMMYFUNCTION("""COMPUTED_VALUE"""),"John Prusak, Exclusive: 2022 Snowmobile Sales Data Shows Winners, Losers, SnowGoer (June 13, 2022) (displaying chart of national snowmobile use between 1980 and 2022, with a peak in the 1990s), https://snowgoer.com/latest-news/exclusive-2022-snowmobile-sa"&amp;"les-data-shows-winners-losers/30784/")</f>
        <v>John Prusak, Exclusive: 2022 Snowmobile Sales Data Shows Winners, Losers, SnowGoer (June 13, 2022) (displaying chart of national snowmobile use between 1980 and 2022, with a peak in the 1990s), https://snowgoer.com/latest-news/exclusive-2022-snowmobile-sales-data-shows-winners-losers/30784/</v>
      </c>
      <c r="E253" s="74" t="s">
        <v>1233</v>
      </c>
      <c r="F253" s="63" t="s">
        <v>1741</v>
      </c>
      <c r="G253" s="71" t="s">
        <v>1721</v>
      </c>
      <c r="H253" s="71"/>
      <c r="I253" s="66"/>
      <c r="J253" s="68"/>
      <c r="K253" s="68"/>
      <c r="L253" s="68"/>
      <c r="M253" s="68"/>
      <c r="N253" s="67"/>
      <c r="O253" s="88"/>
      <c r="P253" s="88"/>
      <c r="Q253" s="90"/>
      <c r="R253" s="72"/>
      <c r="S253" s="72"/>
      <c r="T253" s="72"/>
      <c r="U253" s="72"/>
      <c r="V253" s="72"/>
      <c r="W253" s="72"/>
      <c r="X253" s="72"/>
      <c r="Y253" s="72"/>
    </row>
    <row r="254">
      <c r="A254" s="60" t="s">
        <v>1742</v>
      </c>
      <c r="B254" s="61" t="str">
        <f>IFERROR(__xludf.DUMMYFUNCTION("""COMPUTED_VALUE"""),"Hilary")</f>
        <v>Hilary</v>
      </c>
      <c r="C254" s="63" t="str">
        <f>IFERROR(__xludf.DUMMYFUNCTION("""COMPUTED_VALUE"""),"205")</f>
        <v>205</v>
      </c>
      <c r="D254" s="79" t="str">
        <f>IFERROR(__xludf.DUMMYFUNCTION("""COMPUTED_VALUE"""),"Hilary Eisen, Winter Wildlands Alliance, Winter Recreation on National Forest Lands, 2-3, 20 (June 2015) (discussing changes in snowmobile technology in 1990s that increased snowmobiles’ popularity, especially on National Forest System lands, and showing "&amp;"current snowmobile visits per year in the Lake Tahoe Basin), https://winterwildlands.org/wp-content/uploads/2015/06/2015-Winter-Rec-Report.pdf")</f>
        <v>Hilary Eisen, Winter Wildlands Alliance, Winter Recreation on National Forest Lands, 2-3, 20 (June 2015) (discussing changes in snowmobile technology in 1990s that increased snowmobiles’ popularity, especially on National Forest System lands, and showing current snowmobile visits per year in the Lake Tahoe Basin), https://winterwildlands.org/wp-content/uploads/2015/06/2015-Winter-Rec-Report.pdf</v>
      </c>
      <c r="E254" s="74" t="s">
        <v>1233</v>
      </c>
      <c r="F254" s="63" t="s">
        <v>1743</v>
      </c>
      <c r="G254" s="71" t="s">
        <v>1721</v>
      </c>
      <c r="H254" s="71"/>
      <c r="I254" s="66"/>
      <c r="J254" s="68"/>
      <c r="K254" s="68"/>
      <c r="L254" s="68"/>
      <c r="M254" s="68"/>
      <c r="N254" s="67"/>
      <c r="O254" s="88"/>
      <c r="P254" s="88"/>
      <c r="Q254" s="90"/>
      <c r="R254" s="72"/>
      <c r="S254" s="72"/>
      <c r="T254" s="72"/>
      <c r="U254" s="72"/>
      <c r="V254" s="72"/>
      <c r="W254" s="72"/>
      <c r="X254" s="72"/>
      <c r="Y254" s="72"/>
    </row>
    <row r="255">
      <c r="A255" s="60" t="s">
        <v>1744</v>
      </c>
      <c r="B255" s="61" t="str">
        <f>IFERROR(__xludf.DUMMYFUNCTION("""COMPUTED_VALUE"""),"Associated")</f>
        <v>Associated</v>
      </c>
      <c r="C255" s="63" t="str">
        <f>IFERROR(__xludf.DUMMYFUNCTION("""COMPUTED_VALUE"""),"210")</f>
        <v>210</v>
      </c>
      <c r="D255" s="79" t="str">
        <f>IFERROR(__xludf.DUMMYFUNCTION("""COMPUTED_VALUE"""),"Associated Press, “Latest snowmobile debate centers on small California road,” Tahoe Daily Tribune (Dec. 25, 2001), https://www.tahoedailytribune.com/news/latest-snowmobile-debate-centers-on-small-california-road/")</f>
        <v>Associated Press, “Latest snowmobile debate centers on small California road,” Tahoe Daily Tribune (Dec. 25, 2001), https://www.tahoedailytribune.com/news/latest-snowmobile-debate-centers-on-small-california-road/</v>
      </c>
      <c r="E255" s="74" t="s">
        <v>1233</v>
      </c>
      <c r="F255" s="63" t="s">
        <v>1745</v>
      </c>
      <c r="G255" s="71" t="s">
        <v>1721</v>
      </c>
      <c r="H255" s="71"/>
      <c r="I255" s="66"/>
      <c r="J255" s="68"/>
      <c r="K255" s="68"/>
      <c r="L255" s="68"/>
      <c r="M255" s="68"/>
      <c r="N255" s="67"/>
      <c r="O255" s="88"/>
      <c r="P255" s="88"/>
      <c r="Q255" s="90"/>
      <c r="R255" s="72"/>
      <c r="S255" s="72"/>
      <c r="T255" s="72"/>
      <c r="U255" s="72"/>
      <c r="V255" s="72"/>
      <c r="W255" s="72"/>
      <c r="X255" s="72"/>
      <c r="Y255" s="72"/>
    </row>
    <row r="256">
      <c r="A256" s="60" t="s">
        <v>1746</v>
      </c>
      <c r="B256" s="61" t="str">
        <f>IFERROR(__xludf.DUMMYFUNCTION("""COMPUTED_VALUE"""),"42 USC 4321")</f>
        <v>42 USC 4321</v>
      </c>
      <c r="C256" s="63" t="str">
        <f>IFERROR(__xludf.DUMMYFUNCTION("""COMPUTED_VALUE"""),"211")</f>
        <v>211</v>
      </c>
      <c r="D256" s="79" t="str">
        <f>IFERROR(__xludf.DUMMYFUNCTION("""COMPUTED_VALUE"""),"42 U.S.C. § 4321 et seq.")</f>
        <v>42 U.S.C. § 4321 et seq.</v>
      </c>
      <c r="E256" s="74" t="s">
        <v>1233</v>
      </c>
      <c r="F256" s="63" t="s">
        <v>1747</v>
      </c>
      <c r="G256" s="71" t="s">
        <v>1721</v>
      </c>
      <c r="H256" s="71"/>
      <c r="I256" s="66"/>
      <c r="J256" s="68"/>
      <c r="K256" s="68"/>
      <c r="L256" s="68"/>
      <c r="M256" s="68"/>
      <c r="N256" s="67"/>
      <c r="O256" s="88"/>
      <c r="P256" s="88"/>
      <c r="Q256" s="90"/>
      <c r="R256" s="72"/>
      <c r="S256" s="72"/>
      <c r="T256" s="72"/>
      <c r="U256" s="72"/>
      <c r="V256" s="72"/>
      <c r="W256" s="72"/>
      <c r="X256" s="72"/>
      <c r="Y256" s="72"/>
    </row>
    <row r="257">
      <c r="A257" s="60" t="s">
        <v>1748</v>
      </c>
      <c r="B257" s="61" t="str">
        <f>IFERROR(__xludf.DUMMYFUNCTION("""COMPUTED_VALUE"""),"Complaint")</f>
        <v>Complaint</v>
      </c>
      <c r="C257" s="63" t="str">
        <f>IFERROR(__xludf.DUMMYFUNCTION("""COMPUTED_VALUE"""),"213")</f>
        <v>213</v>
      </c>
      <c r="D257" s="79" t="str">
        <f>IFERROR(__xludf.DUMMYFUNCTION("""COMPUTED_VALUE"""),"Complaint for Declaratory and Injunctive Relief, Friends of Hope Valley v. U.S. Forest Serv., E.D. Cal. No. 2:00-cv-01900-DFL-KJM, 16-17 (Sept. 1, 2000)")</f>
        <v>Complaint for Declaratory and Injunctive Relief, Friends of Hope Valley v. U.S. Forest Serv., E.D. Cal. No. 2:00-cv-01900-DFL-KJM, 16-17 (Sept. 1, 2000)</v>
      </c>
      <c r="E257" s="74" t="s">
        <v>1233</v>
      </c>
      <c r="F257" s="63" t="s">
        <v>1749</v>
      </c>
      <c r="G257" s="71" t="s">
        <v>1721</v>
      </c>
      <c r="H257" s="71"/>
      <c r="I257" s="66"/>
      <c r="J257" s="68"/>
      <c r="K257" s="68"/>
      <c r="L257" s="68"/>
      <c r="M257" s="68"/>
      <c r="N257" s="67"/>
      <c r="O257" s="88"/>
      <c r="P257" s="88"/>
      <c r="Q257" s="90"/>
      <c r="R257" s="72"/>
      <c r="S257" s="72"/>
      <c r="T257" s="72"/>
      <c r="U257" s="72"/>
      <c r="V257" s="72"/>
      <c r="W257" s="72"/>
      <c r="X257" s="72"/>
      <c r="Y257" s="72"/>
    </row>
    <row r="258">
      <c r="A258" s="60" t="s">
        <v>1750</v>
      </c>
      <c r="B258" s="61" t="str">
        <f>IFERROR(__xludf.DUMMYFUNCTION("""COMPUTED_VALUE"""),"Infra Notes 244-250 and Accompanying Text")</f>
        <v>Infra Notes 244-250 and Accompanying Text</v>
      </c>
      <c r="C258" s="63" t="str">
        <f>IFERROR(__xludf.DUMMYFUNCTION("""COMPUTED_VALUE"""),"215")</f>
        <v>215</v>
      </c>
      <c r="D258" s="79" t="str">
        <f>IFERROR(__xludf.DUMMYFUNCTION("""COMPUTED_VALUE"""),"infra notes 244-250 and accompanying text")</f>
        <v>infra notes 244-250 and accompanying text</v>
      </c>
      <c r="E258" s="74" t="s">
        <v>1233</v>
      </c>
      <c r="F258" s="63" t="s">
        <v>1751</v>
      </c>
      <c r="G258" s="71" t="s">
        <v>1721</v>
      </c>
      <c r="H258" s="71"/>
      <c r="I258" s="66"/>
      <c r="J258" s="68"/>
      <c r="K258" s="68"/>
      <c r="L258" s="68"/>
      <c r="M258" s="68"/>
      <c r="N258" s="67"/>
      <c r="O258" s="88"/>
      <c r="P258" s="88"/>
      <c r="Q258" s="90"/>
      <c r="R258" s="72"/>
      <c r="S258" s="72"/>
      <c r="T258" s="72"/>
      <c r="U258" s="72"/>
      <c r="V258" s="72"/>
      <c r="W258" s="72"/>
      <c r="X258" s="72"/>
      <c r="Y258" s="72"/>
    </row>
    <row r="259">
      <c r="A259" s="60" t="s">
        <v>1752</v>
      </c>
      <c r="B259" s="61" t="str">
        <f>IFERROR(__xludf.DUMMYFUNCTION("""COMPUTED_VALUE"""),"Brief")</f>
        <v>Brief</v>
      </c>
      <c r="C259" s="63" t="str">
        <f>IFERROR(__xludf.DUMMYFUNCTION("""COMPUTED_VALUE"""),"216")</f>
        <v>216</v>
      </c>
      <c r="D259" s="79" t="str">
        <f>IFERROR(__xludf.DUMMYFUNCTION("""COMPUTED_VALUE"""),"Brief of the Federal Appellee, Friends of Hope Valley v. U.S. Forest Serv., No. 04-17376, 2005 WL 4120955, at *11-16 (Nov. 1, 2005)")</f>
        <v>Brief of the Federal Appellee, Friends of Hope Valley v. U.S. Forest Serv., No. 04-17376, 2005 WL 4120955, at *11-16 (Nov. 1, 2005)</v>
      </c>
      <c r="E259" s="74" t="s">
        <v>1233</v>
      </c>
      <c r="F259" s="63" t="s">
        <v>1753</v>
      </c>
      <c r="G259" s="71" t="s">
        <v>1721</v>
      </c>
      <c r="H259" s="71"/>
      <c r="I259" s="66"/>
      <c r="J259" s="68"/>
      <c r="K259" s="68"/>
      <c r="L259" s="68"/>
      <c r="M259" s="68"/>
      <c r="N259" s="67"/>
      <c r="O259" s="88"/>
      <c r="P259" s="88"/>
      <c r="Q259" s="90"/>
      <c r="R259" s="72"/>
      <c r="S259" s="72"/>
      <c r="T259" s="72"/>
      <c r="U259" s="72"/>
      <c r="V259" s="72"/>
      <c r="W259" s="72"/>
      <c r="X259" s="72"/>
      <c r="Y259" s="72"/>
    </row>
    <row r="260">
      <c r="A260" s="60" t="s">
        <v>1754</v>
      </c>
      <c r="B260" s="61" t="str">
        <f>IFERROR(__xludf.DUMMYFUNCTION("""COMPUTED_VALUE"""),"FONSI")</f>
        <v>FONSI</v>
      </c>
      <c r="C260" s="63" t="str">
        <f>IFERROR(__xludf.DUMMYFUNCTION("""COMPUTED_VALUE"""),"219")</f>
        <v>219</v>
      </c>
      <c r="D260" s="79" t="str">
        <f>IFERROR(__xludf.DUMMYFUNCTION("""COMPUTED_VALUE"""),"U.S. Forest Service, Humboldt-Toiyabe National Forest, Carson Ranger District, Decision Notice and Finding of No Significant Impact, 1 (Aug. 2007) (on file with the agency and author)")</f>
        <v>U.S. Forest Service, Humboldt-Toiyabe National Forest, Carson Ranger District, Decision Notice and Finding of No Significant Impact, 1 (Aug. 2007) (on file with the agency and author)</v>
      </c>
      <c r="E260" s="74" t="s">
        <v>1233</v>
      </c>
      <c r="F260" s="63" t="s">
        <v>1755</v>
      </c>
      <c r="G260" s="71" t="s">
        <v>1721</v>
      </c>
      <c r="H260" s="71"/>
      <c r="I260" s="66"/>
      <c r="J260" s="68"/>
      <c r="K260" s="68"/>
      <c r="L260" s="68"/>
      <c r="M260" s="68"/>
      <c r="N260" s="67"/>
      <c r="O260" s="88"/>
      <c r="P260" s="88"/>
      <c r="Q260" s="90"/>
      <c r="R260" s="72"/>
      <c r="S260" s="72"/>
      <c r="T260" s="72"/>
      <c r="U260" s="72"/>
      <c r="V260" s="72"/>
      <c r="W260" s="72"/>
      <c r="X260" s="72"/>
      <c r="Y260" s="72"/>
    </row>
    <row r="261">
      <c r="A261" s="60" t="s">
        <v>1756</v>
      </c>
      <c r="B261" s="61" t="str">
        <f>IFERROR(__xludf.DUMMYFUNCTION("""COMPUTED_VALUE"""),"Friends 2008")</f>
        <v>Friends 2008</v>
      </c>
      <c r="C261" s="63" t="str">
        <f>IFERROR(__xludf.DUMMYFUNCTION("""COMPUTED_VALUE"""),"221")</f>
        <v>221</v>
      </c>
      <c r="D261" s="79" t="str">
        <f>IFERROR(__xludf.DUMMYFUNCTION("""COMPUTED_VALUE"""),"Friends of Hope Valley, Friends of Hope Valley Newsletter, 1 (Spring 2008), https://www.friendsofhopevalley.org/2008newsletterweb.pdf")</f>
        <v>Friends of Hope Valley, Friends of Hope Valley Newsletter, 1 (Spring 2008), https://www.friendsofhopevalley.org/2008newsletterweb.pdf</v>
      </c>
      <c r="E261" s="74" t="s">
        <v>1233</v>
      </c>
      <c r="F261" s="63" t="s">
        <v>1757</v>
      </c>
      <c r="G261" s="71" t="s">
        <v>1721</v>
      </c>
      <c r="H261" s="71"/>
      <c r="I261" s="66"/>
      <c r="J261" s="68"/>
      <c r="K261" s="68"/>
      <c r="L261" s="68"/>
      <c r="M261" s="68"/>
      <c r="N261" s="67"/>
      <c r="O261" s="88"/>
      <c r="P261" s="88"/>
      <c r="Q261" s="90"/>
      <c r="R261" s="72"/>
      <c r="S261" s="72"/>
      <c r="T261" s="72"/>
      <c r="U261" s="72"/>
      <c r="V261" s="72"/>
      <c r="W261" s="72"/>
      <c r="X261" s="72"/>
      <c r="Y261" s="72"/>
    </row>
    <row r="262">
      <c r="A262" s="60" t="s">
        <v>1758</v>
      </c>
      <c r="B262" s="61" t="str">
        <f>IFERROR(__xludf.DUMMYFUNCTION("""COMPUTED_VALUE"""),"Friends 2007")</f>
        <v>Friends 2007</v>
      </c>
      <c r="C262" s="63" t="str">
        <f>IFERROR(__xludf.DUMMYFUNCTION("""COMPUTED_VALUE"""),"222")</f>
        <v>222</v>
      </c>
      <c r="D262" s="79" t="str">
        <f>IFERROR(__xludf.DUMMYFUNCTION("""COMPUTED_VALUE"""),"Friends of Hope Valley, Friends of Hope Valley Newsletter, 1 (Winter 2007), https://www.friendsofhopevalley.org/news07_winter.pdf")</f>
        <v>Friends of Hope Valley, Friends of Hope Valley Newsletter, 1 (Winter 2007), https://www.friendsofhopevalley.org/news07_winter.pdf</v>
      </c>
      <c r="E262" s="74" t="s">
        <v>1233</v>
      </c>
      <c r="F262" s="63" t="s">
        <v>1759</v>
      </c>
      <c r="G262" s="71" t="s">
        <v>1721</v>
      </c>
      <c r="H262" s="71"/>
      <c r="I262" s="66"/>
      <c r="J262" s="68"/>
      <c r="K262" s="68"/>
      <c r="L262" s="68"/>
      <c r="M262" s="68"/>
      <c r="N262" s="67"/>
      <c r="O262" s="88"/>
      <c r="P262" s="88"/>
      <c r="Q262" s="90"/>
      <c r="R262" s="72"/>
      <c r="S262" s="72"/>
      <c r="T262" s="72"/>
      <c r="U262" s="72"/>
      <c r="V262" s="72"/>
      <c r="W262" s="72"/>
      <c r="X262" s="72"/>
      <c r="Y262" s="72"/>
    </row>
    <row r="263">
      <c r="A263" s="60" t="s">
        <v>1760</v>
      </c>
      <c r="B263" s="61" t="str">
        <f>IFERROR(__xludf.DUMMYFUNCTION("""COMPUTED_VALUE"""),"USDA")</f>
        <v>USDA</v>
      </c>
      <c r="C263" s="63" t="str">
        <f>IFERROR(__xludf.DUMMYFUNCTION("""COMPUTED_VALUE"""),"223")</f>
        <v>223</v>
      </c>
      <c r="D263" s="76" t="str">
        <f>IFERROR(__xludf.DUMMYFUNCTION("""COMPUTED_VALUE"""),"https://www.fs.usda.gov/Internet/FSE_DOCUMENTS/stelprdb5294291.pdf")</f>
        <v>https://www.fs.usda.gov/Internet/FSE_DOCUMENTS/stelprdb5294291.pdf</v>
      </c>
      <c r="E263" s="74" t="s">
        <v>1233</v>
      </c>
      <c r="F263" s="63" t="s">
        <v>1761</v>
      </c>
      <c r="G263" s="71" t="s">
        <v>1721</v>
      </c>
      <c r="H263" s="71"/>
      <c r="I263" s="66"/>
      <c r="J263" s="68"/>
      <c r="K263" s="68"/>
      <c r="L263" s="68"/>
      <c r="M263" s="68"/>
      <c r="N263" s="67"/>
      <c r="O263" s="88"/>
      <c r="P263" s="88"/>
      <c r="Q263" s="90"/>
      <c r="R263" s="72"/>
      <c r="S263" s="72"/>
      <c r="T263" s="72"/>
      <c r="U263" s="72"/>
      <c r="V263" s="72"/>
      <c r="W263" s="72"/>
      <c r="X263" s="72"/>
      <c r="Y263" s="72"/>
    </row>
    <row r="264">
      <c r="A264" s="60" t="s">
        <v>1762</v>
      </c>
      <c r="B264" s="61" t="str">
        <f>IFERROR(__xludf.DUMMYFUNCTION("""COMPUTED_VALUE"""),"Supra Notes 184-185 and Accompanying Text")</f>
        <v>Supra Notes 184-185 and Accompanying Text</v>
      </c>
      <c r="C264" s="63" t="str">
        <f>IFERROR(__xludf.DUMMYFUNCTION("""COMPUTED_VALUE"""),"224")</f>
        <v>224</v>
      </c>
      <c r="D264" s="79" t="str">
        <f>IFERROR(__xludf.DUMMYFUNCTION("""COMPUTED_VALUE"""),"supra notes 184-185 and accompanying text")</f>
        <v>supra notes 184-185 and accompanying text</v>
      </c>
      <c r="E264" s="74" t="s">
        <v>1233</v>
      </c>
      <c r="F264" s="63" t="s">
        <v>1763</v>
      </c>
      <c r="G264" s="71" t="s">
        <v>1721</v>
      </c>
      <c r="H264" s="71"/>
      <c r="I264" s="66"/>
      <c r="J264" s="68"/>
      <c r="K264" s="68"/>
      <c r="L264" s="68"/>
      <c r="M264" s="68"/>
      <c r="N264" s="67"/>
      <c r="O264" s="88"/>
      <c r="P264" s="88"/>
      <c r="Q264" s="90"/>
      <c r="R264" s="72"/>
      <c r="S264" s="72"/>
      <c r="T264" s="72"/>
      <c r="U264" s="72"/>
      <c r="V264" s="72"/>
      <c r="W264" s="72"/>
      <c r="X264" s="72"/>
      <c r="Y264" s="72"/>
    </row>
    <row r="265">
      <c r="A265" s="60" t="s">
        <v>1764</v>
      </c>
      <c r="B265" s="61" t="str">
        <f>IFERROR(__xludf.DUMMYFUNCTION("""COMPUTED_VALUE"""),"Desert Survivors v United States Dep't of the Interior")</f>
        <v>Desert Survivors v United States Dep't of the Interior</v>
      </c>
      <c r="C265" s="63" t="str">
        <f>IFERROR(__xludf.DUMMYFUNCTION("""COMPUTED_VALUE"""),"225")</f>
        <v>225</v>
      </c>
      <c r="D265" s="79" t="str">
        <f>IFERROR(__xludf.DUMMYFUNCTION("""COMPUTED_VALUE"""),"Desert Survivors v. United States Dep’t of the Interior, No. 20-CV-06787-JSC, 2022 WL 1539530, at *2 (N.D. Cal. May 16, 2022)")</f>
        <v>Desert Survivors v. United States Dep’t of the Interior, No. 20-CV-06787-JSC, 2022 WL 1539530, at *2 (N.D. Cal. May 16, 2022)</v>
      </c>
      <c r="E265" s="74" t="s">
        <v>1233</v>
      </c>
      <c r="F265" s="63" t="s">
        <v>1765</v>
      </c>
      <c r="G265" s="71" t="s">
        <v>1721</v>
      </c>
      <c r="H265" s="71"/>
      <c r="I265" s="66"/>
      <c r="J265" s="68"/>
      <c r="K265" s="68"/>
      <c r="L265" s="68"/>
      <c r="M265" s="68"/>
      <c r="N265" s="67"/>
      <c r="O265" s="88"/>
      <c r="P265" s="88"/>
      <c r="Q265" s="90"/>
      <c r="R265" s="72"/>
      <c r="S265" s="72"/>
      <c r="T265" s="72"/>
      <c r="U265" s="72"/>
      <c r="V265" s="72"/>
      <c r="W265" s="72"/>
      <c r="X265" s="72"/>
      <c r="Y265" s="72"/>
    </row>
    <row r="266">
      <c r="A266" s="60" t="s">
        <v>1766</v>
      </c>
      <c r="B266" s="61" t="str">
        <f>IFERROR(__xludf.DUMMYFUNCTION("""COMPUTED_VALUE"""),"Supra Notes 35-38 and Accompanying Text")</f>
        <v>Supra Notes 35-38 and Accompanying Text</v>
      </c>
      <c r="C266" s="63" t="str">
        <f>IFERROR(__xludf.DUMMYFUNCTION("""COMPUTED_VALUE"""),"226")</f>
        <v>226</v>
      </c>
      <c r="D266" s="79" t="str">
        <f>IFERROR(__xludf.DUMMYFUNCTION("""COMPUTED_VALUE"""),"supra notes 35-38 and accompanying text")</f>
        <v>supra notes 35-38 and accompanying text</v>
      </c>
      <c r="E266" s="74" t="s">
        <v>1233</v>
      </c>
      <c r="F266" s="63" t="s">
        <v>1767</v>
      </c>
      <c r="G266" s="71" t="s">
        <v>1721</v>
      </c>
      <c r="H266" s="71"/>
      <c r="I266" s="66"/>
      <c r="J266" s="68"/>
      <c r="K266" s="68"/>
      <c r="L266" s="68"/>
      <c r="M266" s="68"/>
      <c r="N266" s="67"/>
      <c r="O266" s="88"/>
      <c r="P266" s="88"/>
      <c r="Q266" s="90"/>
      <c r="R266" s="72"/>
      <c r="S266" s="72"/>
      <c r="T266" s="72"/>
      <c r="U266" s="72"/>
      <c r="V266" s="72"/>
      <c r="W266" s="72"/>
      <c r="X266" s="72"/>
      <c r="Y266" s="72"/>
    </row>
    <row r="267">
      <c r="A267" s="60" t="s">
        <v>1768</v>
      </c>
      <c r="B267" s="61" t="str">
        <f>IFERROR(__xludf.DUMMYFUNCTION("""COMPUTED_VALUE"""),"Cherokee Nation")</f>
        <v>Cherokee Nation</v>
      </c>
      <c r="C267" s="63" t="str">
        <f>IFERROR(__xludf.DUMMYFUNCTION("""COMPUTED_VALUE"""),"228")</f>
        <v>228</v>
      </c>
      <c r="D267" s="79" t="str">
        <f>IFERROR(__xludf.DUMMYFUNCTION("""COMPUTED_VALUE"""),"Cherokee Nation, 936 F.3d at 1152")</f>
        <v>Cherokee Nation, 936 F.3d at 1152</v>
      </c>
      <c r="E267" s="74" t="s">
        <v>1233</v>
      </c>
      <c r="F267" s="63" t="s">
        <v>1769</v>
      </c>
      <c r="G267" s="71" t="s">
        <v>1721</v>
      </c>
      <c r="H267" s="71"/>
      <c r="I267" s="66"/>
      <c r="J267" s="68"/>
      <c r="K267" s="68"/>
      <c r="L267" s="68"/>
      <c r="M267" s="68"/>
      <c r="N267" s="67"/>
      <c r="O267" s="88"/>
      <c r="P267" s="88"/>
      <c r="Q267" s="90"/>
      <c r="R267" s="72"/>
      <c r="S267" s="72"/>
      <c r="T267" s="72"/>
      <c r="U267" s="72"/>
      <c r="V267" s="72"/>
      <c r="W267" s="72"/>
      <c r="X267" s="72"/>
      <c r="Y267" s="72"/>
    </row>
    <row r="268">
      <c r="A268" s="60" t="s">
        <v>1770</v>
      </c>
      <c r="B268" s="61" t="str">
        <f>IFERROR(__xludf.DUMMYFUNCTION("""COMPUTED_VALUE"""),"Supra Notes 136-137 and Accompanying Text")</f>
        <v>Supra Notes 136-137 and Accompanying Text</v>
      </c>
      <c r="C268" s="63" t="str">
        <f>IFERROR(__xludf.DUMMYFUNCTION("""COMPUTED_VALUE"""),"242")</f>
        <v>242</v>
      </c>
      <c r="D268" s="79" t="str">
        <f>IFERROR(__xludf.DUMMYFUNCTION("""COMPUTED_VALUE"""),"supra notes 136-137 and accompanying text")</f>
        <v>supra notes 136-137 and accompanying text</v>
      </c>
      <c r="E268" s="74" t="s">
        <v>1233</v>
      </c>
      <c r="F268" s="63" t="s">
        <v>1771</v>
      </c>
      <c r="G268" s="71" t="s">
        <v>1721</v>
      </c>
      <c r="H268" s="71"/>
      <c r="I268" s="66"/>
      <c r="J268" s="68"/>
      <c r="K268" s="68"/>
      <c r="L268" s="68"/>
      <c r="M268" s="68"/>
      <c r="N268" s="67"/>
      <c r="O268" s="88"/>
      <c r="P268" s="88"/>
      <c r="Q268" s="90"/>
      <c r="R268" s="72"/>
      <c r="S268" s="72"/>
      <c r="T268" s="72"/>
      <c r="U268" s="72"/>
      <c r="V268" s="72"/>
      <c r="W268" s="72"/>
      <c r="X268" s="72"/>
      <c r="Y268" s="72"/>
    </row>
    <row r="269">
      <c r="A269" s="60" t="s">
        <v>1772</v>
      </c>
      <c r="B269" s="61" t="str">
        <f>IFERROR(__xludf.DUMMYFUNCTION("""COMPUTED_VALUE"""),"Supra Notes 219-223 and Accompanying Text")</f>
        <v>Supra Notes 219-223 and Accompanying Text</v>
      </c>
      <c r="C269" s="63" t="str">
        <f>IFERROR(__xludf.DUMMYFUNCTION("""COMPUTED_VALUE"""),"243")</f>
        <v>243</v>
      </c>
      <c r="D269" s="79" t="str">
        <f>IFERROR(__xludf.DUMMYFUNCTION("""COMPUTED_VALUE"""),"supra notes 219-223 and accompanying text")</f>
        <v>supra notes 219-223 and accompanying text</v>
      </c>
      <c r="E269" s="74" t="s">
        <v>1233</v>
      </c>
      <c r="F269" s="63" t="s">
        <v>1773</v>
      </c>
      <c r="G269" s="71" t="s">
        <v>1721</v>
      </c>
      <c r="H269" s="71"/>
      <c r="I269" s="66"/>
      <c r="J269" s="68"/>
      <c r="K269" s="68"/>
      <c r="L269" s="68"/>
      <c r="M269" s="68"/>
      <c r="N269" s="67"/>
      <c r="O269" s="88"/>
      <c r="P269" s="88"/>
      <c r="Q269" s="90"/>
      <c r="R269" s="72"/>
      <c r="S269" s="72"/>
      <c r="T269" s="72"/>
      <c r="U269" s="72"/>
      <c r="V269" s="72"/>
      <c r="W269" s="72"/>
      <c r="X269" s="72"/>
      <c r="Y269" s="72"/>
    </row>
    <row r="270">
      <c r="A270" s="60" t="s">
        <v>1774</v>
      </c>
      <c r="B270" s="61" t="str">
        <f>IFERROR(__xludf.DUMMYFUNCTION("""COMPUTED_VALUE"""),"Deposit Guaranty Nat'l Bank v Roper")</f>
        <v>Deposit Guaranty Nat'l Bank v Roper</v>
      </c>
      <c r="C270" s="63" t="str">
        <f>IFERROR(__xludf.DUMMYFUNCTION("""COMPUTED_VALUE"""),"244")</f>
        <v>244</v>
      </c>
      <c r="D270" s="79" t="str">
        <f>IFERROR(__xludf.DUMMYFUNCTION("""COMPUTED_VALUE"""),"Deposit Guaranty Nat’l Bank v. Roper, 445 U.S. 326, 333-34 (1980)")</f>
        <v>Deposit Guaranty Nat’l Bank v. Roper, 445 U.S. 326, 333-34 (1980)</v>
      </c>
      <c r="E270" s="74" t="s">
        <v>1233</v>
      </c>
      <c r="F270" s="63" t="s">
        <v>1775</v>
      </c>
      <c r="G270" s="71" t="s">
        <v>1721</v>
      </c>
      <c r="H270" s="71"/>
      <c r="I270" s="66"/>
      <c r="J270" s="68"/>
      <c r="K270" s="68"/>
      <c r="L270" s="68"/>
      <c r="M270" s="68"/>
      <c r="N270" s="67"/>
      <c r="O270" s="88"/>
      <c r="P270" s="88"/>
      <c r="Q270" s="90"/>
      <c r="R270" s="72"/>
      <c r="S270" s="72"/>
      <c r="T270" s="72"/>
      <c r="U270" s="72"/>
      <c r="V270" s="72"/>
      <c r="W270" s="72"/>
      <c r="X270" s="72"/>
      <c r="Y270" s="72"/>
    </row>
    <row r="271">
      <c r="A271" s="60" t="s">
        <v>1776</v>
      </c>
      <c r="B271" s="61" t="str">
        <f>IFERROR(__xludf.DUMMYFUNCTION("""COMPUTED_VALUE"""),"Envtl Prot Info CTR v Pac Lumber Co")</f>
        <v>Envtl Prot Info CTR v Pac Lumber Co</v>
      </c>
      <c r="C271" s="63" t="str">
        <f>IFERROR(__xludf.DUMMYFUNCTION("""COMPUTED_VALUE"""),"245")</f>
        <v>245</v>
      </c>
      <c r="D271" s="79" t="str">
        <f>IFERROR(__xludf.DUMMYFUNCTION("""COMPUTED_VALUE"""),"Envtl. Prot. Info. Ctr. v. Pac. Lumber Co., 257 F.3d 1071, 1075 (9th Cir. 2001)")</f>
        <v>Envtl. Prot. Info. Ctr. v. Pac. Lumber Co., 257 F.3d 1071, 1075 (9th Cir. 2001)</v>
      </c>
      <c r="E271" s="74" t="s">
        <v>1233</v>
      </c>
      <c r="F271" s="63" t="s">
        <v>1777</v>
      </c>
      <c r="G271" s="71" t="s">
        <v>1721</v>
      </c>
      <c r="H271" s="71"/>
      <c r="I271" s="66"/>
      <c r="J271" s="68"/>
      <c r="K271" s="68"/>
      <c r="L271" s="68"/>
      <c r="M271" s="68"/>
      <c r="N271" s="67"/>
      <c r="O271" s="88"/>
      <c r="P271" s="88"/>
      <c r="Q271" s="90"/>
      <c r="R271" s="72"/>
      <c r="S271" s="72"/>
      <c r="T271" s="72"/>
      <c r="U271" s="72"/>
      <c r="V271" s="72"/>
      <c r="W271" s="72"/>
      <c r="X271" s="72"/>
      <c r="Y271" s="72"/>
    </row>
    <row r="272">
      <c r="A272" s="60" t="s">
        <v>1778</v>
      </c>
      <c r="B272" s="61" t="str">
        <f>IFERROR(__xludf.DUMMYFUNCTION("""COMPUTED_VALUE"""),"California v Rooney")</f>
        <v>California v Rooney</v>
      </c>
      <c r="C272" s="63" t="str">
        <f>IFERROR(__xludf.DUMMYFUNCTION("""COMPUTED_VALUE"""),"246")</f>
        <v>246</v>
      </c>
      <c r="D272" s="79" t="str">
        <f>IFERROR(__xludf.DUMMYFUNCTION("""COMPUTED_VALUE"""),"California v. Rooney, 483 U.S. 307, 311 (1987)")</f>
        <v>California v. Rooney, 483 U.S. 307, 311 (1987)</v>
      </c>
      <c r="E272" s="74" t="s">
        <v>1233</v>
      </c>
      <c r="F272" s="63" t="s">
        <v>1779</v>
      </c>
      <c r="G272" s="71" t="s">
        <v>1721</v>
      </c>
      <c r="H272" s="71"/>
      <c r="I272" s="66"/>
      <c r="J272" s="68"/>
      <c r="K272" s="68"/>
      <c r="L272" s="68"/>
      <c r="M272" s="68"/>
      <c r="N272" s="67"/>
      <c r="O272" s="88"/>
      <c r="P272" s="88"/>
      <c r="Q272" s="90"/>
      <c r="R272" s="72"/>
      <c r="S272" s="72"/>
      <c r="T272" s="72"/>
      <c r="U272" s="72"/>
      <c r="V272" s="72"/>
      <c r="W272" s="72"/>
      <c r="X272" s="72"/>
      <c r="Y272" s="72"/>
    </row>
    <row r="273">
      <c r="A273" s="60" t="s">
        <v>1780</v>
      </c>
      <c r="B273" s="61" t="str">
        <f>IFERROR(__xludf.DUMMYFUNCTION("""COMPUTED_VALUE"""),"NRDC")</f>
        <v>NRDC</v>
      </c>
      <c r="C273" s="63" t="str">
        <f>IFERROR(__xludf.DUMMYFUNCTION("""COMPUTED_VALUE"""),"249")</f>
        <v>249</v>
      </c>
      <c r="D273" s="79" t="str">
        <f>IFERROR(__xludf.DUMMYFUNCTION("""COMPUTED_VALUE"""),"Nat. Res. Def. Council, 457 F.3d at 906")</f>
        <v>Nat. Res. Def. Council, 457 F.3d at 906</v>
      </c>
      <c r="E273" s="74" t="s">
        <v>1233</v>
      </c>
      <c r="F273" s="63" t="s">
        <v>1781</v>
      </c>
      <c r="G273" s="71" t="s">
        <v>1721</v>
      </c>
      <c r="H273" s="71"/>
      <c r="I273" s="66"/>
      <c r="J273" s="68"/>
      <c r="K273" s="68"/>
      <c r="L273" s="68"/>
      <c r="M273" s="68"/>
      <c r="N273" s="67"/>
      <c r="O273" s="88"/>
      <c r="P273" s="88"/>
      <c r="Q273" s="90"/>
      <c r="R273" s="72"/>
      <c r="S273" s="72"/>
      <c r="T273" s="72"/>
      <c r="U273" s="72"/>
      <c r="V273" s="72"/>
      <c r="W273" s="72"/>
      <c r="X273" s="72"/>
      <c r="Y273" s="72"/>
    </row>
    <row r="274">
      <c r="A274" s="60" t="s">
        <v>1782</v>
      </c>
      <c r="B274" s="61" t="str">
        <f>IFERROR(__xludf.DUMMYFUNCTION("""COMPUTED_VALUE"""),"Camreta")</f>
        <v>Camreta</v>
      </c>
      <c r="C274" s="63" t="str">
        <f>IFERROR(__xludf.DUMMYFUNCTION("""COMPUTED_VALUE"""),"250")</f>
        <v>250</v>
      </c>
      <c r="D274" s="79" t="str">
        <f>IFERROR(__xludf.DUMMYFUNCTION("""COMPUTED_VALUE"""),"Camreta, 563 U.S. at 704")</f>
        <v>Camreta, 563 U.S. at 704</v>
      </c>
      <c r="E274" s="74" t="s">
        <v>1233</v>
      </c>
      <c r="F274" s="63" t="s">
        <v>1783</v>
      </c>
      <c r="G274" s="71" t="s">
        <v>1721</v>
      </c>
      <c r="H274" s="71"/>
      <c r="I274" s="66"/>
      <c r="J274" s="68"/>
      <c r="K274" s="68"/>
      <c r="L274" s="68"/>
      <c r="M274" s="68"/>
      <c r="N274" s="67"/>
      <c r="O274" s="88"/>
      <c r="P274" s="88"/>
      <c r="Q274" s="90"/>
      <c r="R274" s="72"/>
      <c r="S274" s="72"/>
      <c r="T274" s="72"/>
      <c r="U274" s="72"/>
      <c r="V274" s="72"/>
      <c r="W274" s="72"/>
      <c r="X274" s="72"/>
      <c r="Y274" s="72"/>
    </row>
    <row r="275">
      <c r="A275" s="60" t="s">
        <v>1784</v>
      </c>
      <c r="B275" s="61" t="str">
        <f>IFERROR(__xludf.DUMMYFUNCTION("""COMPUTED_VALUE"""),"Cottonwood")</f>
        <v>Cottonwood</v>
      </c>
      <c r="C275" s="63" t="str">
        <f>IFERROR(__xludf.DUMMYFUNCTION("""COMPUTED_VALUE"""),"251")</f>
        <v>251</v>
      </c>
      <c r="D275" s="79" t="str">
        <f>IFERROR(__xludf.DUMMYFUNCTION("""COMPUTED_VALUE"""),"Cottonwood Env’t Law Ctr., 2022 WL 612673, at *1")</f>
        <v>Cottonwood Env’t Law Ctr., 2022 WL 612673, at *1</v>
      </c>
      <c r="E275" s="74" t="s">
        <v>1233</v>
      </c>
      <c r="F275" s="63" t="s">
        <v>1785</v>
      </c>
      <c r="G275" s="71" t="s">
        <v>1721</v>
      </c>
      <c r="H275" s="71"/>
      <c r="I275" s="66"/>
      <c r="J275" s="68"/>
      <c r="K275" s="68"/>
      <c r="L275" s="68"/>
      <c r="M275" s="68"/>
      <c r="N275" s="67"/>
      <c r="O275" s="88"/>
      <c r="P275" s="88"/>
      <c r="Q275" s="90"/>
      <c r="R275" s="72"/>
      <c r="S275" s="72"/>
      <c r="T275" s="72"/>
      <c r="U275" s="72"/>
      <c r="V275" s="72"/>
      <c r="W275" s="72"/>
      <c r="X275" s="72"/>
      <c r="Y275" s="72"/>
    </row>
    <row r="276">
      <c r="A276" s="60" t="s">
        <v>1786</v>
      </c>
      <c r="B276" s="61" t="str">
        <f>IFERROR(__xludf.DUMMYFUNCTION("""COMPUTED_VALUE"""),"Gersen")</f>
        <v>Gersen</v>
      </c>
      <c r="C276" s="63" t="str">
        <f>IFERROR(__xludf.DUMMYFUNCTION("""COMPUTED_VALUE"""),"252")</f>
        <v>252</v>
      </c>
      <c r="D276" s="79" t="str">
        <f>IFERROR(__xludf.DUMMYFUNCTION("""COMPUTED_VALUE"""),"Jacob E. Gersen &amp; Anne Joseph O’Connell, Deadlines in Administrative Law, 156 U. Pa. L. Rev. 923, 927 (2008)")</f>
        <v>Jacob E. Gersen &amp; Anne Joseph O’Connell, Deadlines in Administrative Law, 156 U. Pa. L. Rev. 923, 927 (2008)</v>
      </c>
      <c r="E276" s="74" t="s">
        <v>1233</v>
      </c>
      <c r="F276" s="63" t="s">
        <v>1787</v>
      </c>
      <c r="G276" s="71" t="s">
        <v>1721</v>
      </c>
      <c r="H276" s="71"/>
      <c r="I276" s="66"/>
      <c r="J276" s="68"/>
      <c r="K276" s="68"/>
      <c r="L276" s="68"/>
      <c r="M276" s="68"/>
      <c r="N276" s="67"/>
      <c r="O276" s="88"/>
      <c r="P276" s="88"/>
      <c r="Q276" s="90"/>
      <c r="R276" s="72"/>
      <c r="S276" s="72"/>
      <c r="T276" s="72"/>
      <c r="U276" s="72"/>
      <c r="V276" s="72"/>
      <c r="W276" s="72"/>
      <c r="X276" s="72"/>
      <c r="Y276" s="72"/>
    </row>
    <row r="277">
      <c r="A277" s="60" t="s">
        <v>1788</v>
      </c>
      <c r="B277" s="61" t="str">
        <f>IFERROR(__xludf.DUMMYFUNCTION("""COMPUTED_VALUE"""),"53 F 4th")</f>
        <v>53 F 4th</v>
      </c>
      <c r="C277" s="63" t="str">
        <f>IFERROR(__xludf.DUMMYFUNCTION("""COMPUTED_VALUE"""),"253")</f>
        <v>253</v>
      </c>
      <c r="D277" s="79" t="str">
        <f>IFERROR(__xludf.DUMMYFUNCTION("""COMPUTED_VALUE"""),"53 F.4th 665 (D.C. Cir. 2022)")</f>
        <v>53 F.4th 665 (D.C. Cir. 2022)</v>
      </c>
      <c r="E277" s="74" t="s">
        <v>1233</v>
      </c>
      <c r="F277" s="63" t="s">
        <v>1789</v>
      </c>
      <c r="G277" s="71" t="s">
        <v>1721</v>
      </c>
      <c r="H277" s="71"/>
      <c r="I277" s="66"/>
      <c r="J277" s="68"/>
      <c r="K277" s="68"/>
      <c r="L277" s="68"/>
      <c r="M277" s="68"/>
      <c r="N277" s="67"/>
      <c r="O277" s="88"/>
      <c r="P277" s="88"/>
      <c r="Q277" s="90"/>
      <c r="R277" s="72"/>
      <c r="S277" s="72"/>
      <c r="T277" s="72"/>
      <c r="U277" s="72"/>
      <c r="V277" s="72"/>
      <c r="W277" s="72"/>
      <c r="X277" s="72"/>
      <c r="Y277" s="72"/>
    </row>
    <row r="278">
      <c r="A278" s="60" t="s">
        <v>1790</v>
      </c>
      <c r="B278" s="61" t="str">
        <f>IFERROR(__xludf.DUMMYFUNCTION("""COMPUTED_VALUE"""),"In Re Clean Water Act")</f>
        <v>In Re Clean Water Act</v>
      </c>
      <c r="C278" s="63" t="str">
        <f>IFERROR(__xludf.DUMMYFUNCTION("""COMPUTED_VALUE"""),"259")</f>
        <v>259</v>
      </c>
      <c r="D278" s="79" t="str">
        <f>IFERROR(__xludf.DUMMYFUNCTION("""COMPUTED_VALUE"""),"In re Clean Water Act Rulemaking, 60 F.4th at 593")</f>
        <v>In re Clean Water Act Rulemaking, 60 F.4th at 593</v>
      </c>
      <c r="E278" s="74" t="s">
        <v>1233</v>
      </c>
      <c r="F278" s="63" t="s">
        <v>1791</v>
      </c>
      <c r="G278" s="71" t="s">
        <v>1721</v>
      </c>
      <c r="H278" s="71"/>
      <c r="I278" s="66"/>
      <c r="J278" s="68"/>
      <c r="K278" s="68"/>
      <c r="L278" s="68"/>
      <c r="M278" s="68"/>
      <c r="N278" s="67"/>
      <c r="O278" s="88"/>
      <c r="P278" s="88"/>
      <c r="Q278" s="90"/>
      <c r="R278" s="72"/>
      <c r="S278" s="72"/>
      <c r="T278" s="72"/>
      <c r="U278" s="72"/>
      <c r="V278" s="72"/>
      <c r="W278" s="72"/>
      <c r="X278" s="72"/>
      <c r="Y278" s="72"/>
    </row>
    <row r="279">
      <c r="A279" s="60" t="s">
        <v>1792</v>
      </c>
      <c r="B279" s="61" t="str">
        <f>IFERROR(__xludf.DUMMYFUNCTION("""COMPUTED_VALUE"""),"Mont Wildlife Fed'n v Haaland")</f>
        <v>Mont Wildlife Fed'n v Haaland</v>
      </c>
      <c r="C279" s="63" t="str">
        <f>IFERROR(__xludf.DUMMYFUNCTION("""COMPUTED_VALUE"""),"261")</f>
        <v>261</v>
      </c>
      <c r="D279" s="79" t="str">
        <f>IFERROR(__xludf.DUMMYFUNCTION("""COMPUTED_VALUE"""),"Mont. Wildlife Fed’n v. Haaland, 127 F.4th 1, 27-30 (9th Cir. 2025)")</f>
        <v>Mont. Wildlife Fed’n v. Haaland, 127 F.4th 1, 27-30 (9th Cir. 2025)</v>
      </c>
      <c r="E279" s="74" t="s">
        <v>1233</v>
      </c>
      <c r="F279" s="63" t="s">
        <v>1793</v>
      </c>
      <c r="G279" s="71" t="s">
        <v>1721</v>
      </c>
      <c r="H279" s="71"/>
      <c r="I279" s="66"/>
      <c r="J279" s="68"/>
      <c r="K279" s="68"/>
      <c r="L279" s="68"/>
      <c r="M279" s="68"/>
      <c r="N279" s="67"/>
      <c r="O279" s="88"/>
      <c r="P279" s="88"/>
      <c r="Q279" s="90"/>
      <c r="R279" s="72"/>
      <c r="S279" s="72"/>
      <c r="T279" s="72"/>
      <c r="U279" s="72"/>
      <c r="V279" s="72"/>
      <c r="W279" s="72"/>
      <c r="X279" s="72"/>
      <c r="Y279" s="72"/>
    </row>
    <row r="280">
      <c r="A280" s="60" t="s">
        <v>1794</v>
      </c>
      <c r="B280" s="61" t="str">
        <f>IFERROR(__xludf.DUMMYFUNCTION("""COMPUTED_VALUE"""),"Supra Notes 211-214 and Accompanying Text")</f>
        <v>Supra Notes 211-214 and Accompanying Text</v>
      </c>
      <c r="C280" s="63" t="str">
        <f>IFERROR(__xludf.DUMMYFUNCTION("""COMPUTED_VALUE"""),"262")</f>
        <v>262</v>
      </c>
      <c r="D280" s="79" t="str">
        <f>IFERROR(__xludf.DUMMYFUNCTION("""COMPUTED_VALUE"""),"supra notes 211-214 and accompanying text")</f>
        <v>supra notes 211-214 and accompanying text</v>
      </c>
      <c r="E280" s="74" t="s">
        <v>1233</v>
      </c>
      <c r="F280" s="63" t="s">
        <v>1795</v>
      </c>
      <c r="G280" s="71" t="s">
        <v>1721</v>
      </c>
      <c r="H280" s="71"/>
      <c r="I280" s="66"/>
      <c r="J280" s="68"/>
      <c r="K280" s="68"/>
      <c r="L280" s="68"/>
      <c r="M280" s="68"/>
      <c r="N280" s="67"/>
      <c r="O280" s="88"/>
      <c r="P280" s="88"/>
      <c r="Q280" s="90"/>
      <c r="R280" s="72"/>
      <c r="S280" s="72"/>
      <c r="T280" s="72"/>
      <c r="U280" s="72"/>
      <c r="V280" s="72"/>
      <c r="W280" s="72"/>
      <c r="X280" s="72"/>
      <c r="Y280" s="72"/>
    </row>
    <row r="281">
      <c r="A281" s="60" t="s">
        <v>1796</v>
      </c>
      <c r="B281" s="61" t="str">
        <f>IFERROR(__xludf.DUMMYFUNCTION("""COMPUTED_VALUE"""),"69 F 4th")</f>
        <v>69 F 4th</v>
      </c>
      <c r="C281" s="63" t="str">
        <f>IFERROR(__xludf.DUMMYFUNCTION("""COMPUTED_VALUE"""),"269")</f>
        <v>269</v>
      </c>
      <c r="D281" s="79" t="str">
        <f>IFERROR(__xludf.DUMMYFUNCTION("""COMPUTED_VALUE"""),"69 F.4th at 597 n.2 (Friedland and Bennett, JJ., concurring)")</f>
        <v>69 F.4th at 597 n.2 (Friedland and Bennett, JJ., concurring)</v>
      </c>
      <c r="E281" s="74" t="s">
        <v>1233</v>
      </c>
      <c r="F281" s="63" t="s">
        <v>1797</v>
      </c>
      <c r="G281" s="71" t="s">
        <v>1721</v>
      </c>
      <c r="H281" s="71"/>
      <c r="I281" s="66"/>
      <c r="J281" s="68"/>
      <c r="K281" s="68"/>
      <c r="L281" s="68"/>
      <c r="M281" s="68"/>
      <c r="N281" s="67"/>
      <c r="O281" s="88"/>
      <c r="P281" s="88"/>
      <c r="Q281" s="90"/>
      <c r="R281" s="72"/>
      <c r="S281" s="72"/>
      <c r="T281" s="72"/>
      <c r="U281" s="72"/>
      <c r="V281" s="72"/>
      <c r="W281" s="72"/>
      <c r="X281" s="72"/>
      <c r="Y281" s="72"/>
    </row>
    <row r="282">
      <c r="A282" s="60" t="s">
        <v>1798</v>
      </c>
      <c r="B282" s="61" t="str">
        <f>IFERROR(__xludf.DUMMYFUNCTION("""COMPUTED_VALUE"""),"Thompson")</f>
        <v>Thompson</v>
      </c>
      <c r="C282" s="63" t="str">
        <f>IFERROR(__xludf.DUMMYFUNCTION("""COMPUTED_VALUE"""),"269")</f>
        <v>269</v>
      </c>
      <c r="D282" s="79" t="str">
        <f>IFERROR(__xludf.DUMMYFUNCTION("""COMPUTED_VALUE"""),"Judge David R. Thompson, The Ninth Circuit Court of Appeals Evaluation Committee, 34 U.C. Davis L. Rev. 365, 377 (2000)")</f>
        <v>Judge David R. Thompson, The Ninth Circuit Court of Appeals Evaluation Committee, 34 U.C. Davis L. Rev. 365, 377 (2000)</v>
      </c>
      <c r="E282" s="74" t="s">
        <v>1233</v>
      </c>
      <c r="F282" s="63" t="s">
        <v>1799</v>
      </c>
      <c r="G282" s="71" t="s">
        <v>1800</v>
      </c>
      <c r="H282" s="71"/>
      <c r="I282" s="66"/>
      <c r="J282" s="68"/>
      <c r="K282" s="68"/>
      <c r="L282" s="68"/>
      <c r="M282" s="68"/>
      <c r="N282" s="67"/>
      <c r="O282" s="88"/>
      <c r="P282" s="88"/>
      <c r="Q282" s="90"/>
      <c r="R282" s="72"/>
      <c r="S282" s="72"/>
      <c r="T282" s="72"/>
      <c r="U282" s="72"/>
      <c r="V282" s="72"/>
      <c r="W282" s="72"/>
      <c r="X282" s="72"/>
      <c r="Y282" s="72"/>
    </row>
    <row r="283">
      <c r="A283" s="60" t="s">
        <v>1801</v>
      </c>
      <c r="B283" s="61" t="str">
        <f>IFERROR(__xludf.DUMMYFUNCTION("""COMPUTED_VALUE"""),"Supra Notes 186-192")</f>
        <v>Supra Notes 186-192</v>
      </c>
      <c r="C283" s="63" t="str">
        <f>IFERROR(__xludf.DUMMYFUNCTION("""COMPUTED_VALUE"""),"270")</f>
        <v>270</v>
      </c>
      <c r="D283" s="79" t="str">
        <f>IFERROR(__xludf.DUMMYFUNCTION("""COMPUTED_VALUE"""),"supra notes 186-192, 230-242 and accompanying text")</f>
        <v>supra notes 186-192, 230-242 and accompanying text</v>
      </c>
      <c r="E283" s="74" t="s">
        <v>1233</v>
      </c>
      <c r="F283" s="63" t="s">
        <v>1802</v>
      </c>
      <c r="G283" s="71" t="s">
        <v>1800</v>
      </c>
      <c r="H283" s="71"/>
      <c r="I283" s="66"/>
      <c r="J283" s="68"/>
      <c r="K283" s="68"/>
      <c r="L283" s="68"/>
      <c r="M283" s="68"/>
      <c r="N283" s="67"/>
      <c r="O283" s="88"/>
      <c r="P283" s="88"/>
      <c r="Q283" s="90"/>
      <c r="R283" s="72"/>
      <c r="S283" s="72"/>
      <c r="T283" s="72"/>
      <c r="U283" s="72"/>
      <c r="V283" s="72"/>
      <c r="W283" s="72"/>
      <c r="X283" s="72"/>
      <c r="Y283" s="72"/>
    </row>
    <row r="284">
      <c r="A284" s="60" t="s">
        <v>1803</v>
      </c>
      <c r="B284" s="61" t="str">
        <f>IFERROR(__xludf.DUMMYFUNCTION("""COMPUTED_VALUE"""),"Mergen")</f>
        <v>Mergen</v>
      </c>
      <c r="C284" s="63" t="str">
        <f>IFERROR(__xludf.DUMMYFUNCTION("""COMPUTED_VALUE"""),"271")</f>
        <v>271</v>
      </c>
      <c r="D284" s="79" t="str">
        <f>IFERROR(__xludf.DUMMYFUNCTION("""COMPUTED_VALUE"""),"Andrew Mergen, “Sidebar: The Rule—And Agency Risk Management,” Environmental Forum, 45 (Sept./Oct. 2025)")</f>
        <v>Andrew Mergen, “Sidebar: The Rule—And Agency Risk Management,” Environmental Forum, 45 (Sept./Oct. 2025)</v>
      </c>
      <c r="E284" s="74" t="s">
        <v>1233</v>
      </c>
      <c r="F284" s="63" t="s">
        <v>1804</v>
      </c>
      <c r="G284" s="71" t="s">
        <v>1800</v>
      </c>
      <c r="H284" s="71"/>
      <c r="I284" s="66"/>
      <c r="J284" s="68"/>
      <c r="K284" s="68"/>
      <c r="L284" s="68"/>
      <c r="M284" s="68"/>
      <c r="N284" s="67"/>
      <c r="O284" s="88"/>
      <c r="P284" s="88"/>
      <c r="Q284" s="90"/>
      <c r="R284" s="72"/>
      <c r="S284" s="72"/>
      <c r="T284" s="72"/>
      <c r="U284" s="72"/>
      <c r="V284" s="72"/>
      <c r="W284" s="72"/>
      <c r="X284" s="72"/>
      <c r="Y284" s="72"/>
    </row>
    <row r="285">
      <c r="A285" s="60" t="s">
        <v>1805</v>
      </c>
      <c r="B285" s="61" t="str">
        <f>IFERROR(__xludf.DUMMYFUNCTION("""COMPUTED_VALUE"""),"Supra Part ID 4")</f>
        <v>Supra Part ID 4</v>
      </c>
      <c r="C285" s="63" t="str">
        <f>IFERROR(__xludf.DUMMYFUNCTION("""COMPUTED_VALUE"""),"272")</f>
        <v>272</v>
      </c>
      <c r="D285" s="79" t="str">
        <f>IFERROR(__xludf.DUMMYFUNCTION("""COMPUTED_VALUE"""),"supra Part I.D.4")</f>
        <v>supra Part I.D.4</v>
      </c>
      <c r="E285" s="74" t="s">
        <v>1233</v>
      </c>
      <c r="F285" s="63" t="s">
        <v>1806</v>
      </c>
      <c r="G285" s="71" t="s">
        <v>1800</v>
      </c>
      <c r="H285" s="71"/>
      <c r="I285" s="66"/>
      <c r="J285" s="68"/>
      <c r="K285" s="68"/>
      <c r="L285" s="68"/>
      <c r="M285" s="68"/>
      <c r="N285" s="67"/>
      <c r="O285" s="88"/>
      <c r="P285" s="88"/>
      <c r="Q285" s="90"/>
      <c r="R285" s="72"/>
      <c r="S285" s="72"/>
      <c r="T285" s="72"/>
      <c r="U285" s="72"/>
      <c r="V285" s="72"/>
      <c r="W285" s="72"/>
      <c r="X285" s="72"/>
      <c r="Y285" s="72"/>
    </row>
    <row r="286">
      <c r="A286" s="60" t="s">
        <v>1807</v>
      </c>
      <c r="B286" s="61" t="str">
        <f>IFERROR(__xludf.DUMMYFUNCTION("""COMPUTED_VALUE"""),"Loper Bright Enterprises v Raimondo")</f>
        <v>Loper Bright Enterprises v Raimondo</v>
      </c>
      <c r="C286" s="63" t="str">
        <f>IFERROR(__xludf.DUMMYFUNCTION("""COMPUTED_VALUE"""),"273")</f>
        <v>273</v>
      </c>
      <c r="D286" s="79" t="str">
        <f>IFERROR(__xludf.DUMMYFUNCTION("""COMPUTED_VALUE"""),"Loper Bright Enterprises v. Raimondo, 603 U.S. 412-13 (2024)")</f>
        <v>Loper Bright Enterprises v. Raimondo, 603 U.S. 412-13 (2024)</v>
      </c>
      <c r="E286" s="74" t="s">
        <v>1233</v>
      </c>
      <c r="F286" s="63" t="s">
        <v>1808</v>
      </c>
      <c r="G286" s="71" t="s">
        <v>1800</v>
      </c>
      <c r="H286" s="71"/>
      <c r="I286" s="66"/>
      <c r="J286" s="68"/>
      <c r="K286" s="68"/>
      <c r="L286" s="68"/>
      <c r="M286" s="68"/>
      <c r="N286" s="67"/>
      <c r="O286" s="88"/>
      <c r="P286" s="88"/>
      <c r="Q286" s="90"/>
      <c r="R286" s="72"/>
      <c r="S286" s="72"/>
      <c r="T286" s="72"/>
      <c r="U286" s="72"/>
      <c r="V286" s="72"/>
      <c r="W286" s="72"/>
      <c r="X286" s="72"/>
      <c r="Y286" s="72"/>
    </row>
    <row r="287">
      <c r="A287" s="60" t="s">
        <v>1809</v>
      </c>
      <c r="B287" s="61" t="str">
        <f>IFERROR(__xludf.DUMMYFUNCTION("""COMPUTED_VALUE"""),"Chevron")</f>
        <v>Chevron</v>
      </c>
      <c r="C287" s="63" t="str">
        <f>IFERROR(__xludf.DUMMYFUNCTION("""COMPUTED_VALUE"""),"273")</f>
        <v>273</v>
      </c>
      <c r="D287" s="79" t="str">
        <f>IFERROR(__xludf.DUMMYFUNCTION("""COMPUTED_VALUE"""),"Chevron U.S.A., Inc. v. Nat. Res. Def. Council, Inc., 467 U.S. 837 (1984)")</f>
        <v>Chevron U.S.A., Inc. v. Nat. Res. Def. Council, Inc., 467 U.S. 837 (1984)</v>
      </c>
      <c r="E287" s="74" t="s">
        <v>1233</v>
      </c>
      <c r="F287" s="63" t="s">
        <v>1810</v>
      </c>
      <c r="G287" s="71" t="s">
        <v>1800</v>
      </c>
      <c r="H287" s="71"/>
      <c r="I287" s="66"/>
      <c r="J287" s="68"/>
      <c r="K287" s="68"/>
      <c r="L287" s="68"/>
      <c r="M287" s="68"/>
      <c r="N287" s="67"/>
      <c r="O287" s="88"/>
      <c r="P287" s="88"/>
      <c r="Q287" s="90"/>
      <c r="R287" s="72"/>
      <c r="S287" s="72"/>
      <c r="T287" s="72"/>
      <c r="U287" s="72"/>
      <c r="V287" s="72"/>
      <c r="W287" s="72"/>
      <c r="X287" s="72"/>
      <c r="Y287" s="72"/>
    </row>
    <row r="288">
      <c r="A288" s="60" t="s">
        <v>1811</v>
      </c>
      <c r="B288" s="61" t="str">
        <f>IFERROR(__xludf.DUMMYFUNCTION("""COMPUTED_VALUE"""),"Seven County Infrastructure Coalition v Eagle County")</f>
        <v>Seven County Infrastructure Coalition v Eagle County</v>
      </c>
      <c r="C288" s="63" t="str">
        <f>IFERROR(__xludf.DUMMYFUNCTION("""COMPUTED_VALUE"""),"273")</f>
        <v>273</v>
      </c>
      <c r="D288" s="79" t="str">
        <f>IFERROR(__xludf.DUMMYFUNCTION("""COMPUTED_VALUE"""),"Seven County Infrastructure Coalition v. Eagle County, Colo., 605 U.S. -- , 145 S. Ct. 1497, 1510 (2025)")</f>
        <v>Seven County Infrastructure Coalition v. Eagle County, Colo., 605 U.S. -- , 145 S. Ct. 1497, 1510 (2025)</v>
      </c>
      <c r="E288" s="74" t="s">
        <v>1233</v>
      </c>
      <c r="F288" s="63" t="s">
        <v>1812</v>
      </c>
      <c r="G288" s="71" t="s">
        <v>1800</v>
      </c>
      <c r="H288" s="71"/>
      <c r="I288" s="66"/>
      <c r="J288" s="68"/>
      <c r="K288" s="68"/>
      <c r="L288" s="68"/>
      <c r="M288" s="68"/>
      <c r="N288" s="67"/>
      <c r="O288" s="88"/>
      <c r="P288" s="88"/>
      <c r="Q288" s="90"/>
      <c r="R288" s="72"/>
      <c r="S288" s="72"/>
      <c r="T288" s="72"/>
      <c r="U288" s="72"/>
      <c r="V288" s="72"/>
      <c r="W288" s="72"/>
      <c r="X288" s="72"/>
      <c r="Y288" s="72"/>
    </row>
    <row r="289">
      <c r="A289" s="60" t="s">
        <v>1813</v>
      </c>
      <c r="B289" s="61" t="str">
        <f>IFERROR(__xludf.DUMMYFUNCTION("""COMPUTED_VALUE"""),"Kisor v Wilkie")</f>
        <v>Kisor v Wilkie</v>
      </c>
      <c r="C289" s="63" t="str">
        <f>IFERROR(__xludf.DUMMYFUNCTION("""COMPUTED_VALUE"""),"274")</f>
        <v>274</v>
      </c>
      <c r="D289" s="79" t="str">
        <f>IFERROR(__xludf.DUMMYFUNCTION("""COMPUTED_VALUE"""),"Kisor v. Wilkie, 588 U.S. 558, 573-80 (2019)")</f>
        <v>Kisor v. Wilkie, 588 U.S. 558, 573-80 (2019)</v>
      </c>
      <c r="E289" s="74" t="s">
        <v>1233</v>
      </c>
      <c r="F289" s="63" t="s">
        <v>1814</v>
      </c>
      <c r="G289" s="71" t="s">
        <v>1800</v>
      </c>
      <c r="H289" s="71"/>
      <c r="I289" s="66"/>
      <c r="J289" s="68"/>
      <c r="K289" s="68"/>
      <c r="L289" s="68"/>
      <c r="M289" s="68"/>
      <c r="N289" s="67"/>
      <c r="O289" s="88"/>
      <c r="P289" s="88"/>
      <c r="Q289" s="90"/>
      <c r="R289" s="72"/>
      <c r="S289" s="72"/>
      <c r="T289" s="72"/>
      <c r="U289" s="72"/>
      <c r="V289" s="72"/>
      <c r="W289" s="72"/>
      <c r="X289" s="72"/>
      <c r="Y289" s="72"/>
    </row>
    <row r="290">
      <c r="A290" s="60" t="s">
        <v>1815</v>
      </c>
      <c r="B290" s="61" t="str">
        <f>IFERROR(__xludf.DUMMYFUNCTION("""COMPUTED_VALUE"""),"Securities and Exchange Comm'n v Jarkesy")</f>
        <v>Securities and Exchange Comm'n v Jarkesy</v>
      </c>
      <c r="C290" s="63" t="str">
        <f>IFERROR(__xludf.DUMMYFUNCTION("""COMPUTED_VALUE"""),"275")</f>
        <v>275</v>
      </c>
      <c r="D290" s="79" t="str">
        <f>IFERROR(__xludf.DUMMYFUNCTION("""COMPUTED_VALUE"""),"Securities &amp; Exchange Comm’n v. Jarkesy, 603 U.S. 109, 137-40 (2024)")</f>
        <v>Securities &amp; Exchange Comm’n v. Jarkesy, 603 U.S. 109, 137-40 (2024)</v>
      </c>
      <c r="E290" s="74" t="s">
        <v>1233</v>
      </c>
      <c r="F290" s="63" t="s">
        <v>1816</v>
      </c>
      <c r="G290" s="71" t="s">
        <v>1800</v>
      </c>
      <c r="H290" s="71"/>
      <c r="I290" s="66"/>
      <c r="J290" s="68"/>
      <c r="K290" s="68"/>
      <c r="L290" s="68"/>
      <c r="M290" s="68"/>
      <c r="N290" s="67"/>
      <c r="O290" s="88"/>
      <c r="P290" s="88"/>
      <c r="Q290" s="90"/>
      <c r="R290" s="72"/>
      <c r="S290" s="72"/>
      <c r="T290" s="72"/>
      <c r="U290" s="72"/>
      <c r="V290" s="72"/>
      <c r="W290" s="72"/>
      <c r="X290" s="72"/>
      <c r="Y290" s="72"/>
    </row>
    <row r="291">
      <c r="A291" s="60" t="s">
        <v>1817</v>
      </c>
      <c r="B291" s="61" t="str">
        <f>IFERROR(__xludf.DUMMYFUNCTION("""COMPUTED_VALUE"""),"Biden v Nebraska")</f>
        <v>Biden v Nebraska</v>
      </c>
      <c r="C291" s="63" t="str">
        <f>IFERROR(__xludf.DUMMYFUNCTION("""COMPUTED_VALUE"""),"276")</f>
        <v>276</v>
      </c>
      <c r="D291" s="79" t="str">
        <f>IFERROR(__xludf.DUMMYFUNCTION("""COMPUTED_VALUE"""),"Biden v. Nebraska, 600 U.S. 505-06 (2023)")</f>
        <v>Biden v. Nebraska, 600 U.S. 505-06 (2023)</v>
      </c>
      <c r="E291" s="74" t="s">
        <v>1233</v>
      </c>
      <c r="F291" s="63" t="s">
        <v>1818</v>
      </c>
      <c r="G291" s="71" t="s">
        <v>1800</v>
      </c>
      <c r="H291" s="71"/>
      <c r="I291" s="66"/>
      <c r="J291" s="68"/>
      <c r="K291" s="68"/>
      <c r="L291" s="68"/>
      <c r="M291" s="68"/>
      <c r="N291" s="67"/>
      <c r="O291" s="88"/>
      <c r="P291" s="88"/>
      <c r="Q291" s="90"/>
      <c r="R291" s="72"/>
      <c r="S291" s="72"/>
      <c r="T291" s="72"/>
      <c r="U291" s="72"/>
      <c r="V291" s="72"/>
      <c r="W291" s="72"/>
      <c r="X291" s="72"/>
      <c r="Y291" s="72"/>
    </row>
    <row r="292">
      <c r="A292" s="60" t="s">
        <v>1819</v>
      </c>
      <c r="B292" s="61" t="str">
        <f>IFERROR(__xludf.DUMMYFUNCTION("""COMPUTED_VALUE"""),"W Va v Env't Prot Agency")</f>
        <v>W Va v Env't Prot Agency</v>
      </c>
      <c r="C292" s="63" t="str">
        <f>IFERROR(__xludf.DUMMYFUNCTION("""COMPUTED_VALUE"""),"276")</f>
        <v>276</v>
      </c>
      <c r="D292" s="79" t="str">
        <f>IFERROR(__xludf.DUMMYFUNCTION("""COMPUTED_VALUE"""),"W. Va. v. Env’t Prot. Agency, 597 U.S. 697 (2022)")</f>
        <v>W. Va. v. Env’t Prot. Agency, 597 U.S. 697 (2022)</v>
      </c>
      <c r="E292" s="74" t="s">
        <v>1233</v>
      </c>
      <c r="F292" s="63" t="s">
        <v>1820</v>
      </c>
      <c r="G292" s="71" t="s">
        <v>1800</v>
      </c>
      <c r="H292" s="71"/>
      <c r="I292" s="66"/>
      <c r="J292" s="68"/>
      <c r="K292" s="68"/>
      <c r="L292" s="68"/>
      <c r="M292" s="68"/>
      <c r="N292" s="67"/>
      <c r="O292" s="88"/>
      <c r="P292" s="88"/>
      <c r="Q292" s="90"/>
      <c r="R292" s="72"/>
      <c r="S292" s="72"/>
      <c r="T292" s="72"/>
      <c r="U292" s="72"/>
      <c r="V292" s="72"/>
      <c r="W292" s="72"/>
      <c r="X292" s="72"/>
      <c r="Y292" s="72"/>
    </row>
    <row r="293">
      <c r="A293" s="60" t="s">
        <v>1821</v>
      </c>
      <c r="B293" s="61" t="str">
        <f>IFERROR(__xludf.DUMMYFUNCTION("""COMPUTED_VALUE"""),"Alabama Ass'n of Realtors v Dep't of Health and Human Servs")</f>
        <v>Alabama Ass'n of Realtors v Dep't of Health and Human Servs</v>
      </c>
      <c r="C293" s="63" t="str">
        <f>IFERROR(__xludf.DUMMYFUNCTION("""COMPUTED_VALUE"""),"276")</f>
        <v>276</v>
      </c>
      <c r="D293" s="79" t="str">
        <f>IFERROR(__xludf.DUMMYFUNCTION("""COMPUTED_VALUE"""),"Alabama Ass’n of Realtors v. Dep’t of Health &amp; Human Servs., 594 U.S. 758, 764-65 (2021) (per curiam)")</f>
        <v>Alabama Ass’n of Realtors v. Dep’t of Health &amp; Human Servs., 594 U.S. 758, 764-65 (2021) (per curiam)</v>
      </c>
      <c r="E293" s="74" t="s">
        <v>1233</v>
      </c>
      <c r="F293" s="63" t="s">
        <v>1822</v>
      </c>
      <c r="G293" s="71" t="s">
        <v>1800</v>
      </c>
      <c r="H293" s="71"/>
      <c r="I293" s="66"/>
      <c r="J293" s="68"/>
      <c r="K293" s="68"/>
      <c r="L293" s="68"/>
      <c r="M293" s="68"/>
      <c r="N293" s="67"/>
      <c r="O293" s="88"/>
      <c r="P293" s="88"/>
      <c r="Q293" s="90"/>
      <c r="R293" s="72"/>
      <c r="S293" s="72"/>
      <c r="T293" s="72"/>
      <c r="U293" s="72"/>
      <c r="V293" s="72"/>
      <c r="W293" s="72"/>
      <c r="X293" s="72"/>
      <c r="Y293" s="72"/>
    </row>
    <row r="294">
      <c r="A294" s="60" t="s">
        <v>1823</v>
      </c>
      <c r="B294" s="61" t="str">
        <f>IFERROR(__xludf.DUMMYFUNCTION("""COMPUTED_VALUE"""),"Corner")</f>
        <v>Corner</v>
      </c>
      <c r="C294" s="63" t="str">
        <f>IFERROR(__xludf.DUMMYFUNCTION("""COMPUTED_VALUE"""),"277")</f>
        <v>277</v>
      </c>
      <c r="D294" s="79" t="str">
        <f>IFERROR(__xludf.DUMMYFUNCTION("""COMPUTED_VALUE"""),"Corner Post, Inc. v. Bd. of Governors of the Fed. Reserve Sys., 603 U.S. 799, 809 (2024)")</f>
        <v>Corner Post, Inc. v. Bd. of Governors of the Fed. Reserve Sys., 603 U.S. 799, 809 (2024)</v>
      </c>
      <c r="E294" s="74" t="s">
        <v>1233</v>
      </c>
      <c r="F294" s="63" t="s">
        <v>1824</v>
      </c>
      <c r="G294" s="71" t="s">
        <v>1800</v>
      </c>
      <c r="H294" s="71"/>
      <c r="I294" s="66"/>
      <c r="J294" s="68"/>
      <c r="K294" s="68"/>
      <c r="L294" s="68"/>
      <c r="M294" s="68"/>
      <c r="N294" s="67"/>
      <c r="O294" s="88"/>
      <c r="P294" s="88"/>
      <c r="Q294" s="90"/>
      <c r="R294" s="72"/>
      <c r="S294" s="72"/>
      <c r="T294" s="72"/>
      <c r="U294" s="72"/>
      <c r="V294" s="72"/>
      <c r="W294" s="72"/>
      <c r="X294" s="72"/>
      <c r="Y294" s="72"/>
    </row>
    <row r="295">
      <c r="A295" s="60" t="s">
        <v>1825</v>
      </c>
      <c r="B295" s="61" t="str">
        <f>IFERROR(__xludf.DUMMYFUNCTION("""COMPUTED_VALUE"""),"28 USC 2401(A")</f>
        <v>28 USC 2401(A</v>
      </c>
      <c r="C295" s="63" t="str">
        <f>IFERROR(__xludf.DUMMYFUNCTION("""COMPUTED_VALUE"""),"277")</f>
        <v>277</v>
      </c>
      <c r="D295" s="79" t="str">
        <f>IFERROR(__xludf.DUMMYFUNCTION("""COMPUTED_VALUE"""),"28 U.S.C. § 2401(a)")</f>
        <v>28 U.S.C. § 2401(a)</v>
      </c>
      <c r="E295" s="74" t="s">
        <v>1233</v>
      </c>
      <c r="F295" s="63" t="s">
        <v>1826</v>
      </c>
      <c r="G295" s="71" t="s">
        <v>1800</v>
      </c>
      <c r="H295" s="71"/>
      <c r="I295" s="66"/>
      <c r="J295" s="68"/>
      <c r="K295" s="68"/>
      <c r="L295" s="68"/>
      <c r="M295" s="68"/>
      <c r="N295" s="67"/>
      <c r="O295" s="88"/>
      <c r="P295" s="88"/>
      <c r="Q295" s="90"/>
      <c r="R295" s="72"/>
      <c r="S295" s="72"/>
      <c r="T295" s="72"/>
      <c r="U295" s="72"/>
      <c r="V295" s="72"/>
      <c r="W295" s="72"/>
      <c r="X295" s="72"/>
      <c r="Y295" s="72"/>
    </row>
    <row r="296">
      <c r="A296" s="60" t="s">
        <v>1827</v>
      </c>
      <c r="B296" s="61" t="str">
        <f>IFERROR(__xludf.DUMMYFUNCTION("""COMPUTED_VALUE"""),"Sivas")</f>
        <v>Sivas</v>
      </c>
      <c r="C296" s="63" t="str">
        <f>IFERROR(__xludf.DUMMYFUNCTION("""COMPUTED_VALUE"""),"278")</f>
        <v>278</v>
      </c>
      <c r="D296" s="79" t="str">
        <f>IFERROR(__xludf.DUMMYFUNCTION("""COMPUTED_VALUE"""),"Deborah A. Sivas, Q&amp;A with Sharon Driscoll, “Stanford’s Deborah Sivas on SCOTUS’ Loper Decision overturning Chevron and the Impact on Environmental Law” (June 28, 2024)")</f>
        <v>Deborah A. Sivas, Q&amp;A with Sharon Driscoll, “Stanford’s Deborah Sivas on SCOTUS’ Loper Decision overturning Chevron and the Impact on Environmental Law” (June 28, 2024)</v>
      </c>
      <c r="E296" s="74" t="s">
        <v>1233</v>
      </c>
      <c r="F296" s="63" t="s">
        <v>1828</v>
      </c>
      <c r="G296" s="71" t="s">
        <v>1800</v>
      </c>
      <c r="H296" s="71"/>
      <c r="I296" s="66"/>
      <c r="J296" s="68"/>
      <c r="K296" s="68"/>
      <c r="L296" s="68"/>
      <c r="M296" s="68"/>
      <c r="N296" s="67"/>
      <c r="O296" s="88"/>
      <c r="P296" s="88"/>
      <c r="Q296" s="90"/>
      <c r="R296" s="72"/>
      <c r="S296" s="72"/>
      <c r="T296" s="72"/>
      <c r="U296" s="72"/>
      <c r="V296" s="72"/>
      <c r="W296" s="72"/>
      <c r="X296" s="72"/>
      <c r="Y296" s="72"/>
    </row>
    <row r="297">
      <c r="A297" s="60" t="s">
        <v>1829</v>
      </c>
      <c r="B297" s="61" t="str">
        <f>IFERROR(__xludf.DUMMYFUNCTION("""COMPUTED_VALUE"""),"Utah State Dep't of Health v Kennecott Corp")</f>
        <v>Utah State Dep't of Health v Kennecott Corp</v>
      </c>
      <c r="C297" s="63" t="str">
        <f>IFERROR(__xludf.DUMMYFUNCTION("""COMPUTED_VALUE"""),"280")</f>
        <v>280</v>
      </c>
      <c r="D297" s="79" t="str">
        <f>IFERROR(__xludf.DUMMYFUNCTION("""COMPUTED_VALUE"""),"Utah State Dep’t of Health v. Kennecott Corp., 14 F.3d 1489, 1495 (10th Cir. 1994)")</f>
        <v>Utah State Dep’t of Health v. Kennecott Corp., 14 F.3d 1489, 1495 (10th Cir. 1994)</v>
      </c>
      <c r="E297" s="74" t="s">
        <v>1233</v>
      </c>
      <c r="F297" s="63" t="s">
        <v>1830</v>
      </c>
      <c r="G297" s="71" t="s">
        <v>1800</v>
      </c>
      <c r="H297" s="71"/>
      <c r="I297" s="66"/>
      <c r="J297" s="68"/>
      <c r="K297" s="68"/>
      <c r="L297" s="68"/>
      <c r="M297" s="68"/>
      <c r="N297" s="67"/>
      <c r="O297" s="88"/>
      <c r="P297" s="88"/>
      <c r="Q297" s="90"/>
      <c r="R297" s="72"/>
      <c r="S297" s="72"/>
      <c r="T297" s="72"/>
      <c r="U297" s="72"/>
      <c r="V297" s="72"/>
      <c r="W297" s="72"/>
      <c r="X297" s="72"/>
      <c r="Y297" s="72"/>
    </row>
    <row r="298">
      <c r="A298" s="60" t="s">
        <v>1831</v>
      </c>
      <c r="B298" s="61" t="str">
        <f>IFERROR(__xludf.DUMMYFUNCTION("""COMPUTED_VALUE"""),"15a Wright")</f>
        <v>15a Wright</v>
      </c>
      <c r="C298" s="63" t="str">
        <f>IFERROR(__xludf.DUMMYFUNCTION("""COMPUTED_VALUE"""),"280")</f>
        <v>280</v>
      </c>
      <c r="D298" s="79" t="str">
        <f>IFERROR(__xludf.DUMMYFUNCTION("""COMPUTED_VALUE"""),"15A Wright &amp; Miller, Federal Practice &amp; Procedure § 3913 (3d ed.)")</f>
        <v>15A Wright &amp; Miller, Federal Practice &amp; Procedure § 3913 (3d ed.)</v>
      </c>
      <c r="E298" s="74" t="s">
        <v>1233</v>
      </c>
      <c r="F298" s="63" t="s">
        <v>1832</v>
      </c>
      <c r="G298" s="71" t="s">
        <v>1800</v>
      </c>
      <c r="H298" s="71"/>
      <c r="I298" s="66"/>
      <c r="J298" s="68"/>
      <c r="K298" s="68"/>
      <c r="L298" s="68"/>
      <c r="M298" s="68"/>
      <c r="N298" s="67"/>
      <c r="O298" s="88"/>
      <c r="P298" s="88"/>
      <c r="Q298" s="90"/>
      <c r="R298" s="72"/>
      <c r="S298" s="72"/>
      <c r="T298" s="72"/>
      <c r="U298" s="72"/>
      <c r="V298" s="72"/>
      <c r="W298" s="72"/>
      <c r="X298" s="72"/>
      <c r="Y298" s="72"/>
    </row>
    <row r="299">
      <c r="A299" s="60" t="s">
        <v>1833</v>
      </c>
      <c r="B299" s="61" t="str">
        <f>IFERROR(__xludf.DUMMYFUNCTION("""COMPUTED_VALUE"""),"Fed 54(b")</f>
        <v>Fed 54(b</v>
      </c>
      <c r="C299" s="63" t="str">
        <f>IFERROR(__xludf.DUMMYFUNCTION("""COMPUTED_VALUE"""),"280")</f>
        <v>280</v>
      </c>
      <c r="D299" s="79" t="str">
        <f>IFERROR(__xludf.DUMMYFUNCTION("""COMPUTED_VALUE"""),"Fed. R. Civ. P. 54(b)")</f>
        <v>Fed. R. Civ. P. 54(b)</v>
      </c>
      <c r="E299" s="74" t="s">
        <v>1233</v>
      </c>
      <c r="F299" s="63" t="s">
        <v>1834</v>
      </c>
      <c r="G299" s="71" t="s">
        <v>1800</v>
      </c>
      <c r="H299" s="71"/>
      <c r="I299" s="66"/>
      <c r="J299" s="68"/>
      <c r="K299" s="68"/>
      <c r="L299" s="68"/>
      <c r="M299" s="68"/>
      <c r="N299" s="67"/>
      <c r="O299" s="88"/>
      <c r="P299" s="88"/>
      <c r="Q299" s="90"/>
      <c r="R299" s="72"/>
      <c r="S299" s="72"/>
      <c r="T299" s="72"/>
      <c r="U299" s="72"/>
      <c r="V299" s="72"/>
      <c r="W299" s="72"/>
      <c r="X299" s="72"/>
      <c r="Y299" s="72"/>
    </row>
    <row r="300">
      <c r="A300" s="60" t="s">
        <v>1835</v>
      </c>
      <c r="B300" s="61" t="str">
        <f>IFERROR(__xludf.DUMMYFUNCTION("""COMPUTED_VALUE"""),"Aaron P v Dep't of Educ")</f>
        <v>Aaron P v Dep't of Educ</v>
      </c>
      <c r="C300" s="63" t="str">
        <f>IFERROR(__xludf.DUMMYFUNCTION("""COMPUTED_VALUE"""),"281")</f>
        <v>281</v>
      </c>
      <c r="D300" s="79" t="str">
        <f>IFERROR(__xludf.DUMMYFUNCTION("""COMPUTED_VALUE"""),"Aaron P. v. Dep’t of Educ., No. CIV. 10-00574 LEK, 2011 WL 6934560, *4 (D. Haw. 2011)")</f>
        <v>Aaron P. v. Dep’t of Educ., No. CIV. 10-00574 LEK, 2011 WL 6934560, *4 (D. Haw. 2011)</v>
      </c>
      <c r="E300" s="74" t="s">
        <v>1233</v>
      </c>
      <c r="F300" s="63" t="s">
        <v>1836</v>
      </c>
      <c r="G300" s="71" t="s">
        <v>1800</v>
      </c>
      <c r="H300" s="71"/>
      <c r="I300" s="66"/>
      <c r="J300" s="68"/>
      <c r="K300" s="68"/>
      <c r="L300" s="68"/>
      <c r="M300" s="68"/>
      <c r="N300" s="67"/>
      <c r="O300" s="88"/>
      <c r="P300" s="88"/>
      <c r="Q300" s="90"/>
      <c r="R300" s="72"/>
      <c r="S300" s="72"/>
      <c r="T300" s="72"/>
      <c r="U300" s="72"/>
      <c r="V300" s="72"/>
      <c r="W300" s="72"/>
      <c r="X300" s="72"/>
      <c r="Y300" s="72"/>
    </row>
    <row r="301">
      <c r="A301" s="60" t="s">
        <v>1837</v>
      </c>
      <c r="B301" s="61" t="str">
        <f>IFERROR(__xludf.DUMMYFUNCTION("""COMPUTED_VALUE"""),"Miami Tribe Distr. Ct.")</f>
        <v>Miami Tribe Distr. Ct.</v>
      </c>
      <c r="C301" s="63" t="str">
        <f>IFERROR(__xludf.DUMMYFUNCTION("""COMPUTED_VALUE"""),"281")</f>
        <v>281</v>
      </c>
      <c r="D301" s="79" t="str">
        <f>IFERROR(__xludf.DUMMYFUNCTION("""COMPUTED_VALUE"""),"Miami Tribe of Okla. v. United States, No. CIV.A.03-2220-DJW, 2006 WL 3848949, *3 (D. Kan. 2006)")</f>
        <v>Miami Tribe of Okla. v. United States, No. CIV.A.03-2220-DJW, 2006 WL 3848949, *3 (D. Kan. 2006)</v>
      </c>
      <c r="E301" s="74" t="s">
        <v>1233</v>
      </c>
      <c r="F301" s="63" t="s">
        <v>1838</v>
      </c>
      <c r="G301" s="71" t="s">
        <v>1800</v>
      </c>
      <c r="H301" s="71"/>
      <c r="I301" s="66"/>
      <c r="J301" s="68"/>
      <c r="K301" s="68"/>
      <c r="L301" s="68"/>
      <c r="M301" s="68"/>
      <c r="N301" s="67"/>
      <c r="O301" s="88"/>
      <c r="P301" s="88"/>
      <c r="Q301" s="90"/>
      <c r="R301" s="72"/>
      <c r="S301" s="72"/>
      <c r="T301" s="72"/>
      <c r="U301" s="72"/>
      <c r="V301" s="72"/>
      <c r="W301" s="72"/>
      <c r="X301" s="72"/>
      <c r="Y301" s="72"/>
    </row>
    <row r="302">
      <c r="A302" s="60" t="s">
        <v>1839</v>
      </c>
      <c r="B302" s="61" t="str">
        <f>IFERROR(__xludf.DUMMYFUNCTION("""COMPUTED_VALUE"""),"Associated Mortg")</f>
        <v>Associated Mortg</v>
      </c>
      <c r="C302" s="63" t="str">
        <f>IFERROR(__xludf.DUMMYFUNCTION("""COMPUTED_VALUE"""),"281")</f>
        <v>281</v>
      </c>
      <c r="D302" s="79" t="str">
        <f>IFERROR(__xludf.DUMMYFUNCTION("""COMPUTED_VALUE"""),"Associated Mortg. Bankers, Inc. v. Carson, No. CV 17-0075 (ESH), 2019 WL 2996992, *3 (D.D.C. July 9, 2019)")</f>
        <v>Associated Mortg. Bankers, Inc. v. Carson, No. CV 17-0075 (ESH), 2019 WL 2996992, *3 (D.D.C. July 9, 2019)</v>
      </c>
      <c r="E302" s="74" t="s">
        <v>1233</v>
      </c>
      <c r="F302" s="63" t="s">
        <v>1840</v>
      </c>
      <c r="G302" s="71" t="s">
        <v>1800</v>
      </c>
      <c r="H302" s="71"/>
      <c r="I302" s="66"/>
      <c r="J302" s="68"/>
      <c r="K302" s="68"/>
      <c r="L302" s="68"/>
      <c r="M302" s="68"/>
      <c r="N302" s="67"/>
      <c r="O302" s="88"/>
      <c r="P302" s="88"/>
      <c r="Q302" s="90"/>
      <c r="R302" s="72"/>
      <c r="S302" s="72"/>
      <c r="T302" s="72"/>
      <c r="U302" s="72"/>
      <c r="V302" s="72"/>
      <c r="W302" s="72"/>
      <c r="X302" s="72"/>
      <c r="Y302" s="72"/>
    </row>
    <row r="303">
      <c r="A303" s="60" t="s">
        <v>1841</v>
      </c>
      <c r="B303" s="61" t="str">
        <f>IFERROR(__xludf.DUMMYFUNCTION("""COMPUTED_VALUE"""),"Wild Rockies")</f>
        <v>Wild Rockies</v>
      </c>
      <c r="C303" s="63" t="str">
        <f>IFERROR(__xludf.DUMMYFUNCTION("""COMPUTED_VALUE"""),"282")</f>
        <v>282</v>
      </c>
      <c r="D303" s="79" t="str">
        <f>IFERROR(__xludf.DUMMYFUNCTION("""COMPUTED_VALUE"""),"Alliance for the Wild Rockies, 601 Fed. Appx. at 491-94 (Bea, J., concurring)")</f>
        <v>Alliance for the Wild Rockies, 601 Fed. Appx. at 491-94 (Bea, J., concurring)</v>
      </c>
      <c r="E303" s="74" t="s">
        <v>1233</v>
      </c>
      <c r="F303" s="63" t="s">
        <v>1842</v>
      </c>
      <c r="G303" s="71" t="s">
        <v>1800</v>
      </c>
      <c r="H303" s="71"/>
      <c r="I303" s="66"/>
      <c r="J303" s="68"/>
      <c r="K303" s="68"/>
      <c r="L303" s="68"/>
      <c r="M303" s="68"/>
      <c r="N303" s="67"/>
      <c r="O303" s="88"/>
      <c r="P303" s="88"/>
      <c r="Q303" s="90"/>
      <c r="R303" s="72"/>
      <c r="S303" s="72"/>
      <c r="T303" s="72"/>
      <c r="U303" s="72"/>
      <c r="V303" s="72"/>
      <c r="W303" s="72"/>
      <c r="X303" s="72"/>
      <c r="Y303" s="72"/>
    </row>
    <row r="304">
      <c r="A304" s="60" t="s">
        <v>1843</v>
      </c>
      <c r="B304" s="61" t="str">
        <f>IFERROR(__xludf.DUMMYFUNCTION("""COMPUTED_VALUE"""),"McBride v Citgo Petroleum Corp")</f>
        <v>McBride v Citgo Petroleum Corp</v>
      </c>
      <c r="C304" s="63" t="str">
        <f>IFERROR(__xludf.DUMMYFUNCTION("""COMPUTED_VALUE"""),"283")</f>
        <v>283</v>
      </c>
      <c r="D304" s="79" t="str">
        <f>IFERROR(__xludf.DUMMYFUNCTION("""COMPUTED_VALUE"""),"McBride v. CITGO Petroleum Corp., 281 F.3d 1099, 1104 (10th Cir. 2002)")</f>
        <v>McBride v. CITGO Petroleum Corp., 281 F.3d 1099, 1104 (10th Cir. 2002)</v>
      </c>
      <c r="E304" s="74" t="s">
        <v>1233</v>
      </c>
      <c r="F304" s="63" t="s">
        <v>1844</v>
      </c>
      <c r="G304" s="71" t="s">
        <v>1800</v>
      </c>
      <c r="H304" s="71"/>
      <c r="I304" s="66"/>
      <c r="J304" s="68"/>
      <c r="K304" s="68"/>
      <c r="L304" s="68"/>
      <c r="M304" s="68"/>
      <c r="N304" s="67"/>
      <c r="O304" s="88"/>
      <c r="P304" s="88"/>
      <c r="Q304" s="90"/>
      <c r="R304" s="72"/>
      <c r="S304" s="72"/>
      <c r="T304" s="72"/>
      <c r="U304" s="72"/>
      <c r="V304" s="72"/>
      <c r="W304" s="72"/>
      <c r="X304" s="72"/>
      <c r="Y304" s="72"/>
    </row>
    <row r="305">
      <c r="A305" s="60" t="s">
        <v>1845</v>
      </c>
      <c r="B305" s="61" t="str">
        <f>IFERROR(__xludf.DUMMYFUNCTION("""COMPUTED_VALUE"""),"Federal Practice 3949 4")</f>
        <v>Federal Practice 3949 4</v>
      </c>
      <c r="C305" s="63" t="str">
        <f>IFERROR(__xludf.DUMMYFUNCTION("""COMPUTED_VALUE"""),"283")</f>
        <v>283</v>
      </c>
      <c r="D305" s="79" t="str">
        <f>IFERROR(__xludf.DUMMYFUNCTION("""COMPUTED_VALUE"""),"Federal Practice &amp; Procedure, § 3949.4 Contents of the Notice of Appeal, 16A Fed. Prac. &amp; Proc. Juris. § 3949.4 (5th ed. June 2024 Update)")</f>
        <v>Federal Practice &amp; Procedure, § 3949.4 Contents of the Notice of Appeal, 16A Fed. Prac. &amp; Proc. Juris. § 3949.4 (5th ed. June 2024 Update)</v>
      </c>
      <c r="E305" s="74" t="s">
        <v>1233</v>
      </c>
      <c r="F305" s="63" t="s">
        <v>1846</v>
      </c>
      <c r="G305" s="71" t="s">
        <v>1800</v>
      </c>
      <c r="H305" s="71"/>
      <c r="I305" s="66"/>
      <c r="J305" s="68"/>
      <c r="K305" s="68"/>
      <c r="L305" s="68"/>
      <c r="M305" s="68"/>
      <c r="N305" s="67"/>
      <c r="O305" s="88"/>
      <c r="P305" s="88"/>
      <c r="Q305" s="90"/>
      <c r="R305" s="72"/>
      <c r="S305" s="72"/>
      <c r="T305" s="72"/>
      <c r="U305" s="72"/>
      <c r="V305" s="72"/>
      <c r="W305" s="72"/>
      <c r="X305" s="72"/>
      <c r="Y305" s="72"/>
    </row>
    <row r="306">
      <c r="A306" s="60" t="s">
        <v>1847</v>
      </c>
      <c r="B306" s="61" t="str">
        <f>IFERROR(__xludf.DUMMYFUNCTION("""COMPUTED_VALUE"""),"Viraj")</f>
        <v>Viraj</v>
      </c>
      <c r="C306" s="63" t="str">
        <f>IFERROR(__xludf.DUMMYFUNCTION("""COMPUTED_VALUE"""),"286")</f>
        <v>286</v>
      </c>
      <c r="D306" s="79" t="str">
        <f>IFERROR(__xludf.DUMMYFUNCTION("""COMPUTED_VALUE"""),"Viraj Grp., Ltd. v. v. United States, 343 F.3d 1371, 1376 (Fed. Cir. 2003)")</f>
        <v>Viraj Grp., Ltd. v. v. United States, 343 F.3d 1371, 1376 (Fed. Cir. 2003)</v>
      </c>
      <c r="E306" s="74" t="s">
        <v>1233</v>
      </c>
      <c r="F306" s="63" t="s">
        <v>1848</v>
      </c>
      <c r="G306" s="71" t="s">
        <v>1800</v>
      </c>
      <c r="H306" s="71"/>
      <c r="I306" s="66"/>
      <c r="J306" s="68"/>
      <c r="K306" s="68"/>
      <c r="L306" s="68"/>
      <c r="M306" s="68"/>
      <c r="N306" s="67"/>
      <c r="O306" s="88"/>
      <c r="P306" s="88"/>
      <c r="Q306" s="90"/>
      <c r="R306" s="72"/>
      <c r="S306" s="72"/>
      <c r="T306" s="72"/>
      <c r="U306" s="72"/>
      <c r="V306" s="72"/>
      <c r="W306" s="72"/>
      <c r="X306" s="72"/>
      <c r="Y306" s="72"/>
    </row>
    <row r="307">
      <c r="A307" s="60" t="s">
        <v>1849</v>
      </c>
      <c r="B307" s="61" t="str">
        <f>IFERROR(__xludf.DUMMYFUNCTION("""COMPUTED_VALUE"""),"O'Connell Agency")</f>
        <v>O'Connell Agency</v>
      </c>
      <c r="C307" s="63" t="str">
        <f>IFERROR(__xludf.DUMMYFUNCTION("""COMPUTED_VALUE"""),"289")</f>
        <v>289</v>
      </c>
      <c r="D307" s="79" t="str">
        <f>IFERROR(__xludf.DUMMYFUNCTION("""COMPUTED_VALUE"""),"Anne Joseph O’Connell, Agency Rulemaking and Political Transitions, 105 Nw. U. L. Rev. 471, 473 (2011)")</f>
        <v>Anne Joseph O’Connell, Agency Rulemaking and Political Transitions, 105 Nw. U. L. Rev. 471, 473 (2011)</v>
      </c>
      <c r="E307" s="74" t="s">
        <v>1233</v>
      </c>
      <c r="F307" s="63" t="s">
        <v>1850</v>
      </c>
      <c r="G307" s="71" t="s">
        <v>1800</v>
      </c>
      <c r="H307" s="71"/>
      <c r="I307" s="66"/>
      <c r="J307" s="68"/>
      <c r="K307" s="68"/>
      <c r="L307" s="68"/>
      <c r="M307" s="68"/>
      <c r="N307" s="67"/>
      <c r="O307" s="88"/>
      <c r="P307" s="88"/>
      <c r="Q307" s="90"/>
      <c r="R307" s="72"/>
      <c r="S307" s="72"/>
      <c r="T307" s="72"/>
      <c r="U307" s="72"/>
      <c r="V307" s="72"/>
      <c r="W307" s="72"/>
      <c r="X307" s="72"/>
      <c r="Y307" s="72"/>
    </row>
    <row r="308">
      <c r="A308" s="60" t="s">
        <v>1851</v>
      </c>
      <c r="B308" s="61" t="str">
        <f>IFERROR(__xludf.DUMMYFUNCTION("""COMPUTED_VALUE"""),"O'Connell Cycles")</f>
        <v>O'Connell Cycles</v>
      </c>
      <c r="C308" s="63" t="str">
        <f>IFERROR(__xludf.DUMMYFUNCTION("""COMPUTED_VALUE"""),"289")</f>
        <v>289</v>
      </c>
      <c r="D308" s="79" t="str">
        <f>IFERROR(__xludf.DUMMYFUNCTION("""COMPUTED_VALUE"""),"Anne Joseph O’Connell, Political Cycles of Rulemaking: An Empirical Portrait of the Modern Administrative State, 94 Va. L. Rev. 889 (2008)")</f>
        <v>Anne Joseph O’Connell, Political Cycles of Rulemaking: An Empirical Portrait of the Modern Administrative State, 94 Va. L. Rev. 889 (2008)</v>
      </c>
      <c r="E308" s="74" t="s">
        <v>1233</v>
      </c>
      <c r="F308" s="63" t="s">
        <v>1852</v>
      </c>
      <c r="G308" s="71" t="s">
        <v>1800</v>
      </c>
      <c r="H308" s="71"/>
      <c r="I308" s="66"/>
      <c r="J308" s="68"/>
      <c r="K308" s="68"/>
      <c r="L308" s="68"/>
      <c r="M308" s="68"/>
      <c r="N308" s="67"/>
      <c r="O308" s="88"/>
      <c r="P308" s="88"/>
      <c r="Q308" s="90"/>
      <c r="R308" s="72"/>
      <c r="S308" s="72"/>
      <c r="T308" s="72"/>
      <c r="U308" s="72"/>
      <c r="V308" s="72"/>
      <c r="W308" s="72"/>
      <c r="X308" s="72"/>
      <c r="Y308" s="72"/>
    </row>
    <row r="309">
      <c r="A309" s="60" t="s">
        <v>1853</v>
      </c>
      <c r="B309" s="61" t="str">
        <f>IFERROR(__xludf.DUMMYFUNCTION("""COMPUTED_VALUE"""),"Supra Notes 272-277 and Accompanying Text")</f>
        <v>Supra Notes 272-277 and Accompanying Text</v>
      </c>
      <c r="C309" s="63" t="str">
        <f>IFERROR(__xludf.DUMMYFUNCTION("""COMPUTED_VALUE"""),"293")</f>
        <v>293</v>
      </c>
      <c r="D309" s="79" t="str">
        <f>IFERROR(__xludf.DUMMYFUNCTION("""COMPUTED_VALUE"""),"supra notes 272-277 and accompanying text")</f>
        <v>supra notes 272-277 and accompanying text</v>
      </c>
      <c r="E309" s="74" t="s">
        <v>1233</v>
      </c>
      <c r="F309" s="63" t="s">
        <v>1854</v>
      </c>
      <c r="G309" s="71" t="s">
        <v>1800</v>
      </c>
      <c r="H309" s="71"/>
      <c r="I309" s="66"/>
      <c r="J309" s="68"/>
      <c r="K309" s="68"/>
      <c r="L309" s="68"/>
      <c r="M309" s="68"/>
      <c r="N309" s="67"/>
      <c r="O309" s="88"/>
      <c r="P309" s="88"/>
      <c r="Q309" s="90"/>
      <c r="R309" s="72"/>
      <c r="S309" s="72"/>
      <c r="T309" s="72"/>
      <c r="U309" s="72"/>
      <c r="V309" s="72"/>
      <c r="W309" s="72"/>
      <c r="X309" s="72"/>
      <c r="Y309" s="72"/>
    </row>
    <row r="310">
      <c r="A310" s="60" t="s">
        <v>1855</v>
      </c>
      <c r="B310" s="61" t="str">
        <f>IFERROR(__xludf.DUMMYFUNCTION("""COMPUTED_VALUE"""),"Rule 54(b)")</f>
        <v>Rule 54(b)</v>
      </c>
      <c r="C310" s="63" t="str">
        <f>IFERROR(__xludf.DUMMYFUNCTION("""COMPUTED_VALUE"""),"297")</f>
        <v>297</v>
      </c>
      <c r="D310" s="79" t="str">
        <f>IFERROR(__xludf.DUMMYFUNCTION("""COMPUTED_VALUE"""),"Rule 54(b)")</f>
        <v>Rule 54(b)</v>
      </c>
      <c r="E310" s="74" t="s">
        <v>1233</v>
      </c>
      <c r="F310" s="63" t="s">
        <v>1856</v>
      </c>
      <c r="G310" s="71" t="s">
        <v>1800</v>
      </c>
      <c r="H310" s="71"/>
      <c r="I310" s="66"/>
      <c r="J310" s="68"/>
      <c r="K310" s="68"/>
      <c r="L310" s="68"/>
      <c r="M310" s="68"/>
      <c r="N310" s="67"/>
      <c r="O310" s="88"/>
      <c r="P310" s="88"/>
      <c r="Q310" s="90"/>
      <c r="R310" s="72"/>
      <c r="S310" s="72"/>
      <c r="T310" s="72"/>
      <c r="U310" s="72"/>
      <c r="V310" s="72"/>
      <c r="W310" s="72"/>
      <c r="X310" s="72"/>
      <c r="Y310" s="72"/>
    </row>
    <row r="311">
      <c r="A311" s="60" t="s">
        <v>1857</v>
      </c>
      <c r="B311" s="61" t="str">
        <f>IFERROR(__xludf.DUMMYFUNCTION("""COMPUTED_VALUE"""),"Supra Notes 67")</f>
        <v>Supra Notes 67</v>
      </c>
      <c r="C311" s="63" t="str">
        <f>IFERROR(__xludf.DUMMYFUNCTION("""COMPUTED_VALUE"""),"297")</f>
        <v>297</v>
      </c>
      <c r="D311" s="79" t="str">
        <f>IFERROR(__xludf.DUMMYFUNCTION("""COMPUTED_VALUE"""),"supra notes 67, 280")</f>
        <v>supra notes 67, 280</v>
      </c>
      <c r="E311" s="74" t="s">
        <v>1233</v>
      </c>
      <c r="F311" s="63" t="s">
        <v>1858</v>
      </c>
      <c r="G311" s="71" t="s">
        <v>1800</v>
      </c>
      <c r="H311" s="71"/>
      <c r="I311" s="66"/>
      <c r="J311" s="68"/>
      <c r="K311" s="68"/>
      <c r="L311" s="68"/>
      <c r="M311" s="68"/>
      <c r="N311" s="67"/>
      <c r="O311" s="88"/>
      <c r="P311" s="88"/>
      <c r="Q311" s="90"/>
      <c r="R311" s="72"/>
      <c r="S311" s="72"/>
      <c r="T311" s="72"/>
      <c r="U311" s="72"/>
      <c r="V311" s="72"/>
      <c r="W311" s="72"/>
      <c r="X311" s="72"/>
      <c r="Y311" s="72"/>
    </row>
    <row r="312">
      <c r="A312" s="60" t="s">
        <v>1859</v>
      </c>
      <c r="B312" s="61" t="str">
        <f>IFERROR(__xludf.DUMMYFUNCTION("""COMPUTED_VALUE"""),"Supra Notes 132-194 and Accompanying Text")</f>
        <v>Supra Notes 132-194 and Accompanying Text</v>
      </c>
      <c r="C312" s="63" t="str">
        <f>IFERROR(__xludf.DUMMYFUNCTION("""COMPUTED_VALUE"""),"298")</f>
        <v>298</v>
      </c>
      <c r="D312" s="79" t="str">
        <f>IFERROR(__xludf.DUMMYFUNCTION("""COMPUTED_VALUE"""),"supra notes 132-194 and accompanying text")</f>
        <v>supra notes 132-194 and accompanying text</v>
      </c>
      <c r="E312" s="74" t="s">
        <v>1233</v>
      </c>
      <c r="F312" s="63" t="s">
        <v>1860</v>
      </c>
      <c r="G312" s="71" t="s">
        <v>1800</v>
      </c>
      <c r="H312" s="71"/>
      <c r="I312" s="66"/>
      <c r="J312" s="68"/>
      <c r="K312" s="68"/>
      <c r="L312" s="68"/>
      <c r="M312" s="68"/>
      <c r="N312" s="67"/>
      <c r="O312" s="88"/>
      <c r="P312" s="88"/>
      <c r="Q312" s="90"/>
      <c r="R312" s="72"/>
      <c r="S312" s="72"/>
      <c r="T312" s="72"/>
      <c r="U312" s="72"/>
      <c r="V312" s="72"/>
      <c r="W312" s="72"/>
      <c r="X312" s="72"/>
      <c r="Y312" s="72"/>
    </row>
    <row r="313">
      <c r="A313" s="60" t="s">
        <v>1861</v>
      </c>
      <c r="B313" s="61" t="str">
        <f>IFERROR(__xludf.DUMMYFUNCTION("""COMPUTED_VALUE"""),"Supra Notes 127")</f>
        <v>Supra Notes 127</v>
      </c>
      <c r="C313" s="63" t="str">
        <f>IFERROR(__xludf.DUMMYFUNCTION("""COMPUTED_VALUE"""),"299")</f>
        <v>299</v>
      </c>
      <c r="D313" s="79" t="str">
        <f>IFERROR(__xludf.DUMMYFUNCTION("""COMPUTED_VALUE"""),"supra notes 127, 132 and accompanying text")</f>
        <v>supra notes 127, 132 and accompanying text</v>
      </c>
      <c r="E313" s="74" t="s">
        <v>1233</v>
      </c>
      <c r="F313" s="63" t="s">
        <v>1862</v>
      </c>
      <c r="G313" s="71" t="s">
        <v>1800</v>
      </c>
      <c r="H313" s="71"/>
      <c r="I313" s="66"/>
      <c r="J313" s="68"/>
      <c r="K313" s="68"/>
      <c r="L313" s="68"/>
      <c r="M313" s="68"/>
      <c r="N313" s="67"/>
      <c r="O313" s="88"/>
      <c r="P313" s="88"/>
      <c r="Q313" s="90"/>
      <c r="R313" s="72"/>
      <c r="S313" s="72"/>
      <c r="T313" s="72"/>
      <c r="U313" s="72"/>
      <c r="V313" s="72"/>
      <c r="W313" s="72"/>
      <c r="X313" s="72"/>
      <c r="Y313" s="72"/>
    </row>
    <row r="314">
      <c r="A314" s="60" t="s">
        <v>1863</v>
      </c>
      <c r="B314" s="61" t="str">
        <f>IFERROR(__xludf.DUMMYFUNCTION("""COMPUTED_VALUE"""),"Supra Note 163 and Accompanying Text")</f>
        <v>Supra Note 163 and Accompanying Text</v>
      </c>
      <c r="C314" s="63" t="str">
        <f>IFERROR(__xludf.DUMMYFUNCTION("""COMPUTED_VALUE"""),"301")</f>
        <v>301</v>
      </c>
      <c r="D314" s="79" t="str">
        <f>IFERROR(__xludf.DUMMYFUNCTION("""COMPUTED_VALUE"""),"supra note 163 and accompanying text")</f>
        <v>supra note 163 and accompanying text</v>
      </c>
      <c r="E314" s="74" t="s">
        <v>1233</v>
      </c>
      <c r="F314" s="63" t="s">
        <v>1864</v>
      </c>
      <c r="G314" s="71" t="s">
        <v>1800</v>
      </c>
      <c r="H314" s="71"/>
      <c r="I314" s="66"/>
      <c r="J314" s="68"/>
      <c r="K314" s="68"/>
      <c r="L314" s="68"/>
      <c r="M314" s="68"/>
      <c r="N314" s="67"/>
      <c r="O314" s="88"/>
      <c r="P314" s="88"/>
      <c r="Q314" s="90"/>
      <c r="R314" s="72"/>
      <c r="S314" s="72"/>
      <c r="T314" s="72"/>
      <c r="U314" s="72"/>
      <c r="V314" s="72"/>
      <c r="W314" s="72"/>
      <c r="X314" s="72"/>
      <c r="Y314" s="72"/>
    </row>
    <row r="315">
      <c r="A315" s="60" t="s">
        <v>1865</v>
      </c>
      <c r="B315" s="61" t="str">
        <f>IFERROR(__xludf.DUMMYFUNCTION("""COMPUTED_VALUE"""),"Supra Note 136 and Accompanying Text")</f>
        <v>Supra Note 136 and Accompanying Text</v>
      </c>
      <c r="C315" s="63" t="str">
        <f>IFERROR(__xludf.DUMMYFUNCTION("""COMPUTED_VALUE"""),"302")</f>
        <v>302</v>
      </c>
      <c r="D315" s="79" t="str">
        <f>IFERROR(__xludf.DUMMYFUNCTION("""COMPUTED_VALUE"""),"supra note 136 and accompanying text")</f>
        <v>supra note 136 and accompanying text</v>
      </c>
      <c r="E315" s="74" t="s">
        <v>1233</v>
      </c>
      <c r="F315" s="63" t="s">
        <v>1866</v>
      </c>
      <c r="G315" s="71" t="s">
        <v>1800</v>
      </c>
      <c r="H315" s="71"/>
      <c r="I315" s="66"/>
      <c r="J315" s="68"/>
      <c r="K315" s="68"/>
      <c r="L315" s="68"/>
      <c r="M315" s="68"/>
      <c r="N315" s="67"/>
      <c r="O315" s="88"/>
      <c r="P315" s="88"/>
      <c r="Q315" s="90"/>
      <c r="R315" s="72"/>
      <c r="S315" s="72"/>
      <c r="T315" s="72"/>
      <c r="U315" s="72"/>
      <c r="V315" s="72"/>
      <c r="W315" s="72"/>
      <c r="X315" s="72"/>
      <c r="Y315" s="72"/>
    </row>
    <row r="316">
      <c r="A316" s="60" t="s">
        <v>1867</v>
      </c>
      <c r="B316" s="61" t="str">
        <f>IFERROR(__xludf.DUMMYFUNCTION("""COMPUTED_VALUE"""),"Supra Note 175 and Accompanying Text")</f>
        <v>Supra Note 175 and Accompanying Text</v>
      </c>
      <c r="C316" s="63" t="str">
        <f>IFERROR(__xludf.DUMMYFUNCTION("""COMPUTED_VALUE"""),"304")</f>
        <v>304</v>
      </c>
      <c r="D316" s="79" t="str">
        <f>IFERROR(__xludf.DUMMYFUNCTION("""COMPUTED_VALUE"""),"supra note 175 and accompanying text")</f>
        <v>supra note 175 and accompanying text</v>
      </c>
      <c r="E316" s="74" t="s">
        <v>1233</v>
      </c>
      <c r="F316" s="63" t="s">
        <v>1868</v>
      </c>
      <c r="G316" s="71" t="s">
        <v>1800</v>
      </c>
      <c r="H316" s="71"/>
      <c r="I316" s="66"/>
      <c r="J316" s="68"/>
      <c r="K316" s="68"/>
      <c r="L316" s="68"/>
      <c r="M316" s="68"/>
      <c r="N316" s="67"/>
      <c r="O316" s="88"/>
      <c r="P316" s="88"/>
      <c r="Q316" s="90"/>
      <c r="R316" s="72"/>
      <c r="S316" s="72"/>
      <c r="T316" s="72"/>
      <c r="U316" s="72"/>
      <c r="V316" s="72"/>
      <c r="W316" s="72"/>
      <c r="X316" s="72"/>
      <c r="Y316" s="72"/>
    </row>
    <row r="317">
      <c r="A317" s="60" t="s">
        <v>1869</v>
      </c>
      <c r="B317" s="61" t="str">
        <f>IFERROR(__xludf.DUMMYFUNCTION("""COMPUTED_VALUE"""),"Supra Note 174 and Accompanying Text")</f>
        <v>Supra Note 174 and Accompanying Text</v>
      </c>
      <c r="C317" s="63" t="str">
        <f>IFERROR(__xludf.DUMMYFUNCTION("""COMPUTED_VALUE"""),"304")</f>
        <v>304</v>
      </c>
      <c r="D317" s="79" t="str">
        <f>IFERROR(__xludf.DUMMYFUNCTION("""COMPUTED_VALUE"""),"supra note 174 and accompanying text")</f>
        <v>supra note 174 and accompanying text</v>
      </c>
      <c r="E317" s="74" t="s">
        <v>1233</v>
      </c>
      <c r="F317" s="63" t="s">
        <v>1870</v>
      </c>
      <c r="G317" s="71" t="s">
        <v>1800</v>
      </c>
      <c r="H317" s="71"/>
      <c r="I317" s="66"/>
      <c r="J317" s="68"/>
      <c r="K317" s="68"/>
      <c r="L317" s="68"/>
      <c r="M317" s="68"/>
      <c r="N317" s="67"/>
      <c r="O317" s="88"/>
      <c r="P317" s="88"/>
      <c r="Q317" s="90"/>
      <c r="R317" s="72"/>
      <c r="S317" s="72"/>
      <c r="T317" s="72"/>
      <c r="U317" s="72"/>
      <c r="V317" s="72"/>
      <c r="W317" s="72"/>
      <c r="X317" s="72"/>
      <c r="Y317" s="72"/>
    </row>
    <row r="318">
      <c r="A318" s="60" t="s">
        <v>1871</v>
      </c>
      <c r="B318" s="61" t="str">
        <f>IFERROR(__xludf.DUMMYFUNCTION("""COMPUTED_VALUE"""),"Supra Notes 115")</f>
        <v>Supra Notes 115</v>
      </c>
      <c r="C318" s="63" t="str">
        <f>IFERROR(__xludf.DUMMYFUNCTION("""COMPUTED_VALUE"""),"307")</f>
        <v>307</v>
      </c>
      <c r="D318" s="79" t="str">
        <f>IFERROR(__xludf.DUMMYFUNCTION("""COMPUTED_VALUE"""),"supra notes 115, 178")</f>
        <v>supra notes 115, 178</v>
      </c>
      <c r="E318" s="74" t="s">
        <v>1233</v>
      </c>
      <c r="F318" s="63" t="s">
        <v>1872</v>
      </c>
      <c r="G318" s="71" t="s">
        <v>1800</v>
      </c>
      <c r="H318" s="71"/>
      <c r="I318" s="66"/>
      <c r="J318" s="68"/>
      <c r="K318" s="68"/>
      <c r="L318" s="68"/>
      <c r="M318" s="68"/>
      <c r="N318" s="67"/>
      <c r="O318" s="88"/>
      <c r="P318" s="88"/>
      <c r="Q318" s="90"/>
      <c r="R318" s="72"/>
      <c r="S318" s="72"/>
      <c r="T318" s="72"/>
      <c r="U318" s="72"/>
      <c r="V318" s="72"/>
      <c r="W318" s="72"/>
      <c r="X318" s="72"/>
      <c r="Y318" s="72"/>
    </row>
    <row r="319">
      <c r="A319" s="60" t="s">
        <v>1873</v>
      </c>
      <c r="B319" s="61" t="str">
        <f>IFERROR(__xludf.DUMMYFUNCTION("""COMPUTED_VALUE"""),"Supra Note 269 and Accompanying Text")</f>
        <v>Supra Note 269 and Accompanying Text</v>
      </c>
      <c r="C319" s="63" t="str">
        <f>IFERROR(__xludf.DUMMYFUNCTION("""COMPUTED_VALUE"""),"313")</f>
        <v>313</v>
      </c>
      <c r="D319" s="79" t="str">
        <f>IFERROR(__xludf.DUMMYFUNCTION("""COMPUTED_VALUE"""),"supra note 269 and accompanying text")</f>
        <v>supra note 269 and accompanying text</v>
      </c>
      <c r="E319" s="74" t="s">
        <v>1233</v>
      </c>
      <c r="F319" s="63" t="s">
        <v>1874</v>
      </c>
      <c r="G319" s="71" t="s">
        <v>1800</v>
      </c>
      <c r="H319" s="71"/>
      <c r="I319" s="66"/>
      <c r="J319" s="68"/>
      <c r="K319" s="68"/>
      <c r="L319" s="68"/>
      <c r="M319" s="68"/>
      <c r="N319" s="67"/>
      <c r="O319" s="88"/>
      <c r="P319" s="88"/>
      <c r="Q319" s="90"/>
      <c r="R319" s="72"/>
      <c r="S319" s="72"/>
      <c r="T319" s="72"/>
      <c r="U319" s="72"/>
      <c r="V319" s="72"/>
      <c r="W319" s="72"/>
      <c r="X319" s="72"/>
      <c r="Y319" s="72"/>
    </row>
    <row r="320">
      <c r="A320" s="60" t="s">
        <v>1875</v>
      </c>
      <c r="B320" s="61" t="str">
        <f>IFERROR(__xludf.DUMMYFUNCTION("""COMPUTED_VALUE"""),"Supra Notes 282-287 and Accompanying Text")</f>
        <v>Supra Notes 282-287 and Accompanying Text</v>
      </c>
      <c r="C320" s="63" t="str">
        <f>IFERROR(__xludf.DUMMYFUNCTION("""COMPUTED_VALUE"""),"314")</f>
        <v>314</v>
      </c>
      <c r="D320" s="79" t="str">
        <f>IFERROR(__xludf.DUMMYFUNCTION("""COMPUTED_VALUE"""),"supra notes 282-287 and accompanying text")</f>
        <v>supra notes 282-287 and accompanying text</v>
      </c>
      <c r="E320" s="74" t="s">
        <v>1233</v>
      </c>
      <c r="F320" s="63" t="s">
        <v>1876</v>
      </c>
      <c r="G320" s="71" t="s">
        <v>1800</v>
      </c>
      <c r="H320" s="71"/>
      <c r="I320" s="66"/>
      <c r="J320" s="68"/>
      <c r="K320" s="68"/>
      <c r="L320" s="68"/>
      <c r="M320" s="68"/>
      <c r="N320" s="67"/>
      <c r="O320" s="88"/>
      <c r="P320" s="88"/>
      <c r="Q320" s="90"/>
      <c r="R320" s="72"/>
      <c r="S320" s="72"/>
      <c r="T320" s="72"/>
      <c r="U320" s="72"/>
      <c r="V320" s="72"/>
      <c r="W320" s="72"/>
      <c r="X320" s="72"/>
      <c r="Y320" s="72"/>
    </row>
    <row r="321">
      <c r="A321" s="60" t="s">
        <v>1877</v>
      </c>
      <c r="B321" s="61" t="str">
        <f>IFERROR(__xludf.DUMMYFUNCTION("""COMPUTED_VALUE"""),"Supra Notes 280-281 and Accompanying Text")</f>
        <v>Supra Notes 280-281 and Accompanying Text</v>
      </c>
      <c r="C321" s="63" t="str">
        <f>IFERROR(__xludf.DUMMYFUNCTION("""COMPUTED_VALUE"""),"315")</f>
        <v>315</v>
      </c>
      <c r="D321" s="79" t="str">
        <f>IFERROR(__xludf.DUMMYFUNCTION("""COMPUTED_VALUE"""),"supra notes 280-281 and accompanying text")</f>
        <v>supra notes 280-281 and accompanying text</v>
      </c>
      <c r="E321" s="74" t="s">
        <v>1233</v>
      </c>
      <c r="F321" s="63" t="s">
        <v>1878</v>
      </c>
      <c r="G321" s="71" t="s">
        <v>1800</v>
      </c>
      <c r="H321" s="71"/>
      <c r="I321" s="66"/>
      <c r="J321" s="68"/>
      <c r="K321" s="68"/>
      <c r="L321" s="68"/>
      <c r="M321" s="68"/>
      <c r="N321" s="67"/>
      <c r="O321" s="88"/>
      <c r="P321" s="88"/>
      <c r="Q321" s="90"/>
      <c r="R321" s="72"/>
      <c r="S321" s="72"/>
      <c r="T321" s="72"/>
      <c r="U321" s="72"/>
      <c r="V321" s="72"/>
      <c r="W321" s="72"/>
      <c r="X321" s="72"/>
      <c r="Y321" s="72"/>
    </row>
    <row r="322">
      <c r="A322" s="60" t="s">
        <v>1879</v>
      </c>
      <c r="B322" s="61" t="str">
        <f>IFERROR(__xludf.DUMMYFUNCTION("""COMPUTED_VALUE"""),"28 USC 158(d")</f>
        <v>28 USC 158(d</v>
      </c>
      <c r="C322" s="63" t="str">
        <f>IFERROR(__xludf.DUMMYFUNCTION("""COMPUTED_VALUE"""),"318")</f>
        <v>318</v>
      </c>
      <c r="D322" s="79" t="str">
        <f>IFERROR(__xludf.DUMMYFUNCTION("""COMPUTED_VALUE"""),"28 U.S.C. § 158(d)")</f>
        <v>28 U.S.C. § 158(d)</v>
      </c>
      <c r="E322" s="74" t="s">
        <v>1233</v>
      </c>
      <c r="F322" s="63" t="s">
        <v>1880</v>
      </c>
      <c r="G322" s="71" t="s">
        <v>1800</v>
      </c>
      <c r="H322" s="71"/>
      <c r="I322" s="66"/>
      <c r="J322" s="68"/>
      <c r="K322" s="68"/>
      <c r="L322" s="68"/>
      <c r="M322" s="68"/>
      <c r="N322" s="67"/>
      <c r="O322" s="88"/>
      <c r="P322" s="88"/>
      <c r="Q322" s="90"/>
      <c r="R322" s="72"/>
      <c r="S322" s="72"/>
      <c r="T322" s="72"/>
      <c r="U322" s="72"/>
      <c r="V322" s="72"/>
      <c r="W322" s="72"/>
      <c r="X322" s="72"/>
      <c r="Y322" s="72"/>
    </row>
    <row r="323">
      <c r="A323" s="60" t="s">
        <v>1881</v>
      </c>
      <c r="B323" s="61" t="str">
        <f>IFERROR(__xludf.DUMMYFUNCTION("""COMPUTED_VALUE"""),"28 USC 2253")</f>
        <v>28 USC 2253</v>
      </c>
      <c r="C323" s="63" t="str">
        <f>IFERROR(__xludf.DUMMYFUNCTION("""COMPUTED_VALUE"""),"318")</f>
        <v>318</v>
      </c>
      <c r="D323" s="79" t="str">
        <f>IFERROR(__xludf.DUMMYFUNCTION("""COMPUTED_VALUE"""),"28 U.S.C. § 2253")</f>
        <v>28 U.S.C. § 2253</v>
      </c>
      <c r="E323" s="74" t="s">
        <v>1233</v>
      </c>
      <c r="F323" s="63" t="s">
        <v>1882</v>
      </c>
      <c r="G323" s="71" t="s">
        <v>1800</v>
      </c>
      <c r="H323" s="71"/>
      <c r="I323" s="66"/>
      <c r="J323" s="68"/>
      <c r="K323" s="68"/>
      <c r="L323" s="68"/>
      <c r="M323" s="68"/>
      <c r="N323" s="67"/>
      <c r="O323" s="88"/>
      <c r="P323" s="88"/>
      <c r="Q323" s="90"/>
      <c r="R323" s="72"/>
      <c r="S323" s="72"/>
      <c r="T323" s="72"/>
      <c r="U323" s="72"/>
      <c r="V323" s="72"/>
      <c r="W323" s="72"/>
      <c r="X323" s="72"/>
      <c r="Y323" s="72"/>
    </row>
    <row r="324">
      <c r="A324" s="60" t="s">
        <v>1883</v>
      </c>
      <c r="B324" s="61" t="str">
        <f>IFERROR(__xludf.DUMMYFUNCTION("""COMPUTED_VALUE"""),"28 USC 1295")</f>
        <v>28 USC 1295</v>
      </c>
      <c r="C324" s="63" t="str">
        <f>IFERROR(__xludf.DUMMYFUNCTION("""COMPUTED_VALUE"""),"318")</f>
        <v>318</v>
      </c>
      <c r="D324" s="79" t="str">
        <f>IFERROR(__xludf.DUMMYFUNCTION("""COMPUTED_VALUE"""),"28 U.S.C. § 1295")</f>
        <v>28 U.S.C. § 1295</v>
      </c>
      <c r="E324" s="74" t="s">
        <v>1233</v>
      </c>
      <c r="F324" s="63" t="s">
        <v>1884</v>
      </c>
      <c r="G324" s="71" t="s">
        <v>1800</v>
      </c>
      <c r="H324" s="71"/>
      <c r="I324" s="66"/>
      <c r="J324" s="68"/>
      <c r="K324" s="68"/>
      <c r="L324" s="68"/>
      <c r="M324" s="68"/>
      <c r="N324" s="67"/>
      <c r="O324" s="88"/>
      <c r="P324" s="88"/>
      <c r="Q324" s="90"/>
      <c r="R324" s="72"/>
      <c r="S324" s="72"/>
      <c r="T324" s="72"/>
      <c r="U324" s="72"/>
      <c r="V324" s="72"/>
      <c r="W324" s="72"/>
      <c r="X324" s="72"/>
      <c r="Y324" s="72"/>
    </row>
    <row r="325">
      <c r="A325" s="60" t="s">
        <v>1885</v>
      </c>
      <c r="B325" s="61" t="str">
        <f>IFERROR(__xludf.DUMMYFUNCTION("""COMPUTED_VALUE"""),"38 USC 7291")</f>
        <v>38 USC 7291</v>
      </c>
      <c r="C325" s="63" t="str">
        <f>IFERROR(__xludf.DUMMYFUNCTION("""COMPUTED_VALUE"""),"318")</f>
        <v>318</v>
      </c>
      <c r="D325" s="79" t="str">
        <f>IFERROR(__xludf.DUMMYFUNCTION("""COMPUTED_VALUE"""),"38 U.S.C. § 7291")</f>
        <v>38 U.S.C. § 7291</v>
      </c>
      <c r="E325" s="74" t="s">
        <v>1233</v>
      </c>
      <c r="F325" s="63" t="s">
        <v>1886</v>
      </c>
      <c r="G325" s="71" t="s">
        <v>1800</v>
      </c>
      <c r="H325" s="71"/>
      <c r="I325" s="66"/>
      <c r="J325" s="68"/>
      <c r="K325" s="68"/>
      <c r="L325" s="68"/>
      <c r="M325" s="68"/>
      <c r="N325" s="67"/>
      <c r="O325" s="88"/>
      <c r="P325" s="88"/>
      <c r="Q325" s="90"/>
      <c r="R325" s="72"/>
      <c r="S325" s="72"/>
      <c r="T325" s="72"/>
      <c r="U325" s="72"/>
      <c r="V325" s="72"/>
      <c r="W325" s="72"/>
      <c r="X325" s="72"/>
      <c r="Y325" s="72"/>
    </row>
    <row r="326">
      <c r="A326" s="60" t="s">
        <v>1887</v>
      </c>
      <c r="B326" s="61" t="str">
        <f>IFERROR(__xludf.DUMMYFUNCTION("""COMPUTED_VALUE"""),"28 USC 2702(c)")</f>
        <v>28 USC 2702(c)</v>
      </c>
      <c r="C326" s="63" t="str">
        <f>IFERROR(__xludf.DUMMYFUNCTION("""COMPUTED_VALUE"""),"319")</f>
        <v>319</v>
      </c>
      <c r="D326" s="79" t="str">
        <f>IFERROR(__xludf.DUMMYFUNCTION("""COMPUTED_VALUE"""),"28 U.S.C. § 2702(c)")</f>
        <v>28 U.S.C. § 2702(c)</v>
      </c>
      <c r="E326" s="74" t="s">
        <v>1233</v>
      </c>
      <c r="F326" s="63" t="s">
        <v>1888</v>
      </c>
      <c r="G326" s="71" t="s">
        <v>1800</v>
      </c>
      <c r="H326" s="71"/>
      <c r="I326" s="66"/>
      <c r="J326" s="68"/>
      <c r="K326" s="68"/>
      <c r="L326" s="68"/>
      <c r="M326" s="68"/>
      <c r="N326" s="67"/>
      <c r="O326" s="88"/>
      <c r="P326" s="88"/>
      <c r="Q326" s="90"/>
      <c r="R326" s="72"/>
      <c r="S326" s="72"/>
      <c r="T326" s="72"/>
      <c r="U326" s="72"/>
      <c r="V326" s="72"/>
      <c r="W326" s="72"/>
      <c r="X326" s="72"/>
      <c r="Y326" s="72"/>
    </row>
    <row r="327">
      <c r="A327" s="60" t="s">
        <v>1889</v>
      </c>
      <c r="B327" s="61" t="str">
        <f>IFERROR(__xludf.DUMMYFUNCTION("""COMPUTED_VALUE"""),"Walker James")</f>
        <v>Walker James</v>
      </c>
      <c r="C327" s="63" t="str">
        <f>IFERROR(__xludf.DUMMYFUNCTION("""COMPUTED_VALUE"""),"321")</f>
        <v>321</v>
      </c>
      <c r="D327" s="79" t="str">
        <f>IFERROR(__xludf.DUMMYFUNCTION("""COMPUTED_VALUE"""),"Christopher J. Walker &amp; James R. Saywell, Remand and Dialogue in Administrative Law, 89 Geo. Wash. L. Rev. 1198, 1218-22 (2021)")</f>
        <v>Christopher J. Walker &amp; James R. Saywell, Remand and Dialogue in Administrative Law, 89 Geo. Wash. L. Rev. 1198, 1218-22 (2021)</v>
      </c>
      <c r="E327" s="74" t="s">
        <v>1233</v>
      </c>
      <c r="F327" s="63" t="s">
        <v>1890</v>
      </c>
      <c r="G327" s="71" t="s">
        <v>1800</v>
      </c>
      <c r="H327" s="71"/>
      <c r="I327" s="66"/>
      <c r="J327" s="68"/>
      <c r="K327" s="68"/>
      <c r="L327" s="68"/>
      <c r="M327" s="68"/>
      <c r="N327" s="67"/>
      <c r="O327" s="88"/>
      <c r="P327" s="88"/>
      <c r="Q327" s="90"/>
      <c r="R327" s="72"/>
      <c r="S327" s="72"/>
      <c r="T327" s="72"/>
      <c r="U327" s="72"/>
      <c r="V327" s="72"/>
      <c r="W327" s="72"/>
      <c r="X327" s="72"/>
      <c r="Y327" s="72"/>
    </row>
    <row r="328">
      <c r="A328" s="60" t="s">
        <v>1891</v>
      </c>
      <c r="B328" s="61" t="str">
        <f>IFERROR(__xludf.DUMMYFUNCTION("""COMPUTED_VALUE"""),"Supra Notes 299-301 and Accompanying Text")</f>
        <v>Supra Notes 299-301 and Accompanying Text</v>
      </c>
      <c r="C328" s="63" t="str">
        <f>IFERROR(__xludf.DUMMYFUNCTION("""COMPUTED_VALUE"""),"323")</f>
        <v>323</v>
      </c>
      <c r="D328" s="79" t="str">
        <f>IFERROR(__xludf.DUMMYFUNCTION("""COMPUTED_VALUE"""),"supra notes 299-301 and accompanying text")</f>
        <v>supra notes 299-301 and accompanying text</v>
      </c>
      <c r="E328" s="74" t="s">
        <v>1233</v>
      </c>
      <c r="F328" s="63" t="s">
        <v>1892</v>
      </c>
      <c r="G328" s="71" t="s">
        <v>1800</v>
      </c>
      <c r="H328" s="71"/>
      <c r="I328" s="66"/>
      <c r="J328" s="68"/>
      <c r="K328" s="68"/>
      <c r="L328" s="68"/>
      <c r="M328" s="68"/>
      <c r="N328" s="67"/>
      <c r="O328" s="88"/>
      <c r="P328" s="88"/>
      <c r="Q328" s="90"/>
      <c r="R328" s="72"/>
      <c r="S328" s="72"/>
      <c r="T328" s="72"/>
      <c r="U328" s="72"/>
      <c r="V328" s="72"/>
      <c r="W328" s="72"/>
      <c r="X328" s="72"/>
      <c r="Y328" s="72"/>
    </row>
    <row r="329">
      <c r="A329" s="60" t="s">
        <v>1893</v>
      </c>
      <c r="B329" s="61" t="str">
        <f>IFERROR(__xludf.DUMMYFUNCTION("""COMPUTED_VALUE"""),"Supra Note 116")</f>
        <v>Supra Note 116</v>
      </c>
      <c r="C329" s="63" t="str">
        <f>IFERROR(__xludf.DUMMYFUNCTION("""COMPUTED_VALUE"""),"324")</f>
        <v>324</v>
      </c>
      <c r="D329" s="79" t="str">
        <f>IFERROR(__xludf.DUMMYFUNCTION("""COMPUTED_VALUE"""),"supra note 116")</f>
        <v>supra note 116</v>
      </c>
      <c r="E329" s="74" t="s">
        <v>1233</v>
      </c>
      <c r="F329" s="63" t="s">
        <v>1894</v>
      </c>
      <c r="G329" s="71" t="s">
        <v>1800</v>
      </c>
      <c r="H329" s="71"/>
      <c r="I329" s="66"/>
      <c r="J329" s="68"/>
      <c r="K329" s="68"/>
      <c r="L329" s="68"/>
      <c r="M329" s="68"/>
      <c r="N329" s="67"/>
      <c r="O329" s="88"/>
      <c r="P329" s="88"/>
      <c r="Q329" s="90"/>
      <c r="R329" s="72"/>
      <c r="S329" s="72"/>
      <c r="T329" s="72"/>
      <c r="U329" s="72"/>
      <c r="V329" s="72"/>
      <c r="W329" s="72"/>
      <c r="X329" s="72"/>
      <c r="Y329" s="72"/>
    </row>
    <row r="330">
      <c r="A330" s="60"/>
      <c r="B330" s="61"/>
      <c r="C330" s="63"/>
      <c r="D330" s="79"/>
      <c r="E330" s="74" t="s">
        <v>56</v>
      </c>
      <c r="F330" s="63" t="s">
        <v>56</v>
      </c>
      <c r="G330" s="71"/>
      <c r="H330" s="71"/>
      <c r="I330" s="66"/>
      <c r="J330" s="68"/>
      <c r="K330" s="68"/>
      <c r="L330" s="68"/>
      <c r="M330" s="68"/>
      <c r="N330" s="67"/>
      <c r="O330" s="88"/>
      <c r="P330" s="88"/>
      <c r="Q330" s="90"/>
      <c r="R330" s="72"/>
      <c r="S330" s="72"/>
      <c r="T330" s="72"/>
      <c r="U330" s="72"/>
      <c r="V330" s="72"/>
      <c r="W330" s="72"/>
      <c r="X330" s="72"/>
      <c r="Y330" s="72"/>
    </row>
    <row r="331">
      <c r="A331" s="60"/>
      <c r="B331" s="61"/>
      <c r="C331" s="63"/>
      <c r="D331" s="79"/>
      <c r="E331" s="74" t="s">
        <v>56</v>
      </c>
      <c r="F331" s="63" t="s">
        <v>56</v>
      </c>
      <c r="G331" s="71"/>
      <c r="H331" s="71"/>
      <c r="I331" s="66"/>
      <c r="J331" s="68"/>
      <c r="K331" s="68"/>
      <c r="L331" s="68"/>
      <c r="M331" s="68"/>
      <c r="N331" s="67"/>
      <c r="O331" s="88"/>
      <c r="P331" s="88"/>
      <c r="Q331" s="90"/>
      <c r="R331" s="72"/>
      <c r="S331" s="72"/>
      <c r="T331" s="72"/>
      <c r="U331" s="72"/>
      <c r="V331" s="72"/>
      <c r="W331" s="72"/>
      <c r="X331" s="72"/>
      <c r="Y331" s="72"/>
    </row>
    <row r="332">
      <c r="A332" s="60"/>
      <c r="B332" s="61"/>
      <c r="C332" s="63"/>
      <c r="D332" s="79"/>
      <c r="E332" s="74" t="s">
        <v>56</v>
      </c>
      <c r="F332" s="63" t="s">
        <v>56</v>
      </c>
      <c r="G332" s="71"/>
      <c r="H332" s="71"/>
      <c r="I332" s="66"/>
      <c r="J332" s="68"/>
      <c r="K332" s="68"/>
      <c r="L332" s="68"/>
      <c r="M332" s="68"/>
      <c r="N332" s="67"/>
      <c r="O332" s="88"/>
      <c r="P332" s="88"/>
      <c r="Q332" s="90"/>
      <c r="R332" s="72"/>
      <c r="S332" s="72"/>
      <c r="T332" s="72"/>
      <c r="U332" s="72"/>
      <c r="V332" s="72"/>
      <c r="W332" s="72"/>
      <c r="X332" s="72"/>
      <c r="Y332" s="72"/>
    </row>
    <row r="333">
      <c r="A333" s="60"/>
      <c r="B333" s="61"/>
      <c r="C333" s="63"/>
      <c r="D333" s="79"/>
      <c r="E333" s="74" t="s">
        <v>56</v>
      </c>
      <c r="F333" s="63" t="s">
        <v>56</v>
      </c>
      <c r="G333" s="71"/>
      <c r="H333" s="71"/>
      <c r="I333" s="66"/>
      <c r="J333" s="68"/>
      <c r="K333" s="68"/>
      <c r="L333" s="68"/>
      <c r="M333" s="68"/>
      <c r="N333" s="67"/>
      <c r="O333" s="88"/>
      <c r="P333" s="88"/>
      <c r="Q333" s="90"/>
      <c r="R333" s="72"/>
      <c r="S333" s="72"/>
      <c r="T333" s="72"/>
      <c r="U333" s="72"/>
      <c r="V333" s="72"/>
      <c r="W333" s="72"/>
      <c r="X333" s="72"/>
      <c r="Y333" s="72"/>
    </row>
    <row r="334">
      <c r="A334" s="60"/>
      <c r="B334" s="61"/>
      <c r="C334" s="63"/>
      <c r="D334" s="79"/>
      <c r="E334" s="74" t="s">
        <v>56</v>
      </c>
      <c r="F334" s="63" t="s">
        <v>56</v>
      </c>
      <c r="G334" s="71"/>
      <c r="H334" s="71"/>
      <c r="I334" s="66"/>
      <c r="J334" s="68"/>
      <c r="K334" s="68"/>
      <c r="L334" s="68"/>
      <c r="M334" s="68"/>
      <c r="N334" s="67"/>
      <c r="O334" s="88"/>
      <c r="P334" s="88"/>
      <c r="Q334" s="90"/>
      <c r="R334" s="72"/>
      <c r="S334" s="72"/>
      <c r="T334" s="72"/>
      <c r="U334" s="72"/>
      <c r="V334" s="72"/>
      <c r="W334" s="72"/>
      <c r="X334" s="72"/>
      <c r="Y334" s="72"/>
    </row>
    <row r="335">
      <c r="A335" s="60"/>
      <c r="B335" s="61"/>
      <c r="C335" s="63"/>
      <c r="D335" s="79"/>
      <c r="E335" s="74" t="s">
        <v>56</v>
      </c>
      <c r="F335" s="63" t="s">
        <v>56</v>
      </c>
      <c r="G335" s="71"/>
      <c r="H335" s="71"/>
      <c r="I335" s="66"/>
      <c r="J335" s="68"/>
      <c r="K335" s="68"/>
      <c r="L335" s="68"/>
      <c r="M335" s="68"/>
      <c r="N335" s="67"/>
      <c r="O335" s="88"/>
      <c r="P335" s="88"/>
      <c r="Q335" s="90"/>
      <c r="R335" s="72"/>
      <c r="S335" s="72"/>
      <c r="T335" s="72"/>
      <c r="U335" s="72"/>
      <c r="V335" s="72"/>
      <c r="W335" s="72"/>
      <c r="X335" s="72"/>
      <c r="Y335" s="72"/>
    </row>
    <row r="336">
      <c r="A336" s="60"/>
      <c r="B336" s="61"/>
      <c r="C336" s="63"/>
      <c r="D336" s="79"/>
      <c r="E336" s="74" t="s">
        <v>56</v>
      </c>
      <c r="F336" s="63" t="s">
        <v>56</v>
      </c>
      <c r="G336" s="71"/>
      <c r="H336" s="71"/>
      <c r="I336" s="66"/>
      <c r="J336" s="68"/>
      <c r="K336" s="68"/>
      <c r="L336" s="68"/>
      <c r="M336" s="68"/>
      <c r="N336" s="67"/>
      <c r="O336" s="88"/>
      <c r="P336" s="88"/>
      <c r="Q336" s="90"/>
      <c r="R336" s="72"/>
      <c r="S336" s="72"/>
      <c r="T336" s="72"/>
      <c r="U336" s="72"/>
      <c r="V336" s="72"/>
      <c r="W336" s="72"/>
      <c r="X336" s="72"/>
      <c r="Y336" s="72"/>
    </row>
    <row r="337">
      <c r="A337" s="60"/>
      <c r="B337" s="61"/>
      <c r="C337" s="63"/>
      <c r="D337" s="79"/>
      <c r="E337" s="74" t="s">
        <v>56</v>
      </c>
      <c r="F337" s="63" t="s">
        <v>56</v>
      </c>
      <c r="G337" s="71"/>
      <c r="H337" s="71"/>
      <c r="I337" s="66"/>
      <c r="J337" s="68"/>
      <c r="K337" s="68"/>
      <c r="L337" s="68"/>
      <c r="M337" s="68"/>
      <c r="N337" s="67"/>
      <c r="O337" s="88"/>
      <c r="P337" s="88"/>
      <c r="Q337" s="90"/>
      <c r="R337" s="72"/>
      <c r="S337" s="72"/>
      <c r="T337" s="72"/>
      <c r="U337" s="72"/>
      <c r="V337" s="72"/>
      <c r="W337" s="72"/>
      <c r="X337" s="72"/>
      <c r="Y337" s="72"/>
    </row>
    <row r="338">
      <c r="A338" s="60"/>
      <c r="B338" s="61"/>
      <c r="C338" s="63"/>
      <c r="D338" s="79"/>
      <c r="E338" s="74" t="s">
        <v>56</v>
      </c>
      <c r="F338" s="63" t="s">
        <v>56</v>
      </c>
      <c r="G338" s="71"/>
      <c r="H338" s="71"/>
      <c r="I338" s="66"/>
      <c r="J338" s="68"/>
      <c r="K338" s="68"/>
      <c r="L338" s="68"/>
      <c r="M338" s="68"/>
      <c r="N338" s="67"/>
      <c r="O338" s="88"/>
      <c r="P338" s="88"/>
      <c r="Q338" s="90"/>
      <c r="R338" s="72"/>
      <c r="S338" s="72"/>
      <c r="T338" s="72"/>
      <c r="U338" s="72"/>
      <c r="V338" s="72"/>
      <c r="W338" s="72"/>
      <c r="X338" s="72"/>
      <c r="Y338" s="72"/>
    </row>
    <row r="339">
      <c r="A339" s="60"/>
      <c r="B339" s="61"/>
      <c r="C339" s="63"/>
      <c r="D339" s="79"/>
      <c r="E339" s="74" t="s">
        <v>56</v>
      </c>
      <c r="F339" s="63" t="s">
        <v>56</v>
      </c>
      <c r="G339" s="71"/>
      <c r="H339" s="71"/>
      <c r="I339" s="66"/>
      <c r="J339" s="68"/>
      <c r="K339" s="68"/>
      <c r="L339" s="68"/>
      <c r="M339" s="68"/>
      <c r="N339" s="67"/>
      <c r="O339" s="88"/>
      <c r="P339" s="88"/>
      <c r="Q339" s="90"/>
      <c r="R339" s="72"/>
      <c r="S339" s="72"/>
      <c r="T339" s="72"/>
      <c r="U339" s="72"/>
      <c r="V339" s="72"/>
      <c r="W339" s="72"/>
      <c r="X339" s="72"/>
      <c r="Y339" s="72"/>
    </row>
    <row r="340">
      <c r="A340" s="60"/>
      <c r="B340" s="61"/>
      <c r="C340" s="63"/>
      <c r="D340" s="79"/>
      <c r="E340" s="74" t="s">
        <v>56</v>
      </c>
      <c r="F340" s="63" t="s">
        <v>56</v>
      </c>
      <c r="G340" s="71"/>
      <c r="H340" s="71"/>
      <c r="I340" s="66"/>
      <c r="J340" s="68"/>
      <c r="K340" s="68"/>
      <c r="L340" s="68"/>
      <c r="M340" s="68"/>
      <c r="N340" s="67"/>
      <c r="O340" s="88"/>
      <c r="P340" s="88"/>
      <c r="Q340" s="90"/>
      <c r="R340" s="72"/>
      <c r="S340" s="72"/>
      <c r="T340" s="72"/>
      <c r="U340" s="72"/>
      <c r="V340" s="72"/>
      <c r="W340" s="72"/>
      <c r="X340" s="72"/>
      <c r="Y340" s="72"/>
    </row>
    <row r="341">
      <c r="A341" s="60"/>
      <c r="B341" s="61"/>
      <c r="C341" s="63"/>
      <c r="D341" s="79"/>
      <c r="E341" s="74" t="s">
        <v>56</v>
      </c>
      <c r="F341" s="63" t="s">
        <v>56</v>
      </c>
      <c r="G341" s="71"/>
      <c r="H341" s="71"/>
      <c r="I341" s="66"/>
      <c r="J341" s="68"/>
      <c r="K341" s="68"/>
      <c r="L341" s="68"/>
      <c r="M341" s="68"/>
      <c r="N341" s="67"/>
      <c r="O341" s="88"/>
      <c r="P341" s="88"/>
      <c r="Q341" s="90"/>
      <c r="R341" s="72"/>
      <c r="S341" s="72"/>
      <c r="T341" s="72"/>
      <c r="U341" s="72"/>
      <c r="V341" s="72"/>
      <c r="W341" s="72"/>
      <c r="X341" s="72"/>
      <c r="Y341" s="72"/>
    </row>
    <row r="342">
      <c r="A342" s="60"/>
      <c r="B342" s="61"/>
      <c r="C342" s="63"/>
      <c r="D342" s="79"/>
      <c r="E342" s="74" t="s">
        <v>56</v>
      </c>
      <c r="F342" s="63" t="s">
        <v>56</v>
      </c>
      <c r="G342" s="71"/>
      <c r="H342" s="71"/>
      <c r="I342" s="66"/>
      <c r="J342" s="68"/>
      <c r="K342" s="68"/>
      <c r="L342" s="68"/>
      <c r="M342" s="68"/>
      <c r="N342" s="67"/>
      <c r="O342" s="88"/>
      <c r="P342" s="88"/>
      <c r="Q342" s="90"/>
      <c r="R342" s="72"/>
      <c r="S342" s="72"/>
      <c r="T342" s="72"/>
      <c r="U342" s="72"/>
      <c r="V342" s="72"/>
      <c r="W342" s="72"/>
      <c r="X342" s="72"/>
      <c r="Y342" s="72"/>
    </row>
    <row r="343">
      <c r="A343" s="60"/>
      <c r="B343" s="61"/>
      <c r="C343" s="63"/>
      <c r="D343" s="79"/>
      <c r="E343" s="74" t="s">
        <v>56</v>
      </c>
      <c r="F343" s="63" t="s">
        <v>56</v>
      </c>
      <c r="G343" s="71"/>
      <c r="H343" s="71"/>
      <c r="I343" s="66"/>
      <c r="J343" s="68"/>
      <c r="K343" s="68"/>
      <c r="L343" s="68"/>
      <c r="M343" s="68"/>
      <c r="N343" s="67"/>
      <c r="O343" s="88"/>
      <c r="P343" s="88"/>
      <c r="Q343" s="90"/>
      <c r="R343" s="72"/>
      <c r="S343" s="72"/>
      <c r="T343" s="72"/>
      <c r="U343" s="72"/>
      <c r="V343" s="72"/>
      <c r="W343" s="72"/>
      <c r="X343" s="72"/>
      <c r="Y343" s="72"/>
    </row>
    <row r="344">
      <c r="A344" s="60"/>
      <c r="B344" s="61"/>
      <c r="C344" s="63"/>
      <c r="D344" s="79"/>
      <c r="E344" s="74" t="s">
        <v>56</v>
      </c>
      <c r="F344" s="63" t="s">
        <v>56</v>
      </c>
      <c r="G344" s="71"/>
      <c r="H344" s="71"/>
      <c r="I344" s="66"/>
      <c r="J344" s="68"/>
      <c r="K344" s="68"/>
      <c r="L344" s="68"/>
      <c r="M344" s="68"/>
      <c r="N344" s="67"/>
      <c r="O344" s="88"/>
      <c r="P344" s="88"/>
      <c r="Q344" s="90"/>
      <c r="R344" s="72"/>
      <c r="S344" s="72"/>
      <c r="T344" s="72"/>
      <c r="U344" s="72"/>
      <c r="V344" s="72"/>
      <c r="W344" s="72"/>
      <c r="X344" s="72"/>
      <c r="Y344" s="72"/>
    </row>
    <row r="345">
      <c r="A345" s="60"/>
      <c r="B345" s="61"/>
      <c r="C345" s="63"/>
      <c r="D345" s="79"/>
      <c r="E345" s="74" t="s">
        <v>56</v>
      </c>
      <c r="F345" s="63" t="s">
        <v>56</v>
      </c>
      <c r="G345" s="71"/>
      <c r="H345" s="71"/>
      <c r="I345" s="66"/>
      <c r="J345" s="68"/>
      <c r="K345" s="68"/>
      <c r="L345" s="68"/>
      <c r="M345" s="68"/>
      <c r="N345" s="67"/>
      <c r="O345" s="88"/>
      <c r="P345" s="88"/>
      <c r="Q345" s="90"/>
      <c r="R345" s="72"/>
      <c r="S345" s="72"/>
      <c r="T345" s="72"/>
      <c r="U345" s="72"/>
      <c r="V345" s="72"/>
      <c r="W345" s="72"/>
      <c r="X345" s="72"/>
      <c r="Y345" s="72"/>
    </row>
    <row r="346">
      <c r="A346" s="60"/>
      <c r="B346" s="61"/>
      <c r="C346" s="63"/>
      <c r="D346" s="79"/>
      <c r="E346" s="74" t="s">
        <v>56</v>
      </c>
      <c r="F346" s="63" t="s">
        <v>56</v>
      </c>
      <c r="G346" s="71"/>
      <c r="H346" s="71"/>
      <c r="I346" s="66"/>
      <c r="J346" s="68"/>
      <c r="K346" s="68"/>
      <c r="L346" s="68"/>
      <c r="M346" s="68"/>
      <c r="N346" s="67"/>
      <c r="O346" s="88"/>
      <c r="P346" s="88"/>
      <c r="Q346" s="90"/>
      <c r="R346" s="72"/>
      <c r="S346" s="72"/>
      <c r="T346" s="72"/>
      <c r="U346" s="72"/>
      <c r="V346" s="72"/>
      <c r="W346" s="72"/>
      <c r="X346" s="72"/>
      <c r="Y346" s="72"/>
    </row>
    <row r="347">
      <c r="A347" s="60"/>
      <c r="B347" s="61"/>
      <c r="C347" s="63"/>
      <c r="D347" s="79"/>
      <c r="E347" s="74" t="s">
        <v>56</v>
      </c>
      <c r="F347" s="63" t="s">
        <v>56</v>
      </c>
      <c r="G347" s="71"/>
      <c r="H347" s="71"/>
      <c r="I347" s="66"/>
      <c r="J347" s="68"/>
      <c r="K347" s="68"/>
      <c r="L347" s="68"/>
      <c r="M347" s="68"/>
      <c r="N347" s="67"/>
      <c r="O347" s="88"/>
      <c r="P347" s="88"/>
      <c r="Q347" s="90"/>
      <c r="R347" s="72"/>
      <c r="S347" s="72"/>
      <c r="T347" s="72"/>
      <c r="U347" s="72"/>
      <c r="V347" s="72"/>
      <c r="W347" s="72"/>
      <c r="X347" s="72"/>
      <c r="Y347" s="72"/>
    </row>
    <row r="348">
      <c r="A348" s="60"/>
      <c r="B348" s="61"/>
      <c r="C348" s="63"/>
      <c r="D348" s="79"/>
      <c r="E348" s="74" t="s">
        <v>56</v>
      </c>
      <c r="F348" s="63" t="s">
        <v>56</v>
      </c>
      <c r="G348" s="71"/>
      <c r="H348" s="71"/>
      <c r="I348" s="66"/>
      <c r="J348" s="68"/>
      <c r="K348" s="68"/>
      <c r="L348" s="68"/>
      <c r="M348" s="68"/>
      <c r="N348" s="67"/>
      <c r="O348" s="88"/>
      <c r="P348" s="88"/>
      <c r="Q348" s="90"/>
      <c r="R348" s="72"/>
      <c r="S348" s="72"/>
      <c r="T348" s="72"/>
      <c r="U348" s="72"/>
      <c r="V348" s="72"/>
      <c r="W348" s="72"/>
      <c r="X348" s="72"/>
      <c r="Y348" s="72"/>
    </row>
    <row r="349">
      <c r="A349" s="60"/>
      <c r="B349" s="61"/>
      <c r="C349" s="63"/>
      <c r="D349" s="79"/>
      <c r="E349" s="74" t="s">
        <v>56</v>
      </c>
      <c r="F349" s="63" t="s">
        <v>56</v>
      </c>
      <c r="G349" s="71"/>
      <c r="H349" s="71"/>
      <c r="I349" s="66"/>
      <c r="J349" s="68"/>
      <c r="K349" s="68"/>
      <c r="L349" s="68"/>
      <c r="M349" s="68"/>
      <c r="N349" s="67"/>
      <c r="O349" s="88"/>
      <c r="P349" s="88"/>
      <c r="Q349" s="90"/>
      <c r="R349" s="72"/>
      <c r="S349" s="72"/>
      <c r="T349" s="72"/>
      <c r="U349" s="72"/>
      <c r="V349" s="72"/>
      <c r="W349" s="72"/>
      <c r="X349" s="72"/>
      <c r="Y349" s="72"/>
    </row>
    <row r="350">
      <c r="A350" s="60"/>
      <c r="B350" s="61"/>
      <c r="C350" s="63"/>
      <c r="D350" s="79"/>
      <c r="E350" s="74" t="s">
        <v>56</v>
      </c>
      <c r="F350" s="63" t="s">
        <v>56</v>
      </c>
      <c r="G350" s="71"/>
      <c r="H350" s="71"/>
      <c r="I350" s="66"/>
      <c r="J350" s="68"/>
      <c r="K350" s="68"/>
      <c r="L350" s="68"/>
      <c r="M350" s="68"/>
      <c r="N350" s="67"/>
      <c r="O350" s="88"/>
      <c r="P350" s="88"/>
      <c r="Q350" s="90"/>
      <c r="R350" s="72"/>
      <c r="S350" s="72"/>
      <c r="T350" s="72"/>
      <c r="U350" s="72"/>
      <c r="V350" s="72"/>
      <c r="W350" s="72"/>
      <c r="X350" s="72"/>
      <c r="Y350" s="72"/>
    </row>
    <row r="351">
      <c r="A351" s="60"/>
      <c r="B351" s="61"/>
      <c r="C351" s="63"/>
      <c r="D351" s="79"/>
      <c r="E351" s="74" t="s">
        <v>56</v>
      </c>
      <c r="F351" s="63" t="s">
        <v>56</v>
      </c>
      <c r="G351" s="71"/>
      <c r="H351" s="71"/>
      <c r="I351" s="66"/>
      <c r="J351" s="68"/>
      <c r="K351" s="68"/>
      <c r="L351" s="68"/>
      <c r="M351" s="68"/>
      <c r="N351" s="67"/>
      <c r="O351" s="88"/>
      <c r="P351" s="88"/>
      <c r="Q351" s="90"/>
      <c r="R351" s="72"/>
      <c r="S351" s="72"/>
      <c r="T351" s="72"/>
      <c r="U351" s="72"/>
      <c r="V351" s="72"/>
      <c r="W351" s="72"/>
      <c r="X351" s="72"/>
      <c r="Y351" s="72"/>
    </row>
    <row r="352">
      <c r="A352" s="60"/>
      <c r="B352" s="61"/>
      <c r="C352" s="63"/>
      <c r="D352" s="79"/>
      <c r="E352" s="74" t="s">
        <v>56</v>
      </c>
      <c r="F352" s="63" t="s">
        <v>56</v>
      </c>
      <c r="G352" s="71"/>
      <c r="H352" s="71"/>
      <c r="I352" s="66"/>
      <c r="J352" s="68"/>
      <c r="K352" s="68"/>
      <c r="L352" s="68"/>
      <c r="M352" s="68"/>
      <c r="N352" s="67"/>
      <c r="O352" s="88"/>
      <c r="P352" s="88"/>
      <c r="Q352" s="90"/>
      <c r="R352" s="72"/>
      <c r="S352" s="72"/>
      <c r="T352" s="72"/>
      <c r="U352" s="72"/>
      <c r="V352" s="72"/>
      <c r="W352" s="72"/>
      <c r="X352" s="72"/>
      <c r="Y352" s="72"/>
    </row>
    <row r="353">
      <c r="A353" s="60"/>
      <c r="B353" s="61"/>
      <c r="C353" s="63"/>
      <c r="D353" s="79"/>
      <c r="E353" s="74" t="s">
        <v>56</v>
      </c>
      <c r="F353" s="63" t="s">
        <v>56</v>
      </c>
      <c r="G353" s="71"/>
      <c r="H353" s="71"/>
      <c r="I353" s="66"/>
      <c r="J353" s="68"/>
      <c r="K353" s="68"/>
      <c r="L353" s="68"/>
      <c r="M353" s="68"/>
      <c r="N353" s="67"/>
      <c r="O353" s="88"/>
      <c r="P353" s="88"/>
      <c r="Q353" s="90"/>
      <c r="R353" s="72"/>
      <c r="S353" s="72"/>
      <c r="T353" s="72"/>
      <c r="U353" s="72"/>
      <c r="V353" s="72"/>
      <c r="W353" s="72"/>
      <c r="X353" s="72"/>
      <c r="Y353" s="72"/>
    </row>
    <row r="354">
      <c r="A354" s="60"/>
      <c r="B354" s="61"/>
      <c r="C354" s="63"/>
      <c r="D354" s="79"/>
      <c r="E354" s="74" t="s">
        <v>56</v>
      </c>
      <c r="F354" s="63" t="s">
        <v>56</v>
      </c>
      <c r="G354" s="71"/>
      <c r="H354" s="71"/>
      <c r="I354" s="66"/>
      <c r="J354" s="68"/>
      <c r="K354" s="68"/>
      <c r="L354" s="68"/>
      <c r="M354" s="68"/>
      <c r="N354" s="67"/>
      <c r="O354" s="88"/>
      <c r="P354" s="88"/>
      <c r="Q354" s="90"/>
      <c r="R354" s="72"/>
      <c r="S354" s="72"/>
      <c r="T354" s="72"/>
      <c r="U354" s="72"/>
      <c r="V354" s="72"/>
      <c r="W354" s="72"/>
      <c r="X354" s="72"/>
      <c r="Y354" s="72"/>
    </row>
    <row r="355">
      <c r="A355" s="60"/>
      <c r="B355" s="61"/>
      <c r="C355" s="63"/>
      <c r="D355" s="79"/>
      <c r="E355" s="74" t="s">
        <v>56</v>
      </c>
      <c r="F355" s="63" t="s">
        <v>56</v>
      </c>
      <c r="G355" s="71"/>
      <c r="H355" s="71"/>
      <c r="I355" s="66"/>
      <c r="J355" s="68"/>
      <c r="K355" s="68"/>
      <c r="L355" s="68"/>
      <c r="M355" s="68"/>
      <c r="N355" s="67"/>
      <c r="O355" s="88"/>
      <c r="P355" s="88"/>
      <c r="Q355" s="90"/>
      <c r="R355" s="72"/>
      <c r="S355" s="72"/>
      <c r="T355" s="72"/>
      <c r="U355" s="72"/>
      <c r="V355" s="72"/>
      <c r="W355" s="72"/>
      <c r="X355" s="72"/>
      <c r="Y355" s="72"/>
    </row>
    <row r="356">
      <c r="A356" s="60"/>
      <c r="B356" s="61"/>
      <c r="C356" s="63"/>
      <c r="D356" s="79"/>
      <c r="E356" s="74" t="s">
        <v>56</v>
      </c>
      <c r="F356" s="63" t="s">
        <v>56</v>
      </c>
      <c r="G356" s="71"/>
      <c r="H356" s="71"/>
      <c r="I356" s="66"/>
      <c r="J356" s="68"/>
      <c r="K356" s="68"/>
      <c r="L356" s="68"/>
      <c r="M356" s="68"/>
      <c r="N356" s="67"/>
      <c r="O356" s="88"/>
      <c r="P356" s="88"/>
      <c r="Q356" s="90"/>
      <c r="R356" s="72"/>
      <c r="S356" s="72"/>
      <c r="T356" s="72"/>
      <c r="U356" s="72"/>
      <c r="V356" s="72"/>
      <c r="W356" s="72"/>
      <c r="X356" s="72"/>
      <c r="Y356" s="72"/>
    </row>
    <row r="357">
      <c r="A357" s="60"/>
      <c r="B357" s="61"/>
      <c r="C357" s="63"/>
      <c r="D357" s="79"/>
      <c r="E357" s="74" t="s">
        <v>56</v>
      </c>
      <c r="F357" s="63" t="s">
        <v>56</v>
      </c>
      <c r="G357" s="71"/>
      <c r="H357" s="71"/>
      <c r="I357" s="66"/>
      <c r="J357" s="68"/>
      <c r="K357" s="68"/>
      <c r="L357" s="68"/>
      <c r="M357" s="68"/>
      <c r="N357" s="67"/>
      <c r="O357" s="88"/>
      <c r="P357" s="88"/>
      <c r="Q357" s="90"/>
      <c r="R357" s="72"/>
      <c r="S357" s="72"/>
      <c r="T357" s="72"/>
      <c r="U357" s="72"/>
      <c r="V357" s="72"/>
      <c r="W357" s="72"/>
      <c r="X357" s="72"/>
      <c r="Y357" s="72"/>
    </row>
    <row r="358">
      <c r="A358" s="60"/>
      <c r="B358" s="61"/>
      <c r="C358" s="63"/>
      <c r="D358" s="79"/>
      <c r="E358" s="74" t="s">
        <v>56</v>
      </c>
      <c r="F358" s="63" t="s">
        <v>56</v>
      </c>
      <c r="G358" s="71"/>
      <c r="H358" s="71"/>
      <c r="I358" s="66"/>
      <c r="J358" s="68"/>
      <c r="K358" s="68"/>
      <c r="L358" s="68"/>
      <c r="M358" s="68"/>
      <c r="N358" s="67"/>
      <c r="O358" s="88"/>
      <c r="P358" s="88"/>
      <c r="Q358" s="90"/>
      <c r="R358" s="72"/>
      <c r="S358" s="72"/>
      <c r="T358" s="72"/>
      <c r="U358" s="72"/>
      <c r="V358" s="72"/>
      <c r="W358" s="72"/>
      <c r="X358" s="72"/>
      <c r="Y358" s="72"/>
    </row>
    <row r="359">
      <c r="A359" s="60"/>
      <c r="B359" s="61"/>
      <c r="C359" s="63"/>
      <c r="D359" s="79"/>
      <c r="E359" s="74" t="s">
        <v>56</v>
      </c>
      <c r="F359" s="63" t="s">
        <v>56</v>
      </c>
      <c r="G359" s="71"/>
      <c r="H359" s="71"/>
      <c r="I359" s="66"/>
      <c r="J359" s="68"/>
      <c r="K359" s="68"/>
      <c r="L359" s="68"/>
      <c r="M359" s="68"/>
      <c r="N359" s="67"/>
      <c r="O359" s="88"/>
      <c r="P359" s="88"/>
      <c r="Q359" s="90"/>
      <c r="R359" s="72"/>
      <c r="S359" s="72"/>
      <c r="T359" s="72"/>
      <c r="U359" s="72"/>
      <c r="V359" s="72"/>
      <c r="W359" s="72"/>
      <c r="X359" s="72"/>
      <c r="Y359" s="72"/>
    </row>
    <row r="360">
      <c r="A360" s="60"/>
      <c r="B360" s="61"/>
      <c r="C360" s="63"/>
      <c r="D360" s="79"/>
      <c r="E360" s="74" t="s">
        <v>56</v>
      </c>
      <c r="F360" s="63" t="s">
        <v>56</v>
      </c>
      <c r="G360" s="71"/>
      <c r="H360" s="71"/>
      <c r="I360" s="66"/>
      <c r="J360" s="68"/>
      <c r="K360" s="68"/>
      <c r="L360" s="68"/>
      <c r="M360" s="68"/>
      <c r="N360" s="67"/>
      <c r="O360" s="88"/>
      <c r="P360" s="88"/>
      <c r="Q360" s="90"/>
      <c r="R360" s="72"/>
      <c r="S360" s="72"/>
      <c r="T360" s="72"/>
      <c r="U360" s="72"/>
      <c r="V360" s="72"/>
      <c r="W360" s="72"/>
      <c r="X360" s="72"/>
      <c r="Y360" s="72"/>
    </row>
    <row r="361">
      <c r="A361" s="60"/>
      <c r="B361" s="61"/>
      <c r="C361" s="63"/>
      <c r="D361" s="79"/>
      <c r="E361" s="74" t="s">
        <v>56</v>
      </c>
      <c r="F361" s="63" t="s">
        <v>56</v>
      </c>
      <c r="G361" s="71"/>
      <c r="H361" s="71"/>
      <c r="I361" s="66"/>
      <c r="J361" s="68"/>
      <c r="K361" s="68"/>
      <c r="L361" s="68"/>
      <c r="M361" s="68"/>
      <c r="N361" s="67"/>
      <c r="O361" s="88"/>
      <c r="P361" s="88"/>
      <c r="Q361" s="90"/>
      <c r="R361" s="72"/>
      <c r="S361" s="72"/>
      <c r="T361" s="72"/>
      <c r="U361" s="72"/>
      <c r="V361" s="72"/>
      <c r="W361" s="72"/>
      <c r="X361" s="72"/>
      <c r="Y361" s="72"/>
    </row>
    <row r="362">
      <c r="A362" s="60"/>
      <c r="B362" s="61"/>
      <c r="C362" s="63"/>
      <c r="D362" s="79"/>
      <c r="E362" s="74" t="s">
        <v>56</v>
      </c>
      <c r="F362" s="63" t="s">
        <v>56</v>
      </c>
      <c r="G362" s="71"/>
      <c r="H362" s="71"/>
      <c r="I362" s="66"/>
      <c r="J362" s="68"/>
      <c r="K362" s="68"/>
      <c r="L362" s="68"/>
      <c r="M362" s="68"/>
      <c r="N362" s="67"/>
      <c r="O362" s="88"/>
      <c r="P362" s="88"/>
      <c r="Q362" s="90"/>
      <c r="R362" s="72"/>
      <c r="S362" s="72"/>
      <c r="T362" s="72"/>
      <c r="U362" s="72"/>
      <c r="V362" s="72"/>
      <c r="W362" s="72"/>
      <c r="X362" s="72"/>
      <c r="Y362" s="72"/>
    </row>
    <row r="363">
      <c r="A363" s="60"/>
      <c r="B363" s="61"/>
      <c r="C363" s="63"/>
      <c r="D363" s="79"/>
      <c r="E363" s="74" t="s">
        <v>56</v>
      </c>
      <c r="F363" s="63" t="s">
        <v>56</v>
      </c>
      <c r="G363" s="71"/>
      <c r="H363" s="71"/>
      <c r="I363" s="66"/>
      <c r="J363" s="68"/>
      <c r="K363" s="68"/>
      <c r="L363" s="68"/>
      <c r="M363" s="68"/>
      <c r="N363" s="67"/>
      <c r="O363" s="88"/>
      <c r="P363" s="88"/>
      <c r="Q363" s="90"/>
      <c r="R363" s="72"/>
      <c r="S363" s="72"/>
      <c r="T363" s="72"/>
      <c r="U363" s="72"/>
      <c r="V363" s="72"/>
      <c r="W363" s="72"/>
      <c r="X363" s="72"/>
      <c r="Y363" s="72"/>
    </row>
    <row r="364">
      <c r="A364" s="60"/>
      <c r="B364" s="61"/>
      <c r="C364" s="63"/>
      <c r="D364" s="79"/>
      <c r="E364" s="74" t="s">
        <v>56</v>
      </c>
      <c r="F364" s="63" t="s">
        <v>56</v>
      </c>
      <c r="G364" s="71"/>
      <c r="H364" s="71"/>
      <c r="I364" s="66"/>
      <c r="J364" s="68"/>
      <c r="K364" s="68"/>
      <c r="L364" s="68"/>
      <c r="M364" s="68"/>
      <c r="N364" s="67"/>
      <c r="O364" s="88"/>
      <c r="P364" s="88"/>
      <c r="Q364" s="90"/>
      <c r="R364" s="72"/>
      <c r="S364" s="72"/>
      <c r="T364" s="72"/>
      <c r="U364" s="72"/>
      <c r="V364" s="72"/>
      <c r="W364" s="72"/>
      <c r="X364" s="72"/>
      <c r="Y364" s="72"/>
    </row>
    <row r="365">
      <c r="A365" s="60"/>
      <c r="B365" s="61"/>
      <c r="C365" s="63"/>
      <c r="D365" s="79"/>
      <c r="E365" s="74" t="s">
        <v>56</v>
      </c>
      <c r="F365" s="63" t="s">
        <v>56</v>
      </c>
      <c r="G365" s="71"/>
      <c r="H365" s="71"/>
      <c r="I365" s="66"/>
      <c r="J365" s="68"/>
      <c r="K365" s="68"/>
      <c r="L365" s="68"/>
      <c r="M365" s="68"/>
      <c r="N365" s="67"/>
      <c r="O365" s="88"/>
      <c r="P365" s="88"/>
      <c r="Q365" s="90"/>
      <c r="R365" s="72"/>
      <c r="S365" s="72"/>
      <c r="T365" s="72"/>
      <c r="U365" s="72"/>
      <c r="V365" s="72"/>
      <c r="W365" s="72"/>
      <c r="X365" s="72"/>
      <c r="Y365" s="72"/>
    </row>
    <row r="366">
      <c r="A366" s="60"/>
      <c r="B366" s="61"/>
      <c r="C366" s="63"/>
      <c r="D366" s="79"/>
      <c r="E366" s="74" t="s">
        <v>56</v>
      </c>
      <c r="F366" s="63" t="s">
        <v>56</v>
      </c>
      <c r="G366" s="71"/>
      <c r="H366" s="71"/>
      <c r="I366" s="66"/>
      <c r="J366" s="68"/>
      <c r="K366" s="68"/>
      <c r="L366" s="68"/>
      <c r="M366" s="68"/>
      <c r="N366" s="67"/>
      <c r="O366" s="88"/>
      <c r="P366" s="88"/>
      <c r="Q366" s="90"/>
      <c r="R366" s="72"/>
      <c r="S366" s="72"/>
      <c r="T366" s="72"/>
      <c r="U366" s="72"/>
      <c r="V366" s="72"/>
      <c r="W366" s="72"/>
      <c r="X366" s="72"/>
      <c r="Y366" s="72"/>
    </row>
    <row r="367">
      <c r="A367" s="60"/>
      <c r="B367" s="61"/>
      <c r="C367" s="63"/>
      <c r="D367" s="79"/>
      <c r="E367" s="74" t="s">
        <v>56</v>
      </c>
      <c r="F367" s="63" t="s">
        <v>56</v>
      </c>
      <c r="G367" s="71"/>
      <c r="H367" s="71"/>
      <c r="I367" s="66"/>
      <c r="J367" s="68"/>
      <c r="K367" s="68"/>
      <c r="L367" s="68"/>
      <c r="M367" s="68"/>
      <c r="N367" s="67"/>
      <c r="O367" s="88"/>
      <c r="P367" s="88"/>
      <c r="Q367" s="90"/>
      <c r="R367" s="72"/>
      <c r="S367" s="72"/>
      <c r="T367" s="72"/>
      <c r="U367" s="72"/>
      <c r="V367" s="72"/>
      <c r="W367" s="72"/>
      <c r="X367" s="72"/>
      <c r="Y367" s="72"/>
    </row>
    <row r="368">
      <c r="A368" s="60"/>
      <c r="B368" s="61"/>
      <c r="C368" s="63"/>
      <c r="D368" s="79"/>
      <c r="E368" s="74" t="s">
        <v>56</v>
      </c>
      <c r="F368" s="63" t="s">
        <v>56</v>
      </c>
      <c r="G368" s="71"/>
      <c r="H368" s="71"/>
      <c r="I368" s="66"/>
      <c r="J368" s="68"/>
      <c r="K368" s="68"/>
      <c r="L368" s="68"/>
      <c r="M368" s="68"/>
      <c r="N368" s="67"/>
      <c r="O368" s="88"/>
      <c r="P368" s="88"/>
      <c r="Q368" s="90"/>
      <c r="R368" s="72"/>
      <c r="S368" s="72"/>
      <c r="T368" s="72"/>
      <c r="U368" s="72"/>
      <c r="V368" s="72"/>
      <c r="W368" s="72"/>
      <c r="X368" s="72"/>
      <c r="Y368" s="72"/>
    </row>
    <row r="369">
      <c r="A369" s="60"/>
      <c r="B369" s="61"/>
      <c r="C369" s="63"/>
      <c r="D369" s="79"/>
      <c r="E369" s="74" t="s">
        <v>56</v>
      </c>
      <c r="F369" s="63" t="s">
        <v>56</v>
      </c>
      <c r="G369" s="71"/>
      <c r="H369" s="71"/>
      <c r="I369" s="66"/>
      <c r="J369" s="68"/>
      <c r="K369" s="68"/>
      <c r="L369" s="68"/>
      <c r="M369" s="68"/>
      <c r="N369" s="67"/>
      <c r="O369" s="88"/>
      <c r="P369" s="88"/>
      <c r="Q369" s="90"/>
      <c r="R369" s="72"/>
      <c r="S369" s="72"/>
      <c r="T369" s="72"/>
      <c r="U369" s="72"/>
      <c r="V369" s="72"/>
      <c r="W369" s="72"/>
      <c r="X369" s="72"/>
      <c r="Y369" s="72"/>
    </row>
    <row r="370">
      <c r="A370" s="60"/>
      <c r="B370" s="61"/>
      <c r="C370" s="63"/>
      <c r="D370" s="79"/>
      <c r="E370" s="74" t="s">
        <v>56</v>
      </c>
      <c r="F370" s="63" t="s">
        <v>56</v>
      </c>
      <c r="G370" s="71"/>
      <c r="H370" s="71"/>
      <c r="I370" s="66"/>
      <c r="J370" s="68"/>
      <c r="K370" s="68"/>
      <c r="L370" s="68"/>
      <c r="M370" s="68"/>
      <c r="N370" s="67"/>
      <c r="O370" s="88"/>
      <c r="P370" s="88"/>
      <c r="Q370" s="90"/>
      <c r="R370" s="72"/>
      <c r="S370" s="72"/>
      <c r="T370" s="72"/>
      <c r="U370" s="72"/>
      <c r="V370" s="72"/>
      <c r="W370" s="72"/>
      <c r="X370" s="72"/>
      <c r="Y370" s="72"/>
    </row>
    <row r="371">
      <c r="A371" s="60"/>
      <c r="B371" s="61"/>
      <c r="C371" s="63"/>
      <c r="D371" s="79"/>
      <c r="E371" s="74" t="s">
        <v>56</v>
      </c>
      <c r="F371" s="63" t="s">
        <v>56</v>
      </c>
      <c r="G371" s="71"/>
      <c r="H371" s="71"/>
      <c r="I371" s="66"/>
      <c r="J371" s="68"/>
      <c r="K371" s="68"/>
      <c r="L371" s="68"/>
      <c r="M371" s="68"/>
      <c r="N371" s="67"/>
      <c r="O371" s="88"/>
      <c r="P371" s="88"/>
      <c r="Q371" s="90"/>
      <c r="R371" s="72"/>
      <c r="S371" s="72"/>
      <c r="T371" s="72"/>
      <c r="U371" s="72"/>
      <c r="V371" s="72"/>
      <c r="W371" s="72"/>
      <c r="X371" s="72"/>
      <c r="Y371" s="72"/>
    </row>
    <row r="372">
      <c r="A372" s="60"/>
      <c r="B372" s="61"/>
      <c r="C372" s="63"/>
      <c r="D372" s="79"/>
      <c r="E372" s="74" t="s">
        <v>56</v>
      </c>
      <c r="F372" s="63" t="s">
        <v>56</v>
      </c>
      <c r="G372" s="71"/>
      <c r="H372" s="71"/>
      <c r="I372" s="66"/>
      <c r="J372" s="68"/>
      <c r="K372" s="68"/>
      <c r="L372" s="68"/>
      <c r="M372" s="68"/>
      <c r="N372" s="67"/>
      <c r="O372" s="88"/>
      <c r="P372" s="88"/>
      <c r="Q372" s="90"/>
      <c r="R372" s="72"/>
      <c r="S372" s="72"/>
      <c r="T372" s="72"/>
      <c r="U372" s="72"/>
      <c r="V372" s="72"/>
      <c r="W372" s="72"/>
      <c r="X372" s="72"/>
      <c r="Y372" s="72"/>
    </row>
    <row r="373">
      <c r="A373" s="60"/>
      <c r="B373" s="61"/>
      <c r="C373" s="63"/>
      <c r="D373" s="79"/>
      <c r="E373" s="74" t="s">
        <v>56</v>
      </c>
      <c r="F373" s="63" t="s">
        <v>56</v>
      </c>
      <c r="G373" s="71"/>
      <c r="H373" s="71"/>
      <c r="I373" s="66"/>
      <c r="J373" s="68"/>
      <c r="K373" s="68"/>
      <c r="L373" s="68"/>
      <c r="M373" s="68"/>
      <c r="N373" s="67"/>
      <c r="O373" s="88"/>
      <c r="P373" s="88"/>
      <c r="Q373" s="90"/>
      <c r="R373" s="72"/>
      <c r="S373" s="72"/>
      <c r="T373" s="72"/>
      <c r="U373" s="72"/>
      <c r="V373" s="72"/>
      <c r="W373" s="72"/>
      <c r="X373" s="72"/>
      <c r="Y373" s="72"/>
    </row>
    <row r="374">
      <c r="A374" s="60"/>
      <c r="B374" s="61"/>
      <c r="C374" s="63"/>
      <c r="D374" s="79"/>
      <c r="E374" s="74" t="s">
        <v>56</v>
      </c>
      <c r="F374" s="63" t="s">
        <v>56</v>
      </c>
      <c r="G374" s="71"/>
      <c r="H374" s="71"/>
      <c r="I374" s="66"/>
      <c r="J374" s="68"/>
      <c r="K374" s="68"/>
      <c r="L374" s="68"/>
      <c r="M374" s="68"/>
      <c r="N374" s="67"/>
      <c r="O374" s="88"/>
      <c r="P374" s="88"/>
      <c r="Q374" s="90"/>
      <c r="R374" s="72"/>
      <c r="S374" s="72"/>
      <c r="T374" s="72"/>
      <c r="U374" s="72"/>
      <c r="V374" s="72"/>
      <c r="W374" s="72"/>
      <c r="X374" s="72"/>
      <c r="Y374" s="72"/>
    </row>
    <row r="375">
      <c r="A375" s="60"/>
      <c r="B375" s="61"/>
      <c r="C375" s="63"/>
      <c r="D375" s="79"/>
      <c r="E375" s="74" t="s">
        <v>56</v>
      </c>
      <c r="F375" s="63" t="s">
        <v>56</v>
      </c>
      <c r="G375" s="71"/>
      <c r="H375" s="71"/>
      <c r="I375" s="66"/>
      <c r="J375" s="68"/>
      <c r="K375" s="68"/>
      <c r="L375" s="68"/>
      <c r="M375" s="68"/>
      <c r="N375" s="67"/>
      <c r="O375" s="88"/>
      <c r="P375" s="88"/>
      <c r="Q375" s="90"/>
      <c r="R375" s="72"/>
      <c r="S375" s="72"/>
      <c r="T375" s="72"/>
      <c r="U375" s="72"/>
      <c r="V375" s="72"/>
      <c r="W375" s="72"/>
      <c r="X375" s="72"/>
      <c r="Y375" s="72"/>
    </row>
    <row r="376">
      <c r="A376" s="60"/>
      <c r="B376" s="61"/>
      <c r="C376" s="63"/>
      <c r="D376" s="79"/>
      <c r="E376" s="74" t="s">
        <v>56</v>
      </c>
      <c r="F376" s="63" t="s">
        <v>56</v>
      </c>
      <c r="G376" s="71"/>
      <c r="H376" s="71"/>
      <c r="I376" s="66"/>
      <c r="J376" s="68"/>
      <c r="K376" s="68"/>
      <c r="L376" s="68"/>
      <c r="M376" s="68"/>
      <c r="N376" s="67"/>
      <c r="O376" s="88"/>
      <c r="P376" s="88"/>
      <c r="Q376" s="90"/>
      <c r="R376" s="72"/>
      <c r="S376" s="72"/>
      <c r="T376" s="72"/>
      <c r="U376" s="72"/>
      <c r="V376" s="72"/>
      <c r="W376" s="72"/>
      <c r="X376" s="72"/>
      <c r="Y376" s="72"/>
    </row>
    <row r="377">
      <c r="A377" s="60"/>
      <c r="B377" s="61"/>
      <c r="C377" s="63"/>
      <c r="D377" s="79"/>
      <c r="E377" s="74" t="s">
        <v>56</v>
      </c>
      <c r="F377" s="63" t="s">
        <v>56</v>
      </c>
      <c r="G377" s="71"/>
      <c r="H377" s="71"/>
      <c r="I377" s="66"/>
      <c r="J377" s="68"/>
      <c r="K377" s="68"/>
      <c r="L377" s="68"/>
      <c r="M377" s="68"/>
      <c r="N377" s="67"/>
      <c r="O377" s="88"/>
      <c r="P377" s="88"/>
      <c r="Q377" s="90"/>
      <c r="R377" s="72"/>
      <c r="S377" s="72"/>
      <c r="T377" s="72"/>
      <c r="U377" s="72"/>
      <c r="V377" s="72"/>
      <c r="W377" s="72"/>
      <c r="X377" s="72"/>
      <c r="Y377" s="72"/>
    </row>
    <row r="378">
      <c r="A378" s="60"/>
      <c r="B378" s="61"/>
      <c r="C378" s="63"/>
      <c r="D378" s="79"/>
      <c r="E378" s="74" t="s">
        <v>56</v>
      </c>
      <c r="F378" s="63" t="s">
        <v>56</v>
      </c>
      <c r="G378" s="71"/>
      <c r="H378" s="71"/>
      <c r="I378" s="66"/>
      <c r="J378" s="68"/>
      <c r="K378" s="68"/>
      <c r="L378" s="68"/>
      <c r="M378" s="68"/>
      <c r="N378" s="67"/>
      <c r="O378" s="88"/>
      <c r="P378" s="88"/>
      <c r="Q378" s="90"/>
      <c r="R378" s="72"/>
      <c r="S378" s="72"/>
      <c r="T378" s="72"/>
      <c r="U378" s="72"/>
      <c r="V378" s="72"/>
      <c r="W378" s="72"/>
      <c r="X378" s="72"/>
      <c r="Y378" s="72"/>
    </row>
    <row r="379">
      <c r="A379" s="60"/>
      <c r="B379" s="61"/>
      <c r="C379" s="63"/>
      <c r="D379" s="79"/>
      <c r="E379" s="74" t="s">
        <v>56</v>
      </c>
      <c r="F379" s="63" t="s">
        <v>56</v>
      </c>
      <c r="G379" s="71"/>
      <c r="H379" s="71"/>
      <c r="I379" s="66"/>
      <c r="J379" s="68"/>
      <c r="K379" s="68"/>
      <c r="L379" s="68"/>
      <c r="M379" s="68"/>
      <c r="N379" s="67"/>
      <c r="O379" s="88"/>
      <c r="P379" s="88"/>
      <c r="Q379" s="90"/>
      <c r="R379" s="72"/>
      <c r="S379" s="72"/>
      <c r="T379" s="72"/>
      <c r="U379" s="72"/>
      <c r="V379" s="72"/>
      <c r="W379" s="72"/>
      <c r="X379" s="72"/>
      <c r="Y379" s="72"/>
    </row>
    <row r="380">
      <c r="A380" s="60"/>
      <c r="B380" s="61"/>
      <c r="C380" s="63"/>
      <c r="D380" s="79"/>
      <c r="E380" s="74" t="s">
        <v>56</v>
      </c>
      <c r="F380" s="63" t="s">
        <v>56</v>
      </c>
      <c r="G380" s="71"/>
      <c r="H380" s="71"/>
      <c r="I380" s="66"/>
      <c r="J380" s="68"/>
      <c r="K380" s="68"/>
      <c r="L380" s="68"/>
      <c r="M380" s="68"/>
      <c r="N380" s="67"/>
      <c r="O380" s="88"/>
      <c r="P380" s="88"/>
      <c r="Q380" s="90"/>
      <c r="R380" s="72"/>
      <c r="S380" s="72"/>
      <c r="T380" s="72"/>
      <c r="U380" s="72"/>
      <c r="V380" s="72"/>
      <c r="W380" s="72"/>
      <c r="X380" s="72"/>
      <c r="Y380" s="72"/>
    </row>
    <row r="381">
      <c r="A381" s="60"/>
      <c r="B381" s="61"/>
      <c r="C381" s="63"/>
      <c r="D381" s="79"/>
      <c r="E381" s="74" t="s">
        <v>56</v>
      </c>
      <c r="F381" s="63" t="s">
        <v>56</v>
      </c>
      <c r="G381" s="71"/>
      <c r="H381" s="71"/>
      <c r="I381" s="66"/>
      <c r="J381" s="68"/>
      <c r="K381" s="68"/>
      <c r="L381" s="68"/>
      <c r="M381" s="68"/>
      <c r="N381" s="67"/>
      <c r="O381" s="88"/>
      <c r="P381" s="88"/>
      <c r="Q381" s="90"/>
      <c r="R381" s="72"/>
      <c r="S381" s="72"/>
      <c r="T381" s="72"/>
      <c r="U381" s="72"/>
      <c r="V381" s="72"/>
      <c r="W381" s="72"/>
      <c r="X381" s="72"/>
      <c r="Y381" s="72"/>
    </row>
    <row r="382">
      <c r="A382" s="60"/>
      <c r="B382" s="61"/>
      <c r="C382" s="63"/>
      <c r="D382" s="79"/>
      <c r="E382" s="74" t="s">
        <v>56</v>
      </c>
      <c r="F382" s="63" t="s">
        <v>56</v>
      </c>
      <c r="G382" s="71"/>
      <c r="H382" s="71"/>
      <c r="I382" s="66"/>
      <c r="J382" s="68"/>
      <c r="K382" s="68"/>
      <c r="L382" s="68"/>
      <c r="M382" s="68"/>
      <c r="N382" s="67"/>
      <c r="O382" s="88"/>
      <c r="P382" s="88"/>
      <c r="Q382" s="90"/>
      <c r="R382" s="72"/>
      <c r="S382" s="72"/>
      <c r="T382" s="72"/>
      <c r="U382" s="72"/>
      <c r="V382" s="72"/>
      <c r="W382" s="72"/>
      <c r="X382" s="72"/>
      <c r="Y382" s="72"/>
    </row>
    <row r="383">
      <c r="A383" s="60"/>
      <c r="B383" s="61"/>
      <c r="C383" s="63"/>
      <c r="D383" s="79"/>
      <c r="E383" s="74" t="s">
        <v>56</v>
      </c>
      <c r="F383" s="63" t="s">
        <v>56</v>
      </c>
      <c r="G383" s="71"/>
      <c r="H383" s="71"/>
      <c r="I383" s="66"/>
      <c r="J383" s="68"/>
      <c r="K383" s="68"/>
      <c r="L383" s="68"/>
      <c r="M383" s="68"/>
      <c r="N383" s="67"/>
      <c r="O383" s="88"/>
      <c r="P383" s="88"/>
      <c r="Q383" s="90"/>
      <c r="R383" s="72"/>
      <c r="S383" s="72"/>
      <c r="T383" s="72"/>
      <c r="U383" s="72"/>
      <c r="V383" s="72"/>
      <c r="W383" s="72"/>
      <c r="X383" s="72"/>
      <c r="Y383" s="72"/>
    </row>
    <row r="384">
      <c r="A384" s="60"/>
      <c r="B384" s="61"/>
      <c r="C384" s="63"/>
      <c r="D384" s="79"/>
      <c r="E384" s="74" t="s">
        <v>56</v>
      </c>
      <c r="F384" s="63" t="s">
        <v>56</v>
      </c>
      <c r="G384" s="71"/>
      <c r="H384" s="71"/>
      <c r="I384" s="66"/>
      <c r="J384" s="68"/>
      <c r="K384" s="68"/>
      <c r="L384" s="68"/>
      <c r="M384" s="68"/>
      <c r="N384" s="67"/>
      <c r="O384" s="88"/>
      <c r="P384" s="88"/>
      <c r="Q384" s="90"/>
      <c r="R384" s="72"/>
      <c r="S384" s="72"/>
      <c r="T384" s="72"/>
      <c r="U384" s="72"/>
      <c r="V384" s="72"/>
      <c r="W384" s="72"/>
      <c r="X384" s="72"/>
      <c r="Y384" s="72"/>
    </row>
    <row r="385">
      <c r="A385" s="60"/>
      <c r="B385" s="61"/>
      <c r="C385" s="63"/>
      <c r="D385" s="79"/>
      <c r="E385" s="74" t="s">
        <v>56</v>
      </c>
      <c r="F385" s="63" t="s">
        <v>56</v>
      </c>
      <c r="G385" s="71"/>
      <c r="H385" s="71"/>
      <c r="I385" s="66"/>
      <c r="J385" s="68"/>
      <c r="K385" s="68"/>
      <c r="L385" s="68"/>
      <c r="M385" s="68"/>
      <c r="N385" s="67"/>
      <c r="O385" s="88"/>
      <c r="P385" s="88"/>
      <c r="Q385" s="90"/>
      <c r="R385" s="72"/>
      <c r="S385" s="72"/>
      <c r="T385" s="72"/>
      <c r="U385" s="72"/>
      <c r="V385" s="72"/>
      <c r="W385" s="72"/>
      <c r="X385" s="72"/>
      <c r="Y385" s="72"/>
    </row>
    <row r="386">
      <c r="A386" s="60"/>
      <c r="B386" s="61"/>
      <c r="C386" s="63"/>
      <c r="D386" s="79"/>
      <c r="E386" s="74" t="s">
        <v>56</v>
      </c>
      <c r="F386" s="63" t="s">
        <v>56</v>
      </c>
      <c r="G386" s="71"/>
      <c r="H386" s="71"/>
      <c r="I386" s="66"/>
      <c r="J386" s="68"/>
      <c r="K386" s="68"/>
      <c r="L386" s="68"/>
      <c r="M386" s="68"/>
      <c r="N386" s="67"/>
      <c r="O386" s="88"/>
      <c r="P386" s="88"/>
      <c r="Q386" s="90"/>
      <c r="R386" s="72"/>
      <c r="S386" s="72"/>
      <c r="T386" s="72"/>
      <c r="U386" s="72"/>
      <c r="V386" s="72"/>
      <c r="W386" s="72"/>
      <c r="X386" s="72"/>
      <c r="Y386" s="72"/>
    </row>
    <row r="387">
      <c r="A387" s="60"/>
      <c r="B387" s="61"/>
      <c r="C387" s="63"/>
      <c r="D387" s="79"/>
      <c r="E387" s="74" t="s">
        <v>56</v>
      </c>
      <c r="F387" s="63" t="s">
        <v>56</v>
      </c>
      <c r="G387" s="71"/>
      <c r="H387" s="71"/>
      <c r="I387" s="66"/>
      <c r="J387" s="68"/>
      <c r="K387" s="68"/>
      <c r="L387" s="68"/>
      <c r="M387" s="68"/>
      <c r="N387" s="67"/>
      <c r="O387" s="88"/>
      <c r="P387" s="88"/>
      <c r="Q387" s="90"/>
      <c r="R387" s="72"/>
      <c r="S387" s="72"/>
      <c r="T387" s="72"/>
      <c r="U387" s="72"/>
      <c r="V387" s="72"/>
      <c r="W387" s="72"/>
      <c r="X387" s="72"/>
      <c r="Y387" s="72"/>
    </row>
    <row r="388">
      <c r="A388" s="60"/>
      <c r="B388" s="61"/>
      <c r="C388" s="63"/>
      <c r="D388" s="79"/>
      <c r="E388" s="74" t="s">
        <v>56</v>
      </c>
      <c r="F388" s="63" t="s">
        <v>56</v>
      </c>
      <c r="G388" s="71"/>
      <c r="H388" s="71"/>
      <c r="I388" s="66"/>
      <c r="J388" s="68"/>
      <c r="K388" s="68"/>
      <c r="L388" s="68"/>
      <c r="M388" s="68"/>
      <c r="N388" s="67"/>
      <c r="O388" s="88"/>
      <c r="P388" s="88"/>
      <c r="Q388" s="90"/>
      <c r="R388" s="72"/>
      <c r="S388" s="72"/>
      <c r="T388" s="72"/>
      <c r="U388" s="72"/>
      <c r="V388" s="72"/>
      <c r="W388" s="72"/>
      <c r="X388" s="72"/>
      <c r="Y388" s="72"/>
    </row>
    <row r="389">
      <c r="A389" s="60"/>
      <c r="B389" s="61"/>
      <c r="C389" s="63"/>
      <c r="D389" s="79"/>
      <c r="E389" s="74" t="s">
        <v>56</v>
      </c>
      <c r="F389" s="63" t="s">
        <v>56</v>
      </c>
      <c r="G389" s="71"/>
      <c r="H389" s="71"/>
      <c r="I389" s="66"/>
      <c r="J389" s="68"/>
      <c r="K389" s="68"/>
      <c r="L389" s="68"/>
      <c r="M389" s="68"/>
      <c r="N389" s="67"/>
      <c r="O389" s="88"/>
      <c r="P389" s="88"/>
      <c r="Q389" s="90"/>
      <c r="R389" s="72"/>
      <c r="S389" s="72"/>
      <c r="T389" s="72"/>
      <c r="U389" s="72"/>
      <c r="V389" s="72"/>
      <c r="W389" s="72"/>
      <c r="X389" s="72"/>
      <c r="Y389" s="72"/>
    </row>
    <row r="390">
      <c r="A390" s="60"/>
      <c r="B390" s="61"/>
      <c r="C390" s="63"/>
      <c r="D390" s="79"/>
      <c r="E390" s="74" t="s">
        <v>56</v>
      </c>
      <c r="F390" s="63" t="s">
        <v>56</v>
      </c>
      <c r="G390" s="71"/>
      <c r="H390" s="71"/>
      <c r="I390" s="66"/>
      <c r="J390" s="68"/>
      <c r="K390" s="68"/>
      <c r="L390" s="68"/>
      <c r="M390" s="68"/>
      <c r="N390" s="67"/>
      <c r="O390" s="88"/>
      <c r="P390" s="88"/>
      <c r="Q390" s="90"/>
      <c r="R390" s="72"/>
      <c r="S390" s="72"/>
      <c r="T390" s="72"/>
      <c r="U390" s="72"/>
      <c r="V390" s="72"/>
      <c r="W390" s="72"/>
      <c r="X390" s="72"/>
      <c r="Y390" s="72"/>
    </row>
    <row r="391">
      <c r="A391" s="60"/>
      <c r="B391" s="61"/>
      <c r="C391" s="63"/>
      <c r="D391" s="79"/>
      <c r="E391" s="74" t="s">
        <v>56</v>
      </c>
      <c r="F391" s="63" t="s">
        <v>56</v>
      </c>
      <c r="G391" s="71"/>
      <c r="H391" s="71"/>
      <c r="I391" s="66"/>
      <c r="J391" s="68"/>
      <c r="K391" s="68"/>
      <c r="L391" s="68"/>
      <c r="M391" s="68"/>
      <c r="N391" s="67"/>
      <c r="O391" s="88"/>
      <c r="P391" s="88"/>
      <c r="Q391" s="90"/>
      <c r="R391" s="72"/>
      <c r="S391" s="72"/>
      <c r="T391" s="72"/>
      <c r="U391" s="72"/>
      <c r="V391" s="72"/>
      <c r="W391" s="72"/>
      <c r="X391" s="72"/>
      <c r="Y391" s="72"/>
    </row>
    <row r="392">
      <c r="A392" s="60"/>
      <c r="B392" s="61"/>
      <c r="C392" s="63"/>
      <c r="D392" s="79"/>
      <c r="E392" s="74" t="s">
        <v>56</v>
      </c>
      <c r="F392" s="63" t="s">
        <v>56</v>
      </c>
      <c r="G392" s="71"/>
      <c r="H392" s="71"/>
      <c r="I392" s="66"/>
      <c r="J392" s="68"/>
      <c r="K392" s="68"/>
      <c r="L392" s="68"/>
      <c r="M392" s="68"/>
      <c r="N392" s="67"/>
      <c r="O392" s="88"/>
      <c r="P392" s="88"/>
      <c r="Q392" s="90"/>
      <c r="R392" s="72"/>
      <c r="S392" s="72"/>
      <c r="T392" s="72"/>
      <c r="U392" s="72"/>
      <c r="V392" s="72"/>
      <c r="W392" s="72"/>
      <c r="X392" s="72"/>
      <c r="Y392" s="72"/>
    </row>
    <row r="393">
      <c r="A393" s="60"/>
      <c r="B393" s="61"/>
      <c r="C393" s="63"/>
      <c r="D393" s="79"/>
      <c r="E393" s="74" t="s">
        <v>56</v>
      </c>
      <c r="F393" s="63" t="s">
        <v>56</v>
      </c>
      <c r="G393" s="71"/>
      <c r="H393" s="71"/>
      <c r="I393" s="66"/>
      <c r="J393" s="68"/>
      <c r="K393" s="68"/>
      <c r="L393" s="68"/>
      <c r="M393" s="68"/>
      <c r="N393" s="67"/>
      <c r="O393" s="88"/>
      <c r="P393" s="88"/>
      <c r="Q393" s="90"/>
      <c r="R393" s="72"/>
      <c r="S393" s="72"/>
      <c r="T393" s="72"/>
      <c r="U393" s="72"/>
      <c r="V393" s="72"/>
      <c r="W393" s="72"/>
      <c r="X393" s="72"/>
      <c r="Y393" s="72"/>
    </row>
    <row r="394">
      <c r="A394" s="60"/>
      <c r="B394" s="61"/>
      <c r="C394" s="63"/>
      <c r="D394" s="79"/>
      <c r="E394" s="74" t="s">
        <v>56</v>
      </c>
      <c r="F394" s="63" t="s">
        <v>56</v>
      </c>
      <c r="G394" s="71"/>
      <c r="H394" s="71"/>
      <c r="I394" s="66"/>
      <c r="J394" s="68"/>
      <c r="K394" s="68"/>
      <c r="L394" s="68"/>
      <c r="M394" s="68"/>
      <c r="N394" s="67"/>
      <c r="O394" s="88"/>
      <c r="P394" s="88"/>
      <c r="Q394" s="90"/>
      <c r="R394" s="72"/>
      <c r="S394" s="72"/>
      <c r="T394" s="72"/>
      <c r="U394" s="72"/>
      <c r="V394" s="72"/>
      <c r="W394" s="72"/>
      <c r="X394" s="72"/>
      <c r="Y394" s="72"/>
    </row>
    <row r="395">
      <c r="A395" s="60"/>
      <c r="B395" s="61"/>
      <c r="C395" s="63"/>
      <c r="D395" s="79"/>
      <c r="E395" s="74" t="s">
        <v>56</v>
      </c>
      <c r="F395" s="63" t="s">
        <v>56</v>
      </c>
      <c r="G395" s="71"/>
      <c r="H395" s="71"/>
      <c r="I395" s="66"/>
      <c r="J395" s="68"/>
      <c r="K395" s="68"/>
      <c r="L395" s="68"/>
      <c r="M395" s="68"/>
      <c r="N395" s="67"/>
      <c r="O395" s="88"/>
      <c r="P395" s="88"/>
      <c r="Q395" s="90"/>
      <c r="R395" s="72"/>
      <c r="S395" s="72"/>
      <c r="T395" s="72"/>
      <c r="U395" s="72"/>
      <c r="V395" s="72"/>
      <c r="W395" s="72"/>
      <c r="X395" s="72"/>
      <c r="Y395" s="72"/>
    </row>
    <row r="396">
      <c r="A396" s="60"/>
      <c r="B396" s="61"/>
      <c r="C396" s="63"/>
      <c r="D396" s="79"/>
      <c r="E396" s="74" t="s">
        <v>56</v>
      </c>
      <c r="F396" s="63" t="s">
        <v>56</v>
      </c>
      <c r="G396" s="71"/>
      <c r="H396" s="71"/>
      <c r="I396" s="66"/>
      <c r="J396" s="68"/>
      <c r="K396" s="68"/>
      <c r="L396" s="68"/>
      <c r="M396" s="68"/>
      <c r="N396" s="67"/>
      <c r="O396" s="88"/>
      <c r="P396" s="88"/>
      <c r="Q396" s="90"/>
      <c r="R396" s="72"/>
      <c r="S396" s="72"/>
      <c r="T396" s="72"/>
      <c r="U396" s="72"/>
      <c r="V396" s="72"/>
      <c r="W396" s="72"/>
      <c r="X396" s="72"/>
      <c r="Y396" s="72"/>
    </row>
    <row r="397">
      <c r="A397" s="60"/>
      <c r="B397" s="61"/>
      <c r="C397" s="63"/>
      <c r="D397" s="79"/>
      <c r="E397" s="74" t="s">
        <v>56</v>
      </c>
      <c r="F397" s="63" t="s">
        <v>56</v>
      </c>
      <c r="G397" s="71"/>
      <c r="H397" s="71"/>
      <c r="I397" s="66"/>
      <c r="J397" s="68"/>
      <c r="K397" s="68"/>
      <c r="L397" s="68"/>
      <c r="M397" s="68"/>
      <c r="N397" s="67"/>
      <c r="O397" s="88"/>
      <c r="P397" s="88"/>
      <c r="Q397" s="90"/>
      <c r="R397" s="72"/>
      <c r="S397" s="72"/>
      <c r="T397" s="72"/>
      <c r="U397" s="72"/>
      <c r="V397" s="72"/>
      <c r="W397" s="72"/>
      <c r="X397" s="72"/>
      <c r="Y397" s="72"/>
    </row>
    <row r="398">
      <c r="A398" s="60"/>
      <c r="B398" s="61"/>
      <c r="C398" s="63"/>
      <c r="D398" s="79"/>
      <c r="E398" s="74" t="s">
        <v>56</v>
      </c>
      <c r="F398" s="63" t="s">
        <v>56</v>
      </c>
      <c r="G398" s="71"/>
      <c r="H398" s="71"/>
      <c r="I398" s="66"/>
      <c r="J398" s="68"/>
      <c r="K398" s="68"/>
      <c r="L398" s="68"/>
      <c r="M398" s="68"/>
      <c r="N398" s="67"/>
      <c r="O398" s="88"/>
      <c r="P398" s="88"/>
      <c r="Q398" s="90"/>
      <c r="R398" s="72"/>
      <c r="S398" s="72"/>
      <c r="T398" s="72"/>
      <c r="U398" s="72"/>
      <c r="V398" s="72"/>
      <c r="W398" s="72"/>
      <c r="X398" s="72"/>
      <c r="Y398" s="72"/>
    </row>
    <row r="399">
      <c r="A399" s="60"/>
      <c r="B399" s="61"/>
      <c r="C399" s="63"/>
      <c r="D399" s="79"/>
      <c r="E399" s="74" t="s">
        <v>56</v>
      </c>
      <c r="F399" s="63" t="s">
        <v>56</v>
      </c>
      <c r="G399" s="71"/>
      <c r="H399" s="71"/>
      <c r="I399" s="66"/>
      <c r="J399" s="68"/>
      <c r="K399" s="68"/>
      <c r="L399" s="68"/>
      <c r="M399" s="68"/>
      <c r="N399" s="67"/>
      <c r="O399" s="88"/>
      <c r="P399" s="88"/>
      <c r="Q399" s="90"/>
      <c r="R399" s="72"/>
      <c r="S399" s="72"/>
      <c r="T399" s="72"/>
      <c r="U399" s="72"/>
      <c r="V399" s="72"/>
      <c r="W399" s="72"/>
      <c r="X399" s="72"/>
      <c r="Y399" s="72"/>
    </row>
    <row r="400">
      <c r="A400" s="60"/>
      <c r="B400" s="61"/>
      <c r="C400" s="63"/>
      <c r="D400" s="79"/>
      <c r="E400" s="74" t="s">
        <v>56</v>
      </c>
      <c r="F400" s="63" t="s">
        <v>56</v>
      </c>
      <c r="G400" s="71"/>
      <c r="H400" s="71"/>
      <c r="I400" s="66"/>
      <c r="J400" s="68"/>
      <c r="K400" s="68"/>
      <c r="L400" s="68"/>
      <c r="M400" s="68"/>
      <c r="N400" s="67"/>
      <c r="O400" s="88"/>
      <c r="P400" s="88"/>
      <c r="Q400" s="90"/>
      <c r="R400" s="72"/>
      <c r="S400" s="72"/>
      <c r="T400" s="72"/>
      <c r="U400" s="72"/>
      <c r="V400" s="72"/>
      <c r="W400" s="72"/>
      <c r="X400" s="72"/>
      <c r="Y400" s="72"/>
    </row>
    <row r="401">
      <c r="A401" s="60"/>
      <c r="B401" s="61"/>
      <c r="C401" s="63"/>
      <c r="D401" s="79"/>
      <c r="E401" s="74" t="s">
        <v>56</v>
      </c>
      <c r="F401" s="63" t="s">
        <v>56</v>
      </c>
      <c r="G401" s="71"/>
      <c r="H401" s="71"/>
      <c r="I401" s="66"/>
      <c r="J401" s="68"/>
      <c r="K401" s="68"/>
      <c r="L401" s="68"/>
      <c r="M401" s="68"/>
      <c r="N401" s="67"/>
      <c r="O401" s="88"/>
      <c r="P401" s="88"/>
      <c r="Q401" s="90"/>
      <c r="R401" s="72"/>
      <c r="S401" s="72"/>
      <c r="T401" s="72"/>
      <c r="U401" s="72"/>
      <c r="V401" s="72"/>
      <c r="W401" s="72"/>
      <c r="X401" s="72"/>
      <c r="Y401" s="72"/>
    </row>
    <row r="402">
      <c r="A402" s="60"/>
      <c r="B402" s="61"/>
      <c r="C402" s="63"/>
      <c r="D402" s="79"/>
      <c r="E402" s="74" t="s">
        <v>56</v>
      </c>
      <c r="F402" s="63" t="s">
        <v>56</v>
      </c>
      <c r="G402" s="71"/>
      <c r="H402" s="71"/>
      <c r="I402" s="66"/>
      <c r="J402" s="68"/>
      <c r="K402" s="68"/>
      <c r="L402" s="68"/>
      <c r="M402" s="68"/>
      <c r="N402" s="67"/>
      <c r="O402" s="88"/>
      <c r="P402" s="88"/>
      <c r="Q402" s="90"/>
      <c r="R402" s="72"/>
      <c r="S402" s="72"/>
      <c r="T402" s="72"/>
      <c r="U402" s="72"/>
      <c r="V402" s="72"/>
      <c r="W402" s="72"/>
      <c r="X402" s="72"/>
      <c r="Y402" s="72"/>
    </row>
    <row r="403">
      <c r="A403" s="60"/>
      <c r="B403" s="61"/>
      <c r="C403" s="63"/>
      <c r="D403" s="79"/>
      <c r="E403" s="74" t="s">
        <v>56</v>
      </c>
      <c r="F403" s="63" t="s">
        <v>56</v>
      </c>
      <c r="G403" s="71"/>
      <c r="H403" s="71"/>
      <c r="I403" s="66"/>
      <c r="J403" s="68"/>
      <c r="K403" s="68"/>
      <c r="L403" s="68"/>
      <c r="M403" s="68"/>
      <c r="N403" s="67"/>
      <c r="O403" s="88"/>
      <c r="P403" s="88"/>
      <c r="Q403" s="90"/>
      <c r="R403" s="72"/>
      <c r="S403" s="72"/>
      <c r="T403" s="72"/>
      <c r="U403" s="72"/>
      <c r="V403" s="72"/>
      <c r="W403" s="72"/>
      <c r="X403" s="72"/>
      <c r="Y403" s="72"/>
    </row>
    <row r="404">
      <c r="A404" s="60"/>
      <c r="B404" s="61"/>
      <c r="C404" s="63"/>
      <c r="D404" s="79"/>
      <c r="E404" s="74" t="s">
        <v>56</v>
      </c>
      <c r="F404" s="63" t="s">
        <v>56</v>
      </c>
      <c r="G404" s="71"/>
      <c r="H404" s="71"/>
      <c r="I404" s="66"/>
      <c r="J404" s="68"/>
      <c r="K404" s="68"/>
      <c r="L404" s="68"/>
      <c r="M404" s="68"/>
      <c r="N404" s="67"/>
      <c r="O404" s="88"/>
      <c r="P404" s="88"/>
      <c r="Q404" s="90"/>
      <c r="R404" s="72"/>
      <c r="S404" s="72"/>
      <c r="T404" s="72"/>
      <c r="U404" s="72"/>
      <c r="V404" s="72"/>
      <c r="W404" s="72"/>
      <c r="X404" s="72"/>
      <c r="Y404" s="72"/>
    </row>
    <row r="405">
      <c r="A405" s="60"/>
      <c r="B405" s="61"/>
      <c r="C405" s="63"/>
      <c r="D405" s="79"/>
      <c r="E405" s="74" t="s">
        <v>56</v>
      </c>
      <c r="F405" s="63" t="s">
        <v>56</v>
      </c>
      <c r="G405" s="71"/>
      <c r="H405" s="71"/>
      <c r="I405" s="66"/>
      <c r="J405" s="68"/>
      <c r="K405" s="68"/>
      <c r="L405" s="68"/>
      <c r="M405" s="68"/>
      <c r="N405" s="67"/>
      <c r="O405" s="88"/>
      <c r="P405" s="88"/>
      <c r="Q405" s="90"/>
      <c r="R405" s="72"/>
      <c r="S405" s="72"/>
      <c r="T405" s="72"/>
      <c r="U405" s="72"/>
      <c r="V405" s="72"/>
      <c r="W405" s="72"/>
      <c r="X405" s="72"/>
      <c r="Y405" s="72"/>
    </row>
    <row r="406">
      <c r="A406" s="60"/>
      <c r="B406" s="61"/>
      <c r="C406" s="63"/>
      <c r="D406" s="79"/>
      <c r="E406" s="74" t="s">
        <v>56</v>
      </c>
      <c r="F406" s="63" t="s">
        <v>56</v>
      </c>
      <c r="G406" s="71"/>
      <c r="H406" s="71"/>
      <c r="I406" s="66"/>
      <c r="J406" s="68"/>
      <c r="K406" s="68"/>
      <c r="L406" s="68"/>
      <c r="M406" s="68"/>
      <c r="N406" s="67"/>
      <c r="O406" s="88"/>
      <c r="P406" s="88"/>
      <c r="Q406" s="90"/>
      <c r="R406" s="72"/>
      <c r="S406" s="72"/>
      <c r="T406" s="72"/>
      <c r="U406" s="72"/>
      <c r="V406" s="72"/>
      <c r="W406" s="72"/>
      <c r="X406" s="72"/>
      <c r="Y406" s="72"/>
    </row>
    <row r="407">
      <c r="A407" s="60"/>
      <c r="B407" s="61"/>
      <c r="C407" s="63"/>
      <c r="D407" s="79"/>
      <c r="E407" s="74" t="s">
        <v>56</v>
      </c>
      <c r="F407" s="63" t="s">
        <v>56</v>
      </c>
      <c r="G407" s="71"/>
      <c r="H407" s="71"/>
      <c r="I407" s="66"/>
      <c r="J407" s="68"/>
      <c r="K407" s="68"/>
      <c r="L407" s="68"/>
      <c r="M407" s="68"/>
      <c r="N407" s="67"/>
      <c r="O407" s="88"/>
      <c r="P407" s="88"/>
      <c r="Q407" s="90"/>
      <c r="R407" s="72"/>
      <c r="S407" s="72"/>
      <c r="T407" s="72"/>
      <c r="U407" s="72"/>
      <c r="V407" s="72"/>
      <c r="W407" s="72"/>
      <c r="X407" s="72"/>
      <c r="Y407" s="72"/>
    </row>
    <row r="408">
      <c r="A408" s="60"/>
      <c r="B408" s="61"/>
      <c r="C408" s="63"/>
      <c r="D408" s="79"/>
      <c r="E408" s="74" t="s">
        <v>56</v>
      </c>
      <c r="F408" s="63" t="s">
        <v>56</v>
      </c>
      <c r="G408" s="71"/>
      <c r="H408" s="71"/>
      <c r="I408" s="66"/>
      <c r="J408" s="68"/>
      <c r="K408" s="68"/>
      <c r="L408" s="68"/>
      <c r="M408" s="68"/>
      <c r="N408" s="67"/>
      <c r="O408" s="88"/>
      <c r="P408" s="88"/>
      <c r="Q408" s="90"/>
      <c r="R408" s="72"/>
      <c r="S408" s="72"/>
      <c r="T408" s="72"/>
      <c r="U408" s="72"/>
      <c r="V408" s="72"/>
      <c r="W408" s="72"/>
      <c r="X408" s="72"/>
      <c r="Y408" s="72"/>
    </row>
    <row r="409">
      <c r="A409" s="60"/>
      <c r="B409" s="61"/>
      <c r="C409" s="63"/>
      <c r="D409" s="79"/>
      <c r="E409" s="74" t="s">
        <v>56</v>
      </c>
      <c r="F409" s="63" t="s">
        <v>56</v>
      </c>
      <c r="G409" s="71"/>
      <c r="H409" s="71"/>
      <c r="I409" s="66"/>
      <c r="J409" s="68"/>
      <c r="K409" s="68"/>
      <c r="L409" s="68"/>
      <c r="M409" s="68"/>
      <c r="N409" s="67"/>
      <c r="O409" s="88"/>
      <c r="P409" s="88"/>
      <c r="Q409" s="90"/>
      <c r="R409" s="72"/>
      <c r="S409" s="72"/>
      <c r="T409" s="72"/>
      <c r="U409" s="72"/>
      <c r="V409" s="72"/>
      <c r="W409" s="72"/>
      <c r="X409" s="72"/>
      <c r="Y409" s="72"/>
    </row>
    <row r="410">
      <c r="A410" s="60"/>
      <c r="B410" s="61"/>
      <c r="C410" s="63"/>
      <c r="D410" s="79"/>
      <c r="E410" s="74" t="s">
        <v>56</v>
      </c>
      <c r="F410" s="63" t="s">
        <v>56</v>
      </c>
      <c r="G410" s="71"/>
      <c r="H410" s="71"/>
      <c r="I410" s="66"/>
      <c r="J410" s="68"/>
      <c r="K410" s="68"/>
      <c r="L410" s="68"/>
      <c r="M410" s="68"/>
      <c r="N410" s="67"/>
      <c r="O410" s="88"/>
      <c r="P410" s="88"/>
      <c r="Q410" s="90"/>
      <c r="R410" s="72"/>
      <c r="S410" s="72"/>
      <c r="T410" s="72"/>
      <c r="U410" s="72"/>
      <c r="V410" s="72"/>
      <c r="W410" s="72"/>
      <c r="X410" s="72"/>
      <c r="Y410" s="72"/>
    </row>
    <row r="411">
      <c r="A411" s="60"/>
      <c r="B411" s="61"/>
      <c r="C411" s="63"/>
      <c r="D411" s="79"/>
      <c r="E411" s="74" t="s">
        <v>56</v>
      </c>
      <c r="F411" s="63" t="s">
        <v>56</v>
      </c>
      <c r="G411" s="71"/>
      <c r="H411" s="71"/>
      <c r="I411" s="66"/>
      <c r="J411" s="68"/>
      <c r="K411" s="68"/>
      <c r="L411" s="68"/>
      <c r="M411" s="68"/>
      <c r="N411" s="67"/>
      <c r="O411" s="88"/>
      <c r="P411" s="88"/>
      <c r="Q411" s="90"/>
      <c r="R411" s="72"/>
      <c r="S411" s="72"/>
      <c r="T411" s="72"/>
      <c r="U411" s="72"/>
      <c r="V411" s="72"/>
      <c r="W411" s="72"/>
      <c r="X411" s="72"/>
      <c r="Y411" s="72"/>
    </row>
    <row r="412">
      <c r="A412" s="60"/>
      <c r="B412" s="61"/>
      <c r="C412" s="63"/>
      <c r="D412" s="79"/>
      <c r="E412" s="74" t="s">
        <v>56</v>
      </c>
      <c r="F412" s="63" t="s">
        <v>56</v>
      </c>
      <c r="G412" s="71"/>
      <c r="H412" s="71"/>
      <c r="I412" s="66"/>
      <c r="J412" s="68"/>
      <c r="K412" s="68"/>
      <c r="L412" s="68"/>
      <c r="M412" s="68"/>
      <c r="N412" s="67"/>
      <c r="O412" s="88"/>
      <c r="P412" s="88"/>
      <c r="Q412" s="90"/>
      <c r="R412" s="72"/>
      <c r="S412" s="72"/>
      <c r="T412" s="72"/>
      <c r="U412" s="72"/>
      <c r="V412" s="72"/>
      <c r="W412" s="72"/>
      <c r="X412" s="72"/>
      <c r="Y412" s="72"/>
    </row>
    <row r="413">
      <c r="A413" s="60"/>
      <c r="B413" s="61"/>
      <c r="C413" s="63"/>
      <c r="D413" s="79"/>
      <c r="E413" s="74" t="s">
        <v>56</v>
      </c>
      <c r="F413" s="63" t="s">
        <v>56</v>
      </c>
      <c r="G413" s="71"/>
      <c r="H413" s="71"/>
      <c r="I413" s="66"/>
      <c r="J413" s="68"/>
      <c r="K413" s="68"/>
      <c r="L413" s="68"/>
      <c r="M413" s="68"/>
      <c r="N413" s="67"/>
      <c r="O413" s="88"/>
      <c r="P413" s="88"/>
      <c r="Q413" s="90"/>
      <c r="R413" s="72"/>
      <c r="S413" s="72"/>
      <c r="T413" s="72"/>
      <c r="U413" s="72"/>
      <c r="V413" s="72"/>
      <c r="W413" s="72"/>
      <c r="X413" s="72"/>
      <c r="Y413" s="72"/>
    </row>
    <row r="414">
      <c r="A414" s="60"/>
      <c r="B414" s="61"/>
      <c r="C414" s="63"/>
      <c r="D414" s="79"/>
      <c r="E414" s="74" t="s">
        <v>56</v>
      </c>
      <c r="F414" s="63" t="s">
        <v>56</v>
      </c>
      <c r="G414" s="71"/>
      <c r="H414" s="71"/>
      <c r="I414" s="66"/>
      <c r="J414" s="68"/>
      <c r="K414" s="68"/>
      <c r="L414" s="68"/>
      <c r="M414" s="68"/>
      <c r="N414" s="67"/>
      <c r="O414" s="88"/>
      <c r="P414" s="88"/>
      <c r="Q414" s="90"/>
      <c r="R414" s="72"/>
      <c r="S414" s="72"/>
      <c r="T414" s="72"/>
      <c r="U414" s="72"/>
      <c r="V414" s="72"/>
      <c r="W414" s="72"/>
      <c r="X414" s="72"/>
      <c r="Y414" s="72"/>
    </row>
    <row r="415">
      <c r="A415" s="60"/>
      <c r="B415" s="61"/>
      <c r="C415" s="63"/>
      <c r="D415" s="79"/>
      <c r="E415" s="74" t="s">
        <v>56</v>
      </c>
      <c r="F415" s="63" t="s">
        <v>56</v>
      </c>
      <c r="G415" s="71"/>
      <c r="H415" s="71"/>
      <c r="I415" s="66"/>
      <c r="J415" s="68"/>
      <c r="K415" s="68"/>
      <c r="L415" s="68"/>
      <c r="M415" s="68"/>
      <c r="N415" s="67"/>
      <c r="O415" s="88"/>
      <c r="P415" s="88"/>
      <c r="Q415" s="90"/>
      <c r="R415" s="72"/>
      <c r="S415" s="72"/>
      <c r="T415" s="72"/>
      <c r="U415" s="72"/>
      <c r="V415" s="72"/>
      <c r="W415" s="72"/>
      <c r="X415" s="72"/>
      <c r="Y415" s="72"/>
    </row>
    <row r="416">
      <c r="A416" s="60"/>
      <c r="B416" s="61"/>
      <c r="C416" s="63"/>
      <c r="D416" s="79"/>
      <c r="E416" s="74" t="s">
        <v>56</v>
      </c>
      <c r="F416" s="63" t="s">
        <v>56</v>
      </c>
      <c r="G416" s="71"/>
      <c r="H416" s="71"/>
      <c r="I416" s="66"/>
      <c r="J416" s="68"/>
      <c r="K416" s="68"/>
      <c r="L416" s="68"/>
      <c r="M416" s="68"/>
      <c r="N416" s="67"/>
      <c r="O416" s="88"/>
      <c r="P416" s="88"/>
      <c r="Q416" s="90"/>
      <c r="R416" s="72"/>
      <c r="S416" s="72"/>
      <c r="T416" s="72"/>
      <c r="U416" s="72"/>
      <c r="V416" s="72"/>
      <c r="W416" s="72"/>
      <c r="X416" s="72"/>
      <c r="Y416" s="72"/>
    </row>
    <row r="417">
      <c r="A417" s="60"/>
      <c r="B417" s="61"/>
      <c r="C417" s="63"/>
      <c r="D417" s="79"/>
      <c r="E417" s="74" t="s">
        <v>56</v>
      </c>
      <c r="F417" s="63" t="s">
        <v>56</v>
      </c>
      <c r="G417" s="71"/>
      <c r="H417" s="71"/>
      <c r="I417" s="66"/>
      <c r="J417" s="68"/>
      <c r="K417" s="68"/>
      <c r="L417" s="68"/>
      <c r="M417" s="68"/>
      <c r="N417" s="67"/>
      <c r="O417" s="88"/>
      <c r="P417" s="88"/>
      <c r="Q417" s="90"/>
      <c r="R417" s="72"/>
      <c r="S417" s="72"/>
      <c r="T417" s="72"/>
      <c r="U417" s="72"/>
      <c r="V417" s="72"/>
      <c r="W417" s="72"/>
      <c r="X417" s="72"/>
      <c r="Y417" s="72"/>
    </row>
    <row r="418">
      <c r="A418" s="60"/>
      <c r="B418" s="61"/>
      <c r="C418" s="63"/>
      <c r="D418" s="79"/>
      <c r="E418" s="74" t="s">
        <v>56</v>
      </c>
      <c r="F418" s="63" t="s">
        <v>56</v>
      </c>
      <c r="G418" s="71"/>
      <c r="H418" s="71"/>
      <c r="I418" s="66"/>
      <c r="J418" s="68"/>
      <c r="K418" s="68"/>
      <c r="L418" s="68"/>
      <c r="M418" s="68"/>
      <c r="N418" s="67"/>
      <c r="O418" s="88"/>
      <c r="P418" s="88"/>
      <c r="Q418" s="90"/>
      <c r="R418" s="72"/>
      <c r="S418" s="72"/>
      <c r="T418" s="72"/>
      <c r="U418" s="72"/>
      <c r="V418" s="72"/>
      <c r="W418" s="72"/>
      <c r="X418" s="72"/>
      <c r="Y418" s="72"/>
    </row>
    <row r="419">
      <c r="A419" s="60"/>
      <c r="B419" s="61"/>
      <c r="C419" s="63"/>
      <c r="D419" s="79"/>
      <c r="E419" s="74" t="s">
        <v>56</v>
      </c>
      <c r="F419" s="63" t="s">
        <v>56</v>
      </c>
      <c r="G419" s="71"/>
      <c r="H419" s="71"/>
      <c r="I419" s="66"/>
      <c r="J419" s="68"/>
      <c r="K419" s="68"/>
      <c r="L419" s="68"/>
      <c r="M419" s="68"/>
      <c r="N419" s="67"/>
      <c r="O419" s="88"/>
      <c r="P419" s="88"/>
      <c r="Q419" s="90"/>
      <c r="R419" s="72"/>
      <c r="S419" s="72"/>
      <c r="T419" s="72"/>
      <c r="U419" s="72"/>
      <c r="V419" s="72"/>
      <c r="W419" s="72"/>
      <c r="X419" s="72"/>
      <c r="Y419" s="72"/>
    </row>
    <row r="420">
      <c r="A420" s="60"/>
      <c r="B420" s="61"/>
      <c r="C420" s="63"/>
      <c r="D420" s="79"/>
      <c r="E420" s="74" t="s">
        <v>56</v>
      </c>
      <c r="F420" s="63" t="s">
        <v>56</v>
      </c>
      <c r="G420" s="71"/>
      <c r="H420" s="71"/>
      <c r="I420" s="66"/>
      <c r="J420" s="68"/>
      <c r="K420" s="68"/>
      <c r="L420" s="68"/>
      <c r="M420" s="68"/>
      <c r="N420" s="67"/>
      <c r="O420" s="88"/>
      <c r="P420" s="88"/>
      <c r="Q420" s="90"/>
      <c r="R420" s="72"/>
      <c r="S420" s="72"/>
      <c r="T420" s="72"/>
      <c r="U420" s="72"/>
      <c r="V420" s="72"/>
      <c r="W420" s="72"/>
      <c r="X420" s="72"/>
      <c r="Y420" s="72"/>
    </row>
    <row r="421">
      <c r="A421" s="60"/>
      <c r="B421" s="61"/>
      <c r="C421" s="63"/>
      <c r="D421" s="79"/>
      <c r="E421" s="74" t="s">
        <v>56</v>
      </c>
      <c r="F421" s="63" t="s">
        <v>56</v>
      </c>
      <c r="G421" s="71"/>
      <c r="H421" s="71"/>
      <c r="I421" s="66"/>
      <c r="J421" s="68"/>
      <c r="K421" s="68"/>
      <c r="L421" s="68"/>
      <c r="M421" s="68"/>
      <c r="N421" s="67"/>
      <c r="O421" s="88"/>
      <c r="P421" s="88"/>
      <c r="Q421" s="90"/>
      <c r="R421" s="72"/>
      <c r="S421" s="72"/>
      <c r="T421" s="72"/>
      <c r="U421" s="72"/>
      <c r="V421" s="72"/>
      <c r="W421" s="72"/>
      <c r="X421" s="72"/>
      <c r="Y421" s="72"/>
    </row>
    <row r="422">
      <c r="A422" s="60"/>
      <c r="B422" s="61"/>
      <c r="C422" s="63"/>
      <c r="D422" s="79"/>
      <c r="E422" s="74" t="s">
        <v>56</v>
      </c>
      <c r="F422" s="63" t="s">
        <v>56</v>
      </c>
      <c r="G422" s="71"/>
      <c r="H422" s="71"/>
      <c r="I422" s="66"/>
      <c r="J422" s="68"/>
      <c r="K422" s="68"/>
      <c r="L422" s="68"/>
      <c r="M422" s="68"/>
      <c r="N422" s="67"/>
      <c r="O422" s="88"/>
      <c r="P422" s="88"/>
      <c r="Q422" s="90"/>
      <c r="R422" s="72"/>
      <c r="S422" s="72"/>
      <c r="T422" s="72"/>
      <c r="U422" s="72"/>
      <c r="V422" s="72"/>
      <c r="W422" s="72"/>
      <c r="X422" s="72"/>
      <c r="Y422" s="72"/>
    </row>
    <row r="423">
      <c r="A423" s="60"/>
      <c r="B423" s="61"/>
      <c r="C423" s="63"/>
      <c r="D423" s="79"/>
      <c r="E423" s="74" t="s">
        <v>56</v>
      </c>
      <c r="F423" s="63" t="s">
        <v>56</v>
      </c>
      <c r="G423" s="71"/>
      <c r="H423" s="71"/>
      <c r="I423" s="66"/>
      <c r="J423" s="68"/>
      <c r="K423" s="68"/>
      <c r="L423" s="68"/>
      <c r="M423" s="68"/>
      <c r="N423" s="67"/>
      <c r="O423" s="88"/>
      <c r="P423" s="88"/>
      <c r="Q423" s="90"/>
      <c r="R423" s="72"/>
      <c r="S423" s="72"/>
      <c r="T423" s="72"/>
      <c r="U423" s="72"/>
      <c r="V423" s="72"/>
      <c r="W423" s="72"/>
      <c r="X423" s="72"/>
      <c r="Y423" s="72"/>
    </row>
    <row r="424">
      <c r="A424" s="60"/>
      <c r="B424" s="61"/>
      <c r="C424" s="63"/>
      <c r="D424" s="79"/>
      <c r="E424" s="74" t="s">
        <v>56</v>
      </c>
      <c r="F424" s="63" t="s">
        <v>56</v>
      </c>
      <c r="G424" s="71"/>
      <c r="H424" s="71"/>
      <c r="I424" s="66"/>
      <c r="J424" s="68"/>
      <c r="K424" s="68"/>
      <c r="L424" s="68"/>
      <c r="M424" s="68"/>
      <c r="N424" s="67"/>
      <c r="O424" s="88"/>
      <c r="P424" s="88"/>
      <c r="Q424" s="90"/>
      <c r="R424" s="72"/>
      <c r="S424" s="72"/>
      <c r="T424" s="72"/>
      <c r="U424" s="72"/>
      <c r="V424" s="72"/>
      <c r="W424" s="72"/>
      <c r="X424" s="72"/>
      <c r="Y424" s="72"/>
    </row>
    <row r="425">
      <c r="A425" s="60"/>
      <c r="B425" s="61"/>
      <c r="C425" s="63"/>
      <c r="D425" s="79"/>
      <c r="E425" s="74" t="s">
        <v>56</v>
      </c>
      <c r="F425" s="63" t="s">
        <v>56</v>
      </c>
      <c r="G425" s="71"/>
      <c r="H425" s="71"/>
      <c r="I425" s="66"/>
      <c r="J425" s="68"/>
      <c r="K425" s="68"/>
      <c r="L425" s="68"/>
      <c r="M425" s="68"/>
      <c r="N425" s="67"/>
      <c r="O425" s="88"/>
      <c r="P425" s="88"/>
      <c r="Q425" s="90"/>
      <c r="R425" s="72"/>
      <c r="S425" s="72"/>
      <c r="T425" s="72"/>
      <c r="U425" s="72"/>
      <c r="V425" s="72"/>
      <c r="W425" s="72"/>
      <c r="X425" s="72"/>
      <c r="Y425" s="72"/>
    </row>
    <row r="426">
      <c r="A426" s="60"/>
      <c r="B426" s="61"/>
      <c r="C426" s="63"/>
      <c r="D426" s="79"/>
      <c r="E426" s="74" t="s">
        <v>56</v>
      </c>
      <c r="F426" s="63" t="s">
        <v>56</v>
      </c>
      <c r="G426" s="71"/>
      <c r="H426" s="71"/>
      <c r="I426" s="66"/>
      <c r="J426" s="68"/>
      <c r="K426" s="68"/>
      <c r="L426" s="68"/>
      <c r="M426" s="68"/>
      <c r="N426" s="67"/>
      <c r="O426" s="88"/>
      <c r="P426" s="88"/>
      <c r="Q426" s="90"/>
      <c r="R426" s="72"/>
      <c r="S426" s="72"/>
      <c r="T426" s="72"/>
      <c r="U426" s="72"/>
      <c r="V426" s="72"/>
      <c r="W426" s="72"/>
      <c r="X426" s="72"/>
      <c r="Y426" s="72"/>
    </row>
    <row r="427">
      <c r="A427" s="60"/>
      <c r="B427" s="61"/>
      <c r="C427" s="63"/>
      <c r="D427" s="79"/>
      <c r="E427" s="74" t="s">
        <v>56</v>
      </c>
      <c r="F427" s="63" t="s">
        <v>56</v>
      </c>
      <c r="G427" s="71"/>
      <c r="H427" s="71"/>
      <c r="I427" s="66"/>
      <c r="J427" s="68"/>
      <c r="K427" s="68"/>
      <c r="L427" s="68"/>
      <c r="M427" s="68"/>
      <c r="N427" s="67"/>
      <c r="O427" s="88"/>
      <c r="P427" s="88"/>
      <c r="Q427" s="90"/>
      <c r="R427" s="72"/>
      <c r="S427" s="72"/>
      <c r="T427" s="72"/>
      <c r="U427" s="72"/>
      <c r="V427" s="72"/>
      <c r="W427" s="72"/>
      <c r="X427" s="72"/>
      <c r="Y427" s="72"/>
    </row>
    <row r="428">
      <c r="A428" s="60"/>
      <c r="B428" s="61"/>
      <c r="C428" s="63"/>
      <c r="D428" s="79"/>
      <c r="E428" s="74" t="s">
        <v>56</v>
      </c>
      <c r="F428" s="63" t="s">
        <v>56</v>
      </c>
      <c r="G428" s="71"/>
      <c r="H428" s="71"/>
      <c r="I428" s="66"/>
      <c r="J428" s="68"/>
      <c r="K428" s="68"/>
      <c r="L428" s="68"/>
      <c r="M428" s="68"/>
      <c r="N428" s="67"/>
      <c r="O428" s="88"/>
      <c r="P428" s="88"/>
      <c r="Q428" s="90"/>
      <c r="R428" s="72"/>
      <c r="S428" s="72"/>
      <c r="T428" s="72"/>
      <c r="U428" s="72"/>
      <c r="V428" s="72"/>
      <c r="W428" s="72"/>
      <c r="X428" s="72"/>
      <c r="Y428" s="72"/>
    </row>
    <row r="429">
      <c r="A429" s="60"/>
      <c r="B429" s="61"/>
      <c r="C429" s="63"/>
      <c r="D429" s="79"/>
      <c r="E429" s="74" t="s">
        <v>56</v>
      </c>
      <c r="F429" s="63" t="s">
        <v>56</v>
      </c>
      <c r="G429" s="71"/>
      <c r="H429" s="71"/>
      <c r="I429" s="66"/>
      <c r="J429" s="68"/>
      <c r="K429" s="68"/>
      <c r="L429" s="68"/>
      <c r="M429" s="68"/>
      <c r="N429" s="67"/>
      <c r="O429" s="88"/>
      <c r="P429" s="88"/>
      <c r="Q429" s="90"/>
      <c r="R429" s="72"/>
      <c r="S429" s="72"/>
      <c r="T429" s="72"/>
      <c r="U429" s="72"/>
      <c r="V429" s="72"/>
      <c r="W429" s="72"/>
      <c r="X429" s="72"/>
      <c r="Y429" s="72"/>
    </row>
    <row r="430">
      <c r="A430" s="60"/>
      <c r="B430" s="61"/>
      <c r="C430" s="63"/>
      <c r="D430" s="79"/>
      <c r="E430" s="74" t="s">
        <v>56</v>
      </c>
      <c r="F430" s="63" t="s">
        <v>56</v>
      </c>
      <c r="G430" s="71"/>
      <c r="H430" s="71"/>
      <c r="I430" s="66"/>
      <c r="J430" s="68"/>
      <c r="K430" s="68"/>
      <c r="L430" s="68"/>
      <c r="M430" s="68"/>
      <c r="N430" s="67"/>
      <c r="O430" s="88"/>
      <c r="P430" s="88"/>
      <c r="Q430" s="90"/>
      <c r="R430" s="72"/>
      <c r="S430" s="72"/>
      <c r="T430" s="72"/>
      <c r="U430" s="72"/>
      <c r="V430" s="72"/>
      <c r="W430" s="72"/>
      <c r="X430" s="72"/>
      <c r="Y430" s="72"/>
    </row>
    <row r="431">
      <c r="A431" s="60"/>
      <c r="B431" s="61"/>
      <c r="C431" s="63"/>
      <c r="D431" s="79"/>
      <c r="E431" s="74" t="s">
        <v>56</v>
      </c>
      <c r="F431" s="63" t="s">
        <v>56</v>
      </c>
      <c r="G431" s="71"/>
      <c r="H431" s="71"/>
      <c r="I431" s="66"/>
      <c r="J431" s="68"/>
      <c r="K431" s="68"/>
      <c r="L431" s="68"/>
      <c r="M431" s="68"/>
      <c r="N431" s="67"/>
      <c r="O431" s="88"/>
      <c r="P431" s="88"/>
      <c r="Q431" s="90"/>
      <c r="R431" s="72"/>
      <c r="S431" s="72"/>
      <c r="T431" s="72"/>
      <c r="U431" s="72"/>
      <c r="V431" s="72"/>
      <c r="W431" s="72"/>
      <c r="X431" s="72"/>
      <c r="Y431" s="72"/>
    </row>
    <row r="432">
      <c r="A432" s="60"/>
      <c r="B432" s="61"/>
      <c r="C432" s="63"/>
      <c r="D432" s="79"/>
      <c r="E432" s="74" t="s">
        <v>56</v>
      </c>
      <c r="F432" s="63" t="s">
        <v>56</v>
      </c>
      <c r="G432" s="71"/>
      <c r="H432" s="71"/>
      <c r="I432" s="66"/>
      <c r="J432" s="68"/>
      <c r="K432" s="68"/>
      <c r="L432" s="68"/>
      <c r="M432" s="68"/>
      <c r="N432" s="67"/>
      <c r="O432" s="88"/>
      <c r="P432" s="88"/>
      <c r="Q432" s="90"/>
      <c r="R432" s="72"/>
      <c r="S432" s="72"/>
      <c r="T432" s="72"/>
      <c r="U432" s="72"/>
      <c r="V432" s="72"/>
      <c r="W432" s="72"/>
      <c r="X432" s="72"/>
      <c r="Y432" s="72"/>
    </row>
    <row r="433">
      <c r="A433" s="60"/>
      <c r="B433" s="61"/>
      <c r="C433" s="63"/>
      <c r="D433" s="79"/>
      <c r="E433" s="74" t="s">
        <v>56</v>
      </c>
      <c r="F433" s="63" t="s">
        <v>56</v>
      </c>
      <c r="G433" s="71"/>
      <c r="H433" s="71"/>
      <c r="I433" s="66"/>
      <c r="J433" s="68"/>
      <c r="K433" s="68"/>
      <c r="L433" s="68"/>
      <c r="M433" s="68"/>
      <c r="N433" s="67"/>
      <c r="O433" s="88"/>
      <c r="P433" s="88"/>
      <c r="Q433" s="90"/>
      <c r="R433" s="72"/>
      <c r="S433" s="72"/>
      <c r="T433" s="72"/>
      <c r="U433" s="72"/>
      <c r="V433" s="72"/>
      <c r="W433" s="72"/>
      <c r="X433" s="72"/>
      <c r="Y433" s="72"/>
    </row>
    <row r="434">
      <c r="A434" s="60"/>
      <c r="B434" s="61"/>
      <c r="C434" s="63"/>
      <c r="D434" s="79"/>
      <c r="E434" s="74" t="s">
        <v>56</v>
      </c>
      <c r="F434" s="63" t="s">
        <v>56</v>
      </c>
      <c r="G434" s="71"/>
      <c r="H434" s="71"/>
      <c r="I434" s="66"/>
      <c r="J434" s="68"/>
      <c r="K434" s="68"/>
      <c r="L434" s="68"/>
      <c r="M434" s="68"/>
      <c r="N434" s="67"/>
      <c r="O434" s="88"/>
      <c r="P434" s="88"/>
      <c r="Q434" s="90"/>
      <c r="R434" s="72"/>
      <c r="S434" s="72"/>
      <c r="T434" s="72"/>
      <c r="U434" s="72"/>
      <c r="V434" s="72"/>
      <c r="W434" s="72"/>
      <c r="X434" s="72"/>
      <c r="Y434" s="72"/>
    </row>
    <row r="435">
      <c r="A435" s="60"/>
      <c r="B435" s="61"/>
      <c r="C435" s="63"/>
      <c r="D435" s="79"/>
      <c r="E435" s="74" t="s">
        <v>56</v>
      </c>
      <c r="F435" s="63" t="s">
        <v>56</v>
      </c>
      <c r="G435" s="71"/>
      <c r="H435" s="71"/>
      <c r="I435" s="66"/>
      <c r="J435" s="68"/>
      <c r="K435" s="68"/>
      <c r="L435" s="68"/>
      <c r="M435" s="68"/>
      <c r="N435" s="67"/>
      <c r="O435" s="88"/>
      <c r="P435" s="88"/>
      <c r="Q435" s="90"/>
      <c r="R435" s="72"/>
      <c r="S435" s="72"/>
      <c r="T435" s="72"/>
      <c r="U435" s="72"/>
      <c r="V435" s="72"/>
      <c r="W435" s="72"/>
      <c r="X435" s="72"/>
      <c r="Y435" s="72"/>
    </row>
    <row r="436">
      <c r="A436" s="60"/>
      <c r="B436" s="61"/>
      <c r="C436" s="63"/>
      <c r="D436" s="79"/>
      <c r="E436" s="74" t="s">
        <v>56</v>
      </c>
      <c r="F436" s="63" t="s">
        <v>56</v>
      </c>
      <c r="G436" s="71"/>
      <c r="H436" s="71"/>
      <c r="I436" s="66"/>
      <c r="J436" s="68"/>
      <c r="K436" s="68"/>
      <c r="L436" s="68"/>
      <c r="M436" s="68"/>
      <c r="N436" s="67"/>
      <c r="O436" s="88"/>
      <c r="P436" s="88"/>
      <c r="Q436" s="90"/>
      <c r="R436" s="72"/>
      <c r="S436" s="72"/>
      <c r="T436" s="72"/>
      <c r="U436" s="72"/>
      <c r="V436" s="72"/>
      <c r="W436" s="72"/>
      <c r="X436" s="72"/>
      <c r="Y436" s="72"/>
    </row>
    <row r="437">
      <c r="A437" s="60"/>
      <c r="B437" s="61"/>
      <c r="C437" s="63"/>
      <c r="D437" s="79"/>
      <c r="E437" s="74" t="s">
        <v>56</v>
      </c>
      <c r="F437" s="63" t="s">
        <v>56</v>
      </c>
      <c r="G437" s="71"/>
      <c r="H437" s="71"/>
      <c r="I437" s="66"/>
      <c r="J437" s="68"/>
      <c r="K437" s="68"/>
      <c r="L437" s="68"/>
      <c r="M437" s="68"/>
      <c r="N437" s="67"/>
      <c r="O437" s="88"/>
      <c r="P437" s="88"/>
      <c r="Q437" s="90"/>
      <c r="R437" s="72"/>
      <c r="S437" s="72"/>
      <c r="T437" s="72"/>
      <c r="U437" s="72"/>
      <c r="V437" s="72"/>
      <c r="W437" s="72"/>
      <c r="X437" s="72"/>
      <c r="Y437" s="72"/>
    </row>
    <row r="438">
      <c r="A438" s="60"/>
      <c r="B438" s="61"/>
      <c r="C438" s="63"/>
      <c r="D438" s="79"/>
      <c r="E438" s="74" t="s">
        <v>56</v>
      </c>
      <c r="F438" s="63" t="s">
        <v>56</v>
      </c>
      <c r="G438" s="71"/>
      <c r="H438" s="71"/>
      <c r="I438" s="66"/>
      <c r="J438" s="68"/>
      <c r="K438" s="68"/>
      <c r="L438" s="68"/>
      <c r="M438" s="68"/>
      <c r="N438" s="67"/>
      <c r="O438" s="88"/>
      <c r="P438" s="88"/>
      <c r="Q438" s="90"/>
      <c r="R438" s="72"/>
      <c r="S438" s="72"/>
      <c r="T438" s="72"/>
      <c r="U438" s="72"/>
      <c r="V438" s="72"/>
      <c r="W438" s="72"/>
      <c r="X438" s="72"/>
      <c r="Y438" s="72"/>
    </row>
    <row r="439">
      <c r="A439" s="60"/>
      <c r="B439" s="61"/>
      <c r="C439" s="63"/>
      <c r="D439" s="79"/>
      <c r="E439" s="74" t="s">
        <v>56</v>
      </c>
      <c r="F439" s="63" t="s">
        <v>56</v>
      </c>
      <c r="G439" s="71"/>
      <c r="H439" s="71"/>
      <c r="I439" s="66"/>
      <c r="J439" s="68"/>
      <c r="K439" s="68"/>
      <c r="L439" s="68"/>
      <c r="M439" s="68"/>
      <c r="N439" s="67"/>
      <c r="O439" s="88"/>
      <c r="P439" s="88"/>
      <c r="Q439" s="90"/>
      <c r="R439" s="72"/>
      <c r="S439" s="72"/>
      <c r="T439" s="72"/>
      <c r="U439" s="72"/>
      <c r="V439" s="72"/>
      <c r="W439" s="72"/>
      <c r="X439" s="72"/>
      <c r="Y439" s="72"/>
    </row>
    <row r="440">
      <c r="A440" s="60"/>
      <c r="B440" s="61"/>
      <c r="C440" s="63"/>
      <c r="D440" s="79"/>
      <c r="E440" s="74" t="s">
        <v>56</v>
      </c>
      <c r="F440" s="63" t="s">
        <v>56</v>
      </c>
      <c r="G440" s="71"/>
      <c r="H440" s="71"/>
      <c r="I440" s="66"/>
      <c r="J440" s="68"/>
      <c r="K440" s="68"/>
      <c r="L440" s="68"/>
      <c r="M440" s="68"/>
      <c r="N440" s="67"/>
      <c r="O440" s="88"/>
      <c r="P440" s="88"/>
      <c r="Q440" s="90"/>
      <c r="R440" s="72"/>
      <c r="S440" s="72"/>
      <c r="T440" s="72"/>
      <c r="U440" s="72"/>
      <c r="V440" s="72"/>
      <c r="W440" s="72"/>
      <c r="X440" s="72"/>
      <c r="Y440" s="72"/>
    </row>
    <row r="441">
      <c r="A441" s="60"/>
      <c r="B441" s="61"/>
      <c r="C441" s="63"/>
      <c r="D441" s="79"/>
      <c r="E441" s="74" t="s">
        <v>56</v>
      </c>
      <c r="F441" s="63" t="s">
        <v>56</v>
      </c>
      <c r="G441" s="71"/>
      <c r="H441" s="71"/>
      <c r="I441" s="66"/>
      <c r="J441" s="68"/>
      <c r="K441" s="68"/>
      <c r="L441" s="68"/>
      <c r="M441" s="68"/>
      <c r="N441" s="67"/>
      <c r="O441" s="88"/>
      <c r="P441" s="88"/>
      <c r="Q441" s="90"/>
      <c r="R441" s="72"/>
      <c r="S441" s="72"/>
      <c r="T441" s="72"/>
      <c r="U441" s="72"/>
      <c r="V441" s="72"/>
      <c r="W441" s="72"/>
      <c r="X441" s="72"/>
      <c r="Y441" s="72"/>
    </row>
    <row r="442">
      <c r="A442" s="60"/>
      <c r="B442" s="61"/>
      <c r="C442" s="63"/>
      <c r="D442" s="79"/>
      <c r="E442" s="74" t="s">
        <v>56</v>
      </c>
      <c r="F442" s="63" t="s">
        <v>56</v>
      </c>
      <c r="G442" s="71"/>
      <c r="H442" s="71"/>
      <c r="I442" s="66"/>
      <c r="J442" s="68"/>
      <c r="K442" s="68"/>
      <c r="L442" s="68"/>
      <c r="M442" s="68"/>
      <c r="N442" s="67"/>
      <c r="O442" s="88"/>
      <c r="P442" s="88"/>
      <c r="Q442" s="90"/>
      <c r="R442" s="72"/>
      <c r="S442" s="72"/>
      <c r="T442" s="72"/>
      <c r="U442" s="72"/>
      <c r="V442" s="72"/>
      <c r="W442" s="72"/>
      <c r="X442" s="72"/>
      <c r="Y442" s="72"/>
    </row>
    <row r="443">
      <c r="A443" s="60"/>
      <c r="B443" s="61"/>
      <c r="C443" s="63"/>
      <c r="D443" s="79"/>
      <c r="E443" s="74" t="s">
        <v>56</v>
      </c>
      <c r="F443" s="63" t="s">
        <v>56</v>
      </c>
      <c r="G443" s="71"/>
      <c r="H443" s="71"/>
      <c r="I443" s="66"/>
      <c r="J443" s="68"/>
      <c r="K443" s="68"/>
      <c r="L443" s="68"/>
      <c r="M443" s="68"/>
      <c r="N443" s="67"/>
      <c r="O443" s="88"/>
      <c r="P443" s="88"/>
      <c r="Q443" s="90"/>
      <c r="R443" s="72"/>
      <c r="S443" s="72"/>
      <c r="T443" s="72"/>
      <c r="U443" s="72"/>
      <c r="V443" s="72"/>
      <c r="W443" s="72"/>
      <c r="X443" s="72"/>
      <c r="Y443" s="72"/>
    </row>
    <row r="444">
      <c r="A444" s="60"/>
      <c r="B444" s="61"/>
      <c r="C444" s="63"/>
      <c r="D444" s="79"/>
      <c r="E444" s="74" t="s">
        <v>56</v>
      </c>
      <c r="F444" s="63" t="s">
        <v>56</v>
      </c>
      <c r="G444" s="71"/>
      <c r="H444" s="71"/>
      <c r="I444" s="66"/>
      <c r="J444" s="68"/>
      <c r="K444" s="68"/>
      <c r="L444" s="68"/>
      <c r="M444" s="68"/>
      <c r="N444" s="67"/>
      <c r="O444" s="88"/>
      <c r="P444" s="88"/>
      <c r="Q444" s="90"/>
      <c r="R444" s="72"/>
      <c r="S444" s="72"/>
      <c r="T444" s="72"/>
      <c r="U444" s="72"/>
      <c r="V444" s="72"/>
      <c r="W444" s="72"/>
      <c r="X444" s="72"/>
      <c r="Y444" s="72"/>
    </row>
    <row r="445">
      <c r="A445" s="60"/>
      <c r="B445" s="61"/>
      <c r="C445" s="63"/>
      <c r="D445" s="79"/>
      <c r="E445" s="74" t="s">
        <v>56</v>
      </c>
      <c r="F445" s="63" t="s">
        <v>56</v>
      </c>
      <c r="G445" s="71"/>
      <c r="H445" s="71"/>
      <c r="I445" s="66"/>
      <c r="J445" s="68"/>
      <c r="K445" s="68"/>
      <c r="L445" s="68"/>
      <c r="M445" s="68"/>
      <c r="N445" s="67"/>
      <c r="O445" s="88"/>
      <c r="P445" s="88"/>
      <c r="Q445" s="90"/>
      <c r="R445" s="72"/>
      <c r="S445" s="72"/>
      <c r="T445" s="72"/>
      <c r="U445" s="72"/>
      <c r="V445" s="72"/>
      <c r="W445" s="72"/>
      <c r="X445" s="72"/>
      <c r="Y445" s="72"/>
    </row>
    <row r="446">
      <c r="A446" s="60"/>
      <c r="B446" s="61"/>
      <c r="C446" s="63"/>
      <c r="D446" s="79"/>
      <c r="E446" s="74" t="s">
        <v>56</v>
      </c>
      <c r="F446" s="63" t="s">
        <v>56</v>
      </c>
      <c r="G446" s="71"/>
      <c r="H446" s="71"/>
      <c r="I446" s="66"/>
      <c r="J446" s="68"/>
      <c r="K446" s="68"/>
      <c r="L446" s="68"/>
      <c r="M446" s="68"/>
      <c r="N446" s="67"/>
      <c r="O446" s="88"/>
      <c r="P446" s="88"/>
      <c r="Q446" s="90"/>
      <c r="R446" s="72"/>
      <c r="S446" s="72"/>
      <c r="T446" s="72"/>
      <c r="U446" s="72"/>
      <c r="V446" s="72"/>
      <c r="W446" s="72"/>
      <c r="X446" s="72"/>
      <c r="Y446" s="72"/>
    </row>
    <row r="447">
      <c r="A447" s="60"/>
      <c r="B447" s="61"/>
      <c r="C447" s="63"/>
      <c r="D447" s="79"/>
      <c r="E447" s="74" t="s">
        <v>56</v>
      </c>
      <c r="F447" s="63" t="s">
        <v>56</v>
      </c>
      <c r="G447" s="71"/>
      <c r="H447" s="71"/>
      <c r="I447" s="66"/>
      <c r="J447" s="68"/>
      <c r="K447" s="68"/>
      <c r="L447" s="68"/>
      <c r="M447" s="68"/>
      <c r="N447" s="67"/>
      <c r="O447" s="88"/>
      <c r="P447" s="88"/>
      <c r="Q447" s="90"/>
      <c r="R447" s="72"/>
      <c r="S447" s="72"/>
      <c r="T447" s="72"/>
      <c r="U447" s="72"/>
      <c r="V447" s="72"/>
      <c r="W447" s="72"/>
      <c r="X447" s="72"/>
      <c r="Y447" s="72"/>
    </row>
    <row r="448">
      <c r="A448" s="60"/>
      <c r="B448" s="61"/>
      <c r="C448" s="63"/>
      <c r="D448" s="79"/>
      <c r="E448" s="74" t="s">
        <v>56</v>
      </c>
      <c r="F448" s="63" t="s">
        <v>56</v>
      </c>
      <c r="G448" s="71"/>
      <c r="H448" s="71"/>
      <c r="I448" s="66"/>
      <c r="J448" s="68"/>
      <c r="K448" s="68"/>
      <c r="L448" s="68"/>
      <c r="M448" s="68"/>
      <c r="N448" s="67"/>
      <c r="O448" s="88"/>
      <c r="P448" s="88"/>
      <c r="Q448" s="90"/>
      <c r="R448" s="72"/>
      <c r="S448" s="72"/>
      <c r="T448" s="72"/>
      <c r="U448" s="72"/>
      <c r="V448" s="72"/>
      <c r="W448" s="72"/>
      <c r="X448" s="72"/>
      <c r="Y448" s="72"/>
    </row>
    <row r="449">
      <c r="A449" s="60"/>
      <c r="B449" s="61"/>
      <c r="C449" s="63"/>
      <c r="D449" s="79"/>
      <c r="E449" s="74" t="s">
        <v>56</v>
      </c>
      <c r="F449" s="63" t="s">
        <v>56</v>
      </c>
      <c r="G449" s="71"/>
      <c r="H449" s="71"/>
      <c r="I449" s="66"/>
      <c r="J449" s="68"/>
      <c r="K449" s="68"/>
      <c r="L449" s="68"/>
      <c r="M449" s="68"/>
      <c r="N449" s="67"/>
      <c r="O449" s="88"/>
      <c r="P449" s="88"/>
      <c r="Q449" s="90"/>
      <c r="R449" s="72"/>
      <c r="S449" s="72"/>
      <c r="T449" s="72"/>
      <c r="U449" s="72"/>
      <c r="V449" s="72"/>
      <c r="W449" s="72"/>
      <c r="X449" s="72"/>
      <c r="Y449" s="72"/>
    </row>
    <row r="450">
      <c r="A450" s="60"/>
      <c r="B450" s="61"/>
      <c r="C450" s="63"/>
      <c r="D450" s="79"/>
      <c r="E450" s="74" t="s">
        <v>56</v>
      </c>
      <c r="F450" s="63" t="s">
        <v>56</v>
      </c>
      <c r="G450" s="71"/>
      <c r="H450" s="71"/>
      <c r="I450" s="66"/>
      <c r="J450" s="68"/>
      <c r="K450" s="68"/>
      <c r="L450" s="68"/>
      <c r="M450" s="68"/>
      <c r="N450" s="67"/>
      <c r="O450" s="88"/>
      <c r="P450" s="88"/>
      <c r="Q450" s="90"/>
      <c r="R450" s="72"/>
      <c r="S450" s="72"/>
      <c r="T450" s="72"/>
      <c r="U450" s="72"/>
      <c r="V450" s="72"/>
      <c r="W450" s="72"/>
      <c r="X450" s="72"/>
      <c r="Y450" s="72"/>
    </row>
    <row r="451">
      <c r="A451" s="60"/>
      <c r="B451" s="61"/>
      <c r="C451" s="63"/>
      <c r="D451" s="79"/>
      <c r="E451" s="74" t="s">
        <v>56</v>
      </c>
      <c r="F451" s="63" t="s">
        <v>56</v>
      </c>
      <c r="G451" s="71"/>
      <c r="H451" s="71"/>
      <c r="I451" s="66"/>
      <c r="J451" s="68"/>
      <c r="K451" s="68"/>
      <c r="L451" s="68"/>
      <c r="M451" s="68"/>
      <c r="N451" s="67"/>
      <c r="O451" s="88"/>
      <c r="P451" s="88"/>
      <c r="Q451" s="90"/>
      <c r="R451" s="72"/>
      <c r="S451" s="72"/>
      <c r="T451" s="72"/>
      <c r="U451" s="72"/>
      <c r="V451" s="72"/>
      <c r="W451" s="72"/>
      <c r="X451" s="72"/>
      <c r="Y451" s="72"/>
    </row>
    <row r="452">
      <c r="A452" s="60"/>
      <c r="B452" s="61"/>
      <c r="C452" s="63"/>
      <c r="D452" s="79"/>
      <c r="E452" s="74" t="s">
        <v>56</v>
      </c>
      <c r="F452" s="63" t="s">
        <v>56</v>
      </c>
      <c r="G452" s="71"/>
      <c r="H452" s="71"/>
      <c r="I452" s="66"/>
      <c r="J452" s="68"/>
      <c r="K452" s="68"/>
      <c r="L452" s="68"/>
      <c r="M452" s="68"/>
      <c r="N452" s="67"/>
      <c r="O452" s="88"/>
      <c r="P452" s="88"/>
      <c r="Q452" s="90"/>
      <c r="R452" s="72"/>
      <c r="S452" s="72"/>
      <c r="T452" s="72"/>
      <c r="U452" s="72"/>
      <c r="V452" s="72"/>
      <c r="W452" s="72"/>
      <c r="X452" s="72"/>
      <c r="Y452" s="72"/>
    </row>
    <row r="453">
      <c r="A453" s="60"/>
      <c r="B453" s="61"/>
      <c r="C453" s="63"/>
      <c r="D453" s="79"/>
      <c r="E453" s="74" t="s">
        <v>56</v>
      </c>
      <c r="F453" s="63" t="s">
        <v>56</v>
      </c>
      <c r="G453" s="71"/>
      <c r="H453" s="71"/>
      <c r="I453" s="66"/>
      <c r="J453" s="68"/>
      <c r="K453" s="68"/>
      <c r="L453" s="68"/>
      <c r="M453" s="68"/>
      <c r="N453" s="67"/>
      <c r="O453" s="88"/>
      <c r="P453" s="88"/>
      <c r="Q453" s="90"/>
      <c r="R453" s="72"/>
      <c r="S453" s="72"/>
      <c r="T453" s="72"/>
      <c r="U453" s="72"/>
      <c r="V453" s="72"/>
      <c r="W453" s="72"/>
      <c r="X453" s="72"/>
      <c r="Y453" s="72"/>
    </row>
    <row r="454">
      <c r="A454" s="60"/>
      <c r="B454" s="61"/>
      <c r="C454" s="63"/>
      <c r="D454" s="79"/>
      <c r="E454" s="74" t="s">
        <v>56</v>
      </c>
      <c r="F454" s="63" t="s">
        <v>56</v>
      </c>
      <c r="G454" s="71"/>
      <c r="H454" s="71"/>
      <c r="I454" s="66"/>
      <c r="J454" s="68"/>
      <c r="K454" s="68"/>
      <c r="L454" s="68"/>
      <c r="M454" s="68"/>
      <c r="N454" s="67"/>
      <c r="O454" s="88"/>
      <c r="P454" s="88"/>
      <c r="Q454" s="90"/>
      <c r="R454" s="72"/>
      <c r="S454" s="72"/>
      <c r="T454" s="72"/>
      <c r="U454" s="72"/>
      <c r="V454" s="72"/>
      <c r="W454" s="72"/>
      <c r="X454" s="72"/>
      <c r="Y454" s="72"/>
    </row>
    <row r="455">
      <c r="A455" s="60"/>
      <c r="B455" s="61"/>
      <c r="C455" s="63"/>
      <c r="D455" s="79"/>
      <c r="E455" s="74" t="s">
        <v>56</v>
      </c>
      <c r="F455" s="63" t="s">
        <v>56</v>
      </c>
      <c r="G455" s="71"/>
      <c r="H455" s="71"/>
      <c r="I455" s="66"/>
      <c r="J455" s="68"/>
      <c r="K455" s="68"/>
      <c r="L455" s="68"/>
      <c r="M455" s="68"/>
      <c r="N455" s="67"/>
      <c r="O455" s="88"/>
      <c r="P455" s="88"/>
      <c r="Q455" s="90"/>
      <c r="R455" s="72"/>
      <c r="S455" s="72"/>
      <c r="T455" s="72"/>
      <c r="U455" s="72"/>
      <c r="V455" s="72"/>
      <c r="W455" s="72"/>
      <c r="X455" s="72"/>
      <c r="Y455" s="72"/>
    </row>
    <row r="456">
      <c r="A456" s="60"/>
      <c r="B456" s="61"/>
      <c r="C456" s="63"/>
      <c r="D456" s="79"/>
      <c r="E456" s="74" t="s">
        <v>56</v>
      </c>
      <c r="F456" s="63" t="s">
        <v>56</v>
      </c>
      <c r="G456" s="71"/>
      <c r="H456" s="71"/>
      <c r="I456" s="66"/>
      <c r="J456" s="68"/>
      <c r="K456" s="68"/>
      <c r="L456" s="68"/>
      <c r="M456" s="68"/>
      <c r="N456" s="67"/>
      <c r="O456" s="88"/>
      <c r="P456" s="88"/>
      <c r="Q456" s="90"/>
      <c r="R456" s="72"/>
      <c r="S456" s="72"/>
      <c r="T456" s="72"/>
      <c r="U456" s="72"/>
      <c r="V456" s="72"/>
      <c r="W456" s="72"/>
      <c r="X456" s="72"/>
      <c r="Y456" s="72"/>
    </row>
    <row r="457">
      <c r="A457" s="60"/>
      <c r="B457" s="61"/>
      <c r="C457" s="63"/>
      <c r="D457" s="79"/>
      <c r="E457" s="74" t="s">
        <v>56</v>
      </c>
      <c r="F457" s="63" t="s">
        <v>56</v>
      </c>
      <c r="G457" s="71"/>
      <c r="H457" s="71"/>
      <c r="I457" s="66"/>
      <c r="J457" s="68"/>
      <c r="K457" s="68"/>
      <c r="L457" s="68"/>
      <c r="M457" s="68"/>
      <c r="N457" s="67"/>
      <c r="O457" s="88"/>
      <c r="P457" s="88"/>
      <c r="Q457" s="90"/>
      <c r="R457" s="72"/>
      <c r="S457" s="72"/>
      <c r="T457" s="72"/>
      <c r="U457" s="72"/>
      <c r="V457" s="72"/>
      <c r="W457" s="72"/>
      <c r="X457" s="72"/>
      <c r="Y457" s="72"/>
    </row>
    <row r="458">
      <c r="A458" s="60"/>
      <c r="B458" s="61"/>
      <c r="C458" s="63"/>
      <c r="D458" s="79"/>
      <c r="E458" s="74" t="s">
        <v>56</v>
      </c>
      <c r="F458" s="63" t="s">
        <v>56</v>
      </c>
      <c r="G458" s="71"/>
      <c r="H458" s="71"/>
      <c r="I458" s="66"/>
      <c r="J458" s="68"/>
      <c r="K458" s="68"/>
      <c r="L458" s="68"/>
      <c r="M458" s="68"/>
      <c r="N458" s="67"/>
      <c r="O458" s="88"/>
      <c r="P458" s="88"/>
      <c r="Q458" s="90"/>
      <c r="R458" s="72"/>
      <c r="S458" s="72"/>
      <c r="T458" s="72"/>
      <c r="U458" s="72"/>
      <c r="V458" s="72"/>
      <c r="W458" s="72"/>
      <c r="X458" s="72"/>
      <c r="Y458" s="72"/>
    </row>
    <row r="459">
      <c r="A459" s="60"/>
      <c r="B459" s="61"/>
      <c r="C459" s="63"/>
      <c r="D459" s="79"/>
      <c r="E459" s="74" t="s">
        <v>56</v>
      </c>
      <c r="F459" s="63" t="s">
        <v>56</v>
      </c>
      <c r="G459" s="71"/>
      <c r="H459" s="71"/>
      <c r="I459" s="66"/>
      <c r="J459" s="68"/>
      <c r="K459" s="68"/>
      <c r="L459" s="68"/>
      <c r="M459" s="68"/>
      <c r="N459" s="67"/>
      <c r="O459" s="88"/>
      <c r="P459" s="88"/>
      <c r="Q459" s="90"/>
      <c r="R459" s="72"/>
      <c r="S459" s="72"/>
      <c r="T459" s="72"/>
      <c r="U459" s="72"/>
      <c r="V459" s="72"/>
      <c r="W459" s="72"/>
      <c r="X459" s="72"/>
      <c r="Y459" s="72"/>
    </row>
    <row r="460">
      <c r="A460" s="60"/>
      <c r="B460" s="61"/>
      <c r="C460" s="63"/>
      <c r="D460" s="79"/>
      <c r="E460" s="74" t="s">
        <v>56</v>
      </c>
      <c r="F460" s="63" t="s">
        <v>56</v>
      </c>
      <c r="G460" s="71"/>
      <c r="H460" s="71"/>
      <c r="I460" s="66"/>
      <c r="J460" s="68"/>
      <c r="K460" s="68"/>
      <c r="L460" s="68"/>
      <c r="M460" s="68"/>
      <c r="N460" s="67"/>
      <c r="O460" s="88"/>
      <c r="P460" s="88"/>
      <c r="Q460" s="90"/>
      <c r="R460" s="72"/>
      <c r="S460" s="72"/>
      <c r="T460" s="72"/>
      <c r="U460" s="72"/>
      <c r="V460" s="72"/>
      <c r="W460" s="72"/>
      <c r="X460" s="72"/>
      <c r="Y460" s="72"/>
    </row>
    <row r="461">
      <c r="A461" s="60"/>
      <c r="B461" s="61"/>
      <c r="C461" s="63"/>
      <c r="D461" s="79"/>
      <c r="E461" s="74" t="s">
        <v>56</v>
      </c>
      <c r="F461" s="63" t="s">
        <v>56</v>
      </c>
      <c r="G461" s="71"/>
      <c r="H461" s="71"/>
      <c r="I461" s="66"/>
      <c r="J461" s="68"/>
      <c r="K461" s="68"/>
      <c r="L461" s="68"/>
      <c r="M461" s="68"/>
      <c r="N461" s="67"/>
      <c r="O461" s="88"/>
      <c r="P461" s="88"/>
      <c r="Q461" s="90"/>
      <c r="R461" s="72"/>
      <c r="S461" s="72"/>
      <c r="T461" s="72"/>
      <c r="U461" s="72"/>
      <c r="V461" s="72"/>
      <c r="W461" s="72"/>
      <c r="X461" s="72"/>
      <c r="Y461" s="72"/>
    </row>
    <row r="462">
      <c r="A462" s="60"/>
      <c r="B462" s="61"/>
      <c r="C462" s="63"/>
      <c r="D462" s="79"/>
      <c r="E462" s="74" t="s">
        <v>56</v>
      </c>
      <c r="F462" s="63" t="s">
        <v>56</v>
      </c>
      <c r="G462" s="71"/>
      <c r="H462" s="71"/>
      <c r="I462" s="66"/>
      <c r="J462" s="68"/>
      <c r="K462" s="68"/>
      <c r="L462" s="68"/>
      <c r="M462" s="68"/>
      <c r="N462" s="67"/>
      <c r="O462" s="88"/>
      <c r="P462" s="88"/>
      <c r="Q462" s="90"/>
      <c r="R462" s="72"/>
      <c r="S462" s="72"/>
      <c r="T462" s="72"/>
      <c r="U462" s="72"/>
      <c r="V462" s="72"/>
      <c r="W462" s="72"/>
      <c r="X462" s="72"/>
      <c r="Y462" s="72"/>
    </row>
    <row r="463">
      <c r="A463" s="60"/>
      <c r="B463" s="61"/>
      <c r="C463" s="63"/>
      <c r="D463" s="79"/>
      <c r="E463" s="74" t="s">
        <v>56</v>
      </c>
      <c r="F463" s="63" t="s">
        <v>56</v>
      </c>
      <c r="G463" s="71"/>
      <c r="H463" s="71"/>
      <c r="I463" s="66"/>
      <c r="J463" s="68"/>
      <c r="K463" s="68"/>
      <c r="L463" s="68"/>
      <c r="M463" s="68"/>
      <c r="N463" s="67"/>
      <c r="O463" s="88"/>
      <c r="P463" s="88"/>
      <c r="Q463" s="90"/>
      <c r="R463" s="72"/>
      <c r="S463" s="72"/>
      <c r="T463" s="72"/>
      <c r="U463" s="72"/>
      <c r="V463" s="72"/>
      <c r="W463" s="72"/>
      <c r="X463" s="72"/>
      <c r="Y463" s="72"/>
    </row>
    <row r="464">
      <c r="A464" s="60"/>
      <c r="B464" s="61"/>
      <c r="C464" s="63"/>
      <c r="D464" s="79"/>
      <c r="E464" s="74" t="s">
        <v>56</v>
      </c>
      <c r="F464" s="63" t="s">
        <v>56</v>
      </c>
      <c r="G464" s="71"/>
      <c r="H464" s="71"/>
      <c r="I464" s="66"/>
      <c r="J464" s="68"/>
      <c r="K464" s="68"/>
      <c r="L464" s="68"/>
      <c r="M464" s="68"/>
      <c r="N464" s="67"/>
      <c r="O464" s="88"/>
      <c r="P464" s="88"/>
      <c r="Q464" s="90"/>
      <c r="R464" s="72"/>
      <c r="S464" s="72"/>
      <c r="T464" s="72"/>
      <c r="U464" s="72"/>
      <c r="V464" s="72"/>
      <c r="W464" s="72"/>
      <c r="X464" s="72"/>
      <c r="Y464" s="72"/>
    </row>
    <row r="465">
      <c r="A465" s="60"/>
      <c r="B465" s="61"/>
      <c r="C465" s="63"/>
      <c r="D465" s="79"/>
      <c r="E465" s="74" t="s">
        <v>56</v>
      </c>
      <c r="F465" s="63" t="s">
        <v>56</v>
      </c>
      <c r="G465" s="71"/>
      <c r="H465" s="71"/>
      <c r="I465" s="66"/>
      <c r="J465" s="68"/>
      <c r="K465" s="68"/>
      <c r="L465" s="68"/>
      <c r="M465" s="68"/>
      <c r="N465" s="67"/>
      <c r="O465" s="88"/>
      <c r="P465" s="88"/>
      <c r="Q465" s="90"/>
      <c r="R465" s="72"/>
      <c r="S465" s="72"/>
      <c r="T465" s="72"/>
      <c r="U465" s="72"/>
      <c r="V465" s="72"/>
      <c r="W465" s="72"/>
      <c r="X465" s="72"/>
      <c r="Y465" s="72"/>
    </row>
    <row r="466">
      <c r="A466" s="60"/>
      <c r="B466" s="61"/>
      <c r="C466" s="63"/>
      <c r="D466" s="79"/>
      <c r="E466" s="74" t="s">
        <v>56</v>
      </c>
      <c r="F466" s="63" t="s">
        <v>56</v>
      </c>
      <c r="G466" s="71"/>
      <c r="H466" s="71"/>
      <c r="I466" s="66"/>
      <c r="J466" s="68"/>
      <c r="K466" s="68"/>
      <c r="L466" s="68"/>
      <c r="M466" s="68"/>
      <c r="N466" s="67"/>
      <c r="O466" s="88"/>
      <c r="P466" s="88"/>
      <c r="Q466" s="90"/>
      <c r="R466" s="72"/>
      <c r="S466" s="72"/>
      <c r="T466" s="72"/>
      <c r="U466" s="72"/>
      <c r="V466" s="72"/>
      <c r="W466" s="72"/>
      <c r="X466" s="72"/>
      <c r="Y466" s="72"/>
    </row>
    <row r="467">
      <c r="A467" s="60"/>
      <c r="B467" s="61"/>
      <c r="C467" s="63"/>
      <c r="D467" s="79"/>
      <c r="E467" s="74" t="s">
        <v>56</v>
      </c>
      <c r="F467" s="63" t="s">
        <v>56</v>
      </c>
      <c r="G467" s="71"/>
      <c r="H467" s="71"/>
      <c r="I467" s="66"/>
      <c r="J467" s="68"/>
      <c r="K467" s="68"/>
      <c r="L467" s="68"/>
      <c r="M467" s="68"/>
      <c r="N467" s="67"/>
      <c r="O467" s="88"/>
      <c r="P467" s="88"/>
      <c r="Q467" s="90"/>
      <c r="R467" s="72"/>
      <c r="S467" s="72"/>
      <c r="T467" s="72"/>
      <c r="U467" s="72"/>
      <c r="V467" s="72"/>
      <c r="W467" s="72"/>
      <c r="X467" s="72"/>
      <c r="Y467" s="72"/>
    </row>
    <row r="468">
      <c r="A468" s="60"/>
      <c r="B468" s="61"/>
      <c r="C468" s="63"/>
      <c r="D468" s="79"/>
      <c r="E468" s="74" t="s">
        <v>56</v>
      </c>
      <c r="F468" s="63" t="s">
        <v>56</v>
      </c>
      <c r="G468" s="71"/>
      <c r="H468" s="71"/>
      <c r="I468" s="66"/>
      <c r="J468" s="68"/>
      <c r="K468" s="68"/>
      <c r="L468" s="68"/>
      <c r="M468" s="68"/>
      <c r="N468" s="67"/>
      <c r="O468" s="88"/>
      <c r="P468" s="88"/>
      <c r="Q468" s="90"/>
      <c r="R468" s="72"/>
      <c r="S468" s="72"/>
      <c r="T468" s="72"/>
      <c r="U468" s="72"/>
      <c r="V468" s="72"/>
      <c r="W468" s="72"/>
      <c r="X468" s="72"/>
      <c r="Y468" s="72"/>
    </row>
    <row r="469">
      <c r="A469" s="60"/>
      <c r="B469" s="61"/>
      <c r="C469" s="63"/>
      <c r="D469" s="79"/>
      <c r="E469" s="74" t="s">
        <v>56</v>
      </c>
      <c r="F469" s="63" t="s">
        <v>56</v>
      </c>
      <c r="G469" s="71"/>
      <c r="H469" s="71"/>
      <c r="I469" s="66"/>
      <c r="J469" s="68"/>
      <c r="K469" s="68"/>
      <c r="L469" s="68"/>
      <c r="M469" s="68"/>
      <c r="N469" s="67"/>
      <c r="O469" s="88"/>
      <c r="P469" s="88"/>
      <c r="Q469" s="90"/>
      <c r="R469" s="72"/>
      <c r="S469" s="72"/>
      <c r="T469" s="72"/>
      <c r="U469" s="72"/>
      <c r="V469" s="72"/>
      <c r="W469" s="72"/>
      <c r="X469" s="72"/>
      <c r="Y469" s="72"/>
    </row>
    <row r="470">
      <c r="A470" s="60"/>
      <c r="B470" s="61"/>
      <c r="C470" s="63"/>
      <c r="D470" s="79"/>
      <c r="E470" s="74" t="s">
        <v>56</v>
      </c>
      <c r="F470" s="63" t="s">
        <v>56</v>
      </c>
      <c r="G470" s="71"/>
      <c r="H470" s="71"/>
      <c r="I470" s="66"/>
      <c r="J470" s="68"/>
      <c r="K470" s="68"/>
      <c r="L470" s="68"/>
      <c r="M470" s="68"/>
      <c r="N470" s="67"/>
      <c r="O470" s="88"/>
      <c r="P470" s="88"/>
      <c r="Q470" s="90"/>
      <c r="R470" s="72"/>
      <c r="S470" s="72"/>
      <c r="T470" s="72"/>
      <c r="U470" s="72"/>
      <c r="V470" s="72"/>
      <c r="W470" s="72"/>
      <c r="X470" s="72"/>
      <c r="Y470" s="72"/>
    </row>
    <row r="471">
      <c r="A471" s="60"/>
      <c r="B471" s="61"/>
      <c r="C471" s="63"/>
      <c r="D471" s="79"/>
      <c r="E471" s="74" t="s">
        <v>56</v>
      </c>
      <c r="F471" s="63" t="s">
        <v>56</v>
      </c>
      <c r="G471" s="71"/>
      <c r="H471" s="71"/>
      <c r="I471" s="66"/>
      <c r="J471" s="68"/>
      <c r="K471" s="68"/>
      <c r="L471" s="68"/>
      <c r="M471" s="68"/>
      <c r="N471" s="67"/>
      <c r="O471" s="88"/>
      <c r="P471" s="88"/>
      <c r="Q471" s="90"/>
      <c r="R471" s="72"/>
      <c r="S471" s="72"/>
      <c r="T471" s="72"/>
      <c r="U471" s="72"/>
      <c r="V471" s="72"/>
      <c r="W471" s="72"/>
      <c r="X471" s="72"/>
      <c r="Y471" s="72"/>
    </row>
    <row r="472">
      <c r="A472" s="60"/>
      <c r="B472" s="61"/>
      <c r="C472" s="63"/>
      <c r="D472" s="79"/>
      <c r="E472" s="74" t="s">
        <v>56</v>
      </c>
      <c r="F472" s="63" t="s">
        <v>56</v>
      </c>
      <c r="G472" s="71"/>
      <c r="H472" s="71"/>
      <c r="I472" s="66"/>
      <c r="J472" s="68"/>
      <c r="K472" s="68"/>
      <c r="L472" s="68"/>
      <c r="M472" s="68"/>
      <c r="N472" s="67"/>
      <c r="O472" s="88"/>
      <c r="P472" s="88"/>
      <c r="Q472" s="90"/>
      <c r="R472" s="72"/>
      <c r="S472" s="72"/>
      <c r="T472" s="72"/>
      <c r="U472" s="72"/>
      <c r="V472" s="72"/>
      <c r="W472" s="72"/>
      <c r="X472" s="72"/>
      <c r="Y472" s="72"/>
    </row>
    <row r="473">
      <c r="A473" s="60"/>
      <c r="B473" s="61"/>
      <c r="C473" s="63"/>
      <c r="D473" s="79"/>
      <c r="E473" s="74" t="s">
        <v>56</v>
      </c>
      <c r="F473" s="63" t="s">
        <v>56</v>
      </c>
      <c r="G473" s="71"/>
      <c r="H473" s="71"/>
      <c r="I473" s="66"/>
      <c r="J473" s="68"/>
      <c r="K473" s="68"/>
      <c r="L473" s="68"/>
      <c r="M473" s="68"/>
      <c r="N473" s="67"/>
      <c r="O473" s="88"/>
      <c r="P473" s="88"/>
      <c r="Q473" s="90"/>
      <c r="R473" s="72"/>
      <c r="S473" s="72"/>
      <c r="T473" s="72"/>
      <c r="U473" s="72"/>
      <c r="V473" s="72"/>
      <c r="W473" s="72"/>
      <c r="X473" s="72"/>
      <c r="Y473" s="72"/>
    </row>
    <row r="474">
      <c r="A474" s="60"/>
      <c r="B474" s="61"/>
      <c r="C474" s="63"/>
      <c r="D474" s="79"/>
      <c r="E474" s="74" t="s">
        <v>56</v>
      </c>
      <c r="F474" s="63" t="s">
        <v>56</v>
      </c>
      <c r="G474" s="71"/>
      <c r="H474" s="71"/>
      <c r="I474" s="66"/>
      <c r="J474" s="68"/>
      <c r="K474" s="68"/>
      <c r="L474" s="68"/>
      <c r="M474" s="68"/>
      <c r="N474" s="67"/>
      <c r="O474" s="88"/>
      <c r="P474" s="88"/>
      <c r="Q474" s="90"/>
      <c r="R474" s="72"/>
      <c r="S474" s="72"/>
      <c r="T474" s="72"/>
      <c r="U474" s="72"/>
      <c r="V474" s="72"/>
      <c r="W474" s="72"/>
      <c r="X474" s="72"/>
      <c r="Y474" s="72"/>
    </row>
    <row r="475">
      <c r="A475" s="60"/>
      <c r="B475" s="61"/>
      <c r="C475" s="63"/>
      <c r="D475" s="79"/>
      <c r="E475" s="74" t="s">
        <v>56</v>
      </c>
      <c r="F475" s="63" t="s">
        <v>56</v>
      </c>
      <c r="G475" s="71"/>
      <c r="H475" s="71"/>
      <c r="I475" s="66"/>
      <c r="J475" s="68"/>
      <c r="K475" s="68"/>
      <c r="L475" s="68"/>
      <c r="M475" s="68"/>
      <c r="N475" s="67"/>
      <c r="O475" s="88"/>
      <c r="P475" s="88"/>
      <c r="Q475" s="90"/>
      <c r="R475" s="72"/>
      <c r="S475" s="72"/>
      <c r="T475" s="72"/>
      <c r="U475" s="72"/>
      <c r="V475" s="72"/>
      <c r="W475" s="72"/>
      <c r="X475" s="72"/>
      <c r="Y475" s="72"/>
    </row>
    <row r="476">
      <c r="A476" s="60"/>
      <c r="B476" s="61"/>
      <c r="C476" s="63"/>
      <c r="D476" s="79"/>
      <c r="E476" s="74" t="s">
        <v>56</v>
      </c>
      <c r="F476" s="63" t="s">
        <v>56</v>
      </c>
      <c r="G476" s="71"/>
      <c r="H476" s="71"/>
      <c r="I476" s="66"/>
      <c r="J476" s="68"/>
      <c r="K476" s="68"/>
      <c r="L476" s="68"/>
      <c r="M476" s="68"/>
      <c r="N476" s="67"/>
      <c r="O476" s="88"/>
      <c r="P476" s="88"/>
      <c r="Q476" s="90"/>
      <c r="R476" s="72"/>
      <c r="S476" s="72"/>
      <c r="T476" s="72"/>
      <c r="U476" s="72"/>
      <c r="V476" s="72"/>
      <c r="W476" s="72"/>
      <c r="X476" s="72"/>
      <c r="Y476" s="72"/>
    </row>
    <row r="477">
      <c r="A477" s="60"/>
      <c r="B477" s="61"/>
      <c r="C477" s="63"/>
      <c r="D477" s="79"/>
      <c r="E477" s="74" t="s">
        <v>56</v>
      </c>
      <c r="F477" s="63" t="s">
        <v>56</v>
      </c>
      <c r="G477" s="71"/>
      <c r="H477" s="71"/>
      <c r="I477" s="66"/>
      <c r="J477" s="68"/>
      <c r="K477" s="68"/>
      <c r="L477" s="68"/>
      <c r="M477" s="68"/>
      <c r="N477" s="67"/>
      <c r="O477" s="88"/>
      <c r="P477" s="88"/>
      <c r="Q477" s="90"/>
      <c r="R477" s="72"/>
      <c r="S477" s="72"/>
      <c r="T477" s="72"/>
      <c r="U477" s="72"/>
      <c r="V477" s="72"/>
      <c r="W477" s="72"/>
      <c r="X477" s="72"/>
      <c r="Y477" s="72"/>
    </row>
    <row r="478">
      <c r="A478" s="60"/>
      <c r="B478" s="61"/>
      <c r="C478" s="63"/>
      <c r="D478" s="79"/>
      <c r="E478" s="74" t="s">
        <v>56</v>
      </c>
      <c r="F478" s="63" t="s">
        <v>56</v>
      </c>
      <c r="G478" s="71"/>
      <c r="H478" s="71"/>
      <c r="I478" s="66"/>
      <c r="J478" s="68"/>
      <c r="K478" s="68"/>
      <c r="L478" s="68"/>
      <c r="M478" s="68"/>
      <c r="N478" s="67"/>
      <c r="O478" s="88"/>
      <c r="P478" s="88"/>
      <c r="Q478" s="90"/>
      <c r="R478" s="72"/>
      <c r="S478" s="72"/>
      <c r="T478" s="72"/>
      <c r="U478" s="72"/>
      <c r="V478" s="72"/>
      <c r="W478" s="72"/>
      <c r="X478" s="72"/>
      <c r="Y478" s="72"/>
    </row>
    <row r="479">
      <c r="A479" s="60"/>
      <c r="B479" s="61"/>
      <c r="C479" s="63"/>
      <c r="D479" s="79"/>
      <c r="E479" s="74" t="s">
        <v>56</v>
      </c>
      <c r="F479" s="63" t="s">
        <v>56</v>
      </c>
      <c r="G479" s="71"/>
      <c r="H479" s="71"/>
      <c r="I479" s="66"/>
      <c r="J479" s="68"/>
      <c r="K479" s="68"/>
      <c r="L479" s="68"/>
      <c r="M479" s="68"/>
      <c r="N479" s="67"/>
      <c r="O479" s="88"/>
      <c r="P479" s="88"/>
      <c r="Q479" s="90"/>
      <c r="R479" s="72"/>
      <c r="S479" s="72"/>
      <c r="T479" s="72"/>
      <c r="U479" s="72"/>
      <c r="V479" s="72"/>
      <c r="W479" s="72"/>
      <c r="X479" s="72"/>
      <c r="Y479" s="72"/>
    </row>
    <row r="480">
      <c r="A480" s="60"/>
      <c r="B480" s="61"/>
      <c r="C480" s="63"/>
      <c r="D480" s="79"/>
      <c r="E480" s="74" t="s">
        <v>56</v>
      </c>
      <c r="F480" s="63" t="s">
        <v>56</v>
      </c>
      <c r="G480" s="71"/>
      <c r="H480" s="71"/>
      <c r="I480" s="66"/>
      <c r="J480" s="68"/>
      <c r="K480" s="68"/>
      <c r="L480" s="68"/>
      <c r="M480" s="68"/>
      <c r="N480" s="67"/>
      <c r="O480" s="88"/>
      <c r="P480" s="88"/>
      <c r="Q480" s="90"/>
      <c r="R480" s="72"/>
      <c r="S480" s="72"/>
      <c r="T480" s="72"/>
      <c r="U480" s="72"/>
      <c r="V480" s="72"/>
      <c r="W480" s="72"/>
      <c r="X480" s="72"/>
      <c r="Y480" s="72"/>
    </row>
    <row r="481">
      <c r="A481" s="60"/>
      <c r="B481" s="61"/>
      <c r="C481" s="63"/>
      <c r="D481" s="79"/>
      <c r="E481" s="74" t="s">
        <v>56</v>
      </c>
      <c r="F481" s="63" t="s">
        <v>56</v>
      </c>
      <c r="G481" s="71"/>
      <c r="H481" s="71"/>
      <c r="I481" s="66"/>
      <c r="J481" s="68"/>
      <c r="K481" s="68"/>
      <c r="L481" s="68"/>
      <c r="M481" s="68"/>
      <c r="N481" s="67"/>
      <c r="O481" s="88"/>
      <c r="P481" s="88"/>
      <c r="Q481" s="90"/>
      <c r="R481" s="72"/>
      <c r="S481" s="72"/>
      <c r="T481" s="72"/>
      <c r="U481" s="72"/>
      <c r="V481" s="72"/>
      <c r="W481" s="72"/>
      <c r="X481" s="72"/>
      <c r="Y481" s="72"/>
    </row>
    <row r="482">
      <c r="A482" s="60"/>
      <c r="B482" s="61"/>
      <c r="C482" s="63"/>
      <c r="D482" s="79"/>
      <c r="E482" s="74" t="s">
        <v>56</v>
      </c>
      <c r="F482" s="63" t="s">
        <v>56</v>
      </c>
      <c r="G482" s="71"/>
      <c r="H482" s="71"/>
      <c r="I482" s="66"/>
      <c r="J482" s="68"/>
      <c r="K482" s="68"/>
      <c r="L482" s="68"/>
      <c r="M482" s="68"/>
      <c r="N482" s="67"/>
      <c r="O482" s="88"/>
      <c r="P482" s="88"/>
      <c r="Q482" s="90"/>
      <c r="R482" s="72"/>
      <c r="S482" s="72"/>
      <c r="T482" s="72"/>
      <c r="U482" s="72"/>
      <c r="V482" s="72"/>
      <c r="W482" s="72"/>
      <c r="X482" s="72"/>
      <c r="Y482" s="72"/>
    </row>
    <row r="483">
      <c r="A483" s="60"/>
      <c r="B483" s="61"/>
      <c r="C483" s="63"/>
      <c r="D483" s="79"/>
      <c r="E483" s="74" t="s">
        <v>56</v>
      </c>
      <c r="F483" s="63" t="s">
        <v>56</v>
      </c>
      <c r="G483" s="71"/>
      <c r="H483" s="71"/>
      <c r="I483" s="66"/>
      <c r="J483" s="68"/>
      <c r="K483" s="68"/>
      <c r="L483" s="68"/>
      <c r="M483" s="68"/>
      <c r="N483" s="67"/>
      <c r="O483" s="88"/>
      <c r="P483" s="88"/>
      <c r="Q483" s="90"/>
      <c r="R483" s="72"/>
      <c r="S483" s="72"/>
      <c r="T483" s="72"/>
      <c r="U483" s="72"/>
      <c r="V483" s="72"/>
      <c r="W483" s="72"/>
      <c r="X483" s="72"/>
      <c r="Y483" s="72"/>
    </row>
    <row r="484">
      <c r="A484" s="60"/>
      <c r="B484" s="61"/>
      <c r="C484" s="63"/>
      <c r="D484" s="79"/>
      <c r="E484" s="74" t="s">
        <v>56</v>
      </c>
      <c r="F484" s="63" t="s">
        <v>56</v>
      </c>
      <c r="G484" s="71"/>
      <c r="H484" s="71"/>
      <c r="I484" s="66"/>
      <c r="J484" s="68"/>
      <c r="K484" s="68"/>
      <c r="L484" s="68"/>
      <c r="M484" s="68"/>
      <c r="N484" s="67"/>
      <c r="O484" s="88"/>
      <c r="P484" s="88"/>
      <c r="Q484" s="90"/>
      <c r="R484" s="72"/>
      <c r="S484" s="72"/>
      <c r="T484" s="72"/>
      <c r="U484" s="72"/>
      <c r="V484" s="72"/>
      <c r="W484" s="72"/>
      <c r="X484" s="72"/>
      <c r="Y484" s="72"/>
    </row>
    <row r="485">
      <c r="A485" s="60"/>
      <c r="B485" s="61"/>
      <c r="C485" s="63"/>
      <c r="D485" s="79"/>
      <c r="E485" s="74" t="s">
        <v>56</v>
      </c>
      <c r="F485" s="63" t="s">
        <v>56</v>
      </c>
      <c r="G485" s="71"/>
      <c r="H485" s="71"/>
      <c r="I485" s="66"/>
      <c r="J485" s="68"/>
      <c r="K485" s="68"/>
      <c r="L485" s="68"/>
      <c r="M485" s="68"/>
      <c r="N485" s="67"/>
      <c r="O485" s="88"/>
      <c r="P485" s="88"/>
      <c r="Q485" s="90"/>
      <c r="R485" s="72"/>
      <c r="S485" s="72"/>
      <c r="T485" s="72"/>
      <c r="U485" s="72"/>
      <c r="V485" s="72"/>
      <c r="W485" s="72"/>
      <c r="X485" s="72"/>
      <c r="Y485" s="72"/>
    </row>
    <row r="486">
      <c r="A486" s="60"/>
      <c r="B486" s="61"/>
      <c r="C486" s="63"/>
      <c r="D486" s="79"/>
      <c r="E486" s="74" t="s">
        <v>56</v>
      </c>
      <c r="F486" s="63" t="s">
        <v>56</v>
      </c>
      <c r="G486" s="71"/>
      <c r="H486" s="71"/>
      <c r="I486" s="66"/>
      <c r="J486" s="68"/>
      <c r="K486" s="68"/>
      <c r="L486" s="68"/>
      <c r="M486" s="68"/>
      <c r="N486" s="67"/>
      <c r="O486" s="88"/>
      <c r="P486" s="88"/>
      <c r="Q486" s="90"/>
      <c r="R486" s="72"/>
      <c r="S486" s="72"/>
      <c r="T486" s="72"/>
      <c r="U486" s="72"/>
      <c r="V486" s="72"/>
      <c r="W486" s="72"/>
      <c r="X486" s="72"/>
      <c r="Y486" s="72"/>
    </row>
    <row r="487">
      <c r="A487" s="60"/>
      <c r="B487" s="61"/>
      <c r="C487" s="63"/>
      <c r="D487" s="79"/>
      <c r="E487" s="74" t="s">
        <v>56</v>
      </c>
      <c r="F487" s="63" t="s">
        <v>56</v>
      </c>
      <c r="G487" s="71"/>
      <c r="H487" s="71"/>
      <c r="I487" s="66"/>
      <c r="J487" s="68"/>
      <c r="K487" s="68"/>
      <c r="L487" s="68"/>
      <c r="M487" s="68"/>
      <c r="N487" s="67"/>
      <c r="O487" s="88"/>
      <c r="P487" s="88"/>
      <c r="Q487" s="90"/>
      <c r="R487" s="72"/>
      <c r="S487" s="72"/>
      <c r="T487" s="72"/>
      <c r="U487" s="72"/>
      <c r="V487" s="72"/>
      <c r="W487" s="72"/>
      <c r="X487" s="72"/>
      <c r="Y487" s="72"/>
    </row>
    <row r="488">
      <c r="A488" s="60"/>
      <c r="B488" s="61"/>
      <c r="C488" s="63"/>
      <c r="D488" s="79"/>
      <c r="E488" s="74" t="s">
        <v>56</v>
      </c>
      <c r="F488" s="63" t="s">
        <v>56</v>
      </c>
      <c r="G488" s="71"/>
      <c r="H488" s="71"/>
      <c r="I488" s="66"/>
      <c r="J488" s="68"/>
      <c r="K488" s="68"/>
      <c r="L488" s="68"/>
      <c r="M488" s="68"/>
      <c r="N488" s="67"/>
      <c r="O488" s="88"/>
      <c r="P488" s="88"/>
      <c r="Q488" s="90"/>
      <c r="R488" s="72"/>
      <c r="S488" s="72"/>
      <c r="T488" s="72"/>
      <c r="U488" s="72"/>
      <c r="V488" s="72"/>
      <c r="W488" s="72"/>
      <c r="X488" s="72"/>
      <c r="Y488" s="72"/>
    </row>
    <row r="489">
      <c r="A489" s="60"/>
      <c r="B489" s="61"/>
      <c r="C489" s="63"/>
      <c r="D489" s="79"/>
      <c r="E489" s="74" t="s">
        <v>56</v>
      </c>
      <c r="F489" s="63" t="s">
        <v>56</v>
      </c>
      <c r="G489" s="71"/>
      <c r="H489" s="71"/>
      <c r="I489" s="66"/>
      <c r="J489" s="68"/>
      <c r="K489" s="68"/>
      <c r="L489" s="68"/>
      <c r="M489" s="68"/>
      <c r="N489" s="67"/>
      <c r="O489" s="88"/>
      <c r="P489" s="88"/>
      <c r="Q489" s="90"/>
      <c r="R489" s="72"/>
      <c r="S489" s="72"/>
      <c r="T489" s="72"/>
      <c r="U489" s="72"/>
      <c r="V489" s="72"/>
      <c r="W489" s="72"/>
      <c r="X489" s="72"/>
      <c r="Y489" s="72"/>
    </row>
    <row r="490">
      <c r="A490" s="60"/>
      <c r="B490" s="61"/>
      <c r="C490" s="63"/>
      <c r="D490" s="79"/>
      <c r="E490" s="74" t="s">
        <v>56</v>
      </c>
      <c r="F490" s="63" t="s">
        <v>56</v>
      </c>
      <c r="G490" s="71"/>
      <c r="H490" s="71"/>
      <c r="I490" s="66"/>
      <c r="J490" s="68"/>
      <c r="K490" s="68"/>
      <c r="L490" s="68"/>
      <c r="M490" s="68"/>
      <c r="N490" s="67"/>
      <c r="O490" s="88"/>
      <c r="P490" s="88"/>
      <c r="Q490" s="90"/>
      <c r="R490" s="72"/>
      <c r="S490" s="72"/>
      <c r="T490" s="72"/>
      <c r="U490" s="72"/>
      <c r="V490" s="72"/>
      <c r="W490" s="72"/>
      <c r="X490" s="72"/>
      <c r="Y490" s="72"/>
    </row>
    <row r="491">
      <c r="A491" s="60"/>
      <c r="B491" s="61"/>
      <c r="C491" s="63"/>
      <c r="D491" s="79"/>
      <c r="E491" s="74" t="s">
        <v>56</v>
      </c>
      <c r="F491" s="63" t="s">
        <v>56</v>
      </c>
      <c r="G491" s="71"/>
      <c r="H491" s="71"/>
      <c r="I491" s="66"/>
      <c r="J491" s="68"/>
      <c r="K491" s="68"/>
      <c r="L491" s="68"/>
      <c r="M491" s="68"/>
      <c r="N491" s="67"/>
      <c r="O491" s="88"/>
      <c r="P491" s="88"/>
      <c r="Q491" s="90"/>
      <c r="R491" s="72"/>
      <c r="S491" s="72"/>
      <c r="T491" s="72"/>
      <c r="U491" s="72"/>
      <c r="V491" s="72"/>
      <c r="W491" s="72"/>
      <c r="X491" s="72"/>
      <c r="Y491" s="72"/>
    </row>
    <row r="492">
      <c r="A492" s="60"/>
      <c r="B492" s="61"/>
      <c r="C492" s="63"/>
      <c r="D492" s="79"/>
      <c r="E492" s="74" t="s">
        <v>56</v>
      </c>
      <c r="F492" s="63" t="s">
        <v>56</v>
      </c>
      <c r="G492" s="71"/>
      <c r="H492" s="71"/>
      <c r="I492" s="66"/>
      <c r="J492" s="68"/>
      <c r="K492" s="68"/>
      <c r="L492" s="68"/>
      <c r="M492" s="68"/>
      <c r="N492" s="67"/>
      <c r="O492" s="88"/>
      <c r="P492" s="88"/>
      <c r="Q492" s="90"/>
      <c r="R492" s="72"/>
      <c r="S492" s="72"/>
      <c r="T492" s="72"/>
      <c r="U492" s="72"/>
      <c r="V492" s="72"/>
      <c r="W492" s="72"/>
      <c r="X492" s="72"/>
      <c r="Y492" s="72"/>
    </row>
    <row r="493">
      <c r="A493" s="60"/>
      <c r="B493" s="61"/>
      <c r="C493" s="63"/>
      <c r="D493" s="79"/>
      <c r="E493" s="74" t="s">
        <v>56</v>
      </c>
      <c r="F493" s="63" t="s">
        <v>56</v>
      </c>
      <c r="G493" s="71"/>
      <c r="H493" s="71"/>
      <c r="I493" s="66"/>
      <c r="J493" s="68"/>
      <c r="K493" s="68"/>
      <c r="L493" s="68"/>
      <c r="M493" s="68"/>
      <c r="N493" s="67"/>
      <c r="O493" s="88"/>
      <c r="P493" s="88"/>
      <c r="Q493" s="90"/>
      <c r="R493" s="72"/>
      <c r="S493" s="72"/>
      <c r="T493" s="72"/>
      <c r="U493" s="72"/>
      <c r="V493" s="72"/>
      <c r="W493" s="72"/>
      <c r="X493" s="72"/>
      <c r="Y493" s="72"/>
    </row>
    <row r="494">
      <c r="A494" s="60"/>
      <c r="B494" s="61"/>
      <c r="C494" s="63"/>
      <c r="D494" s="79"/>
      <c r="E494" s="74" t="s">
        <v>56</v>
      </c>
      <c r="F494" s="63" t="s">
        <v>56</v>
      </c>
      <c r="G494" s="71"/>
      <c r="H494" s="71"/>
      <c r="I494" s="66"/>
      <c r="J494" s="68"/>
      <c r="K494" s="68"/>
      <c r="L494" s="68"/>
      <c r="M494" s="68"/>
      <c r="N494" s="67"/>
      <c r="O494" s="88"/>
      <c r="P494" s="88"/>
      <c r="Q494" s="90"/>
      <c r="R494" s="72"/>
      <c r="S494" s="72"/>
      <c r="T494" s="72"/>
      <c r="U494" s="72"/>
      <c r="V494" s="72"/>
      <c r="W494" s="72"/>
      <c r="X494" s="72"/>
      <c r="Y494" s="72"/>
    </row>
    <row r="495">
      <c r="A495" s="60"/>
      <c r="B495" s="61"/>
      <c r="C495" s="63"/>
      <c r="D495" s="79"/>
      <c r="E495" s="74" t="s">
        <v>56</v>
      </c>
      <c r="F495" s="63" t="s">
        <v>56</v>
      </c>
      <c r="G495" s="71"/>
      <c r="H495" s="71"/>
      <c r="I495" s="66"/>
      <c r="J495" s="68"/>
      <c r="K495" s="68"/>
      <c r="L495" s="68"/>
      <c r="M495" s="68"/>
      <c r="N495" s="67"/>
      <c r="O495" s="88"/>
      <c r="P495" s="88"/>
      <c r="Q495" s="90"/>
      <c r="R495" s="72"/>
      <c r="S495" s="72"/>
      <c r="T495" s="72"/>
      <c r="U495" s="72"/>
      <c r="V495" s="72"/>
      <c r="W495" s="72"/>
      <c r="X495" s="72"/>
      <c r="Y495" s="72"/>
    </row>
    <row r="496">
      <c r="A496" s="60"/>
      <c r="B496" s="61"/>
      <c r="C496" s="63"/>
      <c r="D496" s="79"/>
      <c r="E496" s="74" t="s">
        <v>56</v>
      </c>
      <c r="F496" s="63" t="s">
        <v>56</v>
      </c>
      <c r="G496" s="71"/>
      <c r="H496" s="71"/>
      <c r="I496" s="66"/>
      <c r="J496" s="68"/>
      <c r="K496" s="68"/>
      <c r="L496" s="68"/>
      <c r="M496" s="68"/>
      <c r="N496" s="67"/>
      <c r="O496" s="88"/>
      <c r="P496" s="88"/>
      <c r="Q496" s="90"/>
      <c r="R496" s="72"/>
      <c r="S496" s="72"/>
      <c r="T496" s="72"/>
      <c r="U496" s="72"/>
      <c r="V496" s="72"/>
      <c r="W496" s="72"/>
      <c r="X496" s="72"/>
      <c r="Y496" s="72"/>
    </row>
    <row r="497">
      <c r="A497" s="60"/>
      <c r="B497" s="61"/>
      <c r="C497" s="63"/>
      <c r="D497" s="79"/>
      <c r="E497" s="74" t="s">
        <v>56</v>
      </c>
      <c r="F497" s="63" t="s">
        <v>56</v>
      </c>
      <c r="G497" s="71"/>
      <c r="H497" s="71"/>
      <c r="I497" s="66"/>
      <c r="J497" s="68"/>
      <c r="K497" s="68"/>
      <c r="L497" s="68"/>
      <c r="M497" s="68"/>
      <c r="N497" s="67"/>
      <c r="O497" s="88"/>
      <c r="P497" s="88"/>
      <c r="Q497" s="90"/>
      <c r="R497" s="72"/>
      <c r="S497" s="72"/>
      <c r="T497" s="72"/>
      <c r="U497" s="72"/>
      <c r="V497" s="72"/>
      <c r="W497" s="72"/>
      <c r="X497" s="72"/>
      <c r="Y497" s="72"/>
    </row>
    <row r="498">
      <c r="A498" s="60"/>
      <c r="B498" s="61"/>
      <c r="C498" s="63"/>
      <c r="D498" s="79"/>
      <c r="E498" s="74" t="s">
        <v>56</v>
      </c>
      <c r="F498" s="63" t="s">
        <v>56</v>
      </c>
      <c r="G498" s="71"/>
      <c r="H498" s="71"/>
      <c r="I498" s="66"/>
      <c r="J498" s="68"/>
      <c r="K498" s="68"/>
      <c r="L498" s="68"/>
      <c r="M498" s="68"/>
      <c r="N498" s="67"/>
      <c r="O498" s="88"/>
      <c r="P498" s="88"/>
      <c r="Q498" s="90"/>
      <c r="R498" s="72"/>
      <c r="S498" s="72"/>
      <c r="T498" s="72"/>
      <c r="U498" s="72"/>
      <c r="V498" s="72"/>
      <c r="W498" s="72"/>
      <c r="X498" s="72"/>
      <c r="Y498" s="72"/>
    </row>
    <row r="499">
      <c r="A499" s="60"/>
      <c r="B499" s="61"/>
      <c r="C499" s="63"/>
      <c r="D499" s="79"/>
      <c r="E499" s="74" t="s">
        <v>56</v>
      </c>
      <c r="F499" s="63" t="s">
        <v>56</v>
      </c>
      <c r="G499" s="71"/>
      <c r="H499" s="71"/>
      <c r="I499" s="66"/>
      <c r="J499" s="68"/>
      <c r="K499" s="68"/>
      <c r="L499" s="68"/>
      <c r="M499" s="68"/>
      <c r="N499" s="67"/>
      <c r="O499" s="88"/>
      <c r="P499" s="88"/>
      <c r="Q499" s="90"/>
      <c r="R499" s="72"/>
      <c r="S499" s="72"/>
      <c r="T499" s="72"/>
      <c r="U499" s="72"/>
      <c r="V499" s="72"/>
      <c r="W499" s="72"/>
      <c r="X499" s="72"/>
      <c r="Y499" s="72"/>
    </row>
    <row r="500">
      <c r="A500" s="60"/>
      <c r="B500" s="61"/>
      <c r="C500" s="63"/>
      <c r="D500" s="79"/>
      <c r="E500" s="74" t="s">
        <v>56</v>
      </c>
      <c r="F500" s="63" t="s">
        <v>56</v>
      </c>
      <c r="G500" s="71"/>
      <c r="H500" s="71"/>
      <c r="I500" s="66"/>
      <c r="J500" s="68"/>
      <c r="K500" s="68"/>
      <c r="L500" s="68"/>
      <c r="M500" s="68"/>
      <c r="N500" s="67"/>
      <c r="O500" s="88"/>
      <c r="P500" s="88"/>
      <c r="Q500" s="90"/>
      <c r="R500" s="72"/>
      <c r="S500" s="72"/>
      <c r="T500" s="72"/>
      <c r="U500" s="72"/>
      <c r="V500" s="72"/>
      <c r="W500" s="72"/>
      <c r="X500" s="72"/>
      <c r="Y500" s="72"/>
    </row>
    <row r="501">
      <c r="A501" s="60"/>
      <c r="B501" s="61"/>
      <c r="C501" s="63"/>
      <c r="D501" s="79"/>
      <c r="E501" s="74" t="s">
        <v>56</v>
      </c>
      <c r="F501" s="63" t="s">
        <v>56</v>
      </c>
      <c r="G501" s="71"/>
      <c r="H501" s="71"/>
      <c r="I501" s="66"/>
      <c r="J501" s="68"/>
      <c r="K501" s="68"/>
      <c r="L501" s="68"/>
      <c r="M501" s="68"/>
      <c r="N501" s="67"/>
      <c r="O501" s="88"/>
      <c r="P501" s="88"/>
      <c r="Q501" s="90"/>
      <c r="R501" s="72"/>
      <c r="S501" s="72"/>
      <c r="T501" s="72"/>
      <c r="U501" s="72"/>
      <c r="V501" s="72"/>
      <c r="W501" s="72"/>
      <c r="X501" s="72"/>
      <c r="Y501" s="72"/>
    </row>
    <row r="502">
      <c r="A502" s="60"/>
      <c r="B502" s="61"/>
      <c r="C502" s="63"/>
      <c r="D502" s="79"/>
      <c r="E502" s="74" t="s">
        <v>56</v>
      </c>
      <c r="F502" s="63" t="s">
        <v>56</v>
      </c>
      <c r="G502" s="71"/>
      <c r="H502" s="71"/>
      <c r="I502" s="66"/>
      <c r="J502" s="68"/>
      <c r="K502" s="68"/>
      <c r="L502" s="68"/>
      <c r="M502" s="68"/>
      <c r="N502" s="67"/>
      <c r="O502" s="88"/>
      <c r="P502" s="88"/>
      <c r="Q502" s="90"/>
      <c r="R502" s="72"/>
      <c r="S502" s="72"/>
      <c r="T502" s="72"/>
      <c r="U502" s="72"/>
      <c r="V502" s="72"/>
      <c r="W502" s="72"/>
      <c r="X502" s="72"/>
      <c r="Y502" s="72"/>
    </row>
    <row r="503">
      <c r="A503" s="60"/>
      <c r="B503" s="61"/>
      <c r="C503" s="63"/>
      <c r="D503" s="79"/>
      <c r="E503" s="74" t="s">
        <v>56</v>
      </c>
      <c r="F503" s="63" t="s">
        <v>56</v>
      </c>
      <c r="G503" s="71"/>
      <c r="H503" s="71"/>
      <c r="I503" s="66"/>
      <c r="J503" s="68"/>
      <c r="K503" s="68"/>
      <c r="L503" s="68"/>
      <c r="M503" s="68"/>
      <c r="N503" s="67"/>
      <c r="O503" s="88"/>
      <c r="P503" s="88"/>
      <c r="Q503" s="90"/>
      <c r="R503" s="72"/>
      <c r="S503" s="72"/>
      <c r="T503" s="72"/>
      <c r="U503" s="72"/>
      <c r="V503" s="72"/>
      <c r="W503" s="72"/>
      <c r="X503" s="72"/>
      <c r="Y503" s="72"/>
    </row>
    <row r="504">
      <c r="A504" s="60"/>
      <c r="B504" s="61"/>
      <c r="C504" s="63"/>
      <c r="D504" s="79"/>
      <c r="E504" s="74" t="s">
        <v>56</v>
      </c>
      <c r="F504" s="63" t="s">
        <v>56</v>
      </c>
      <c r="G504" s="71"/>
      <c r="H504" s="71"/>
      <c r="I504" s="66"/>
      <c r="J504" s="68"/>
      <c r="K504" s="68"/>
      <c r="L504" s="68"/>
      <c r="M504" s="68"/>
      <c r="N504" s="67"/>
      <c r="O504" s="88"/>
      <c r="P504" s="88"/>
      <c r="Q504" s="90"/>
      <c r="R504" s="72"/>
      <c r="S504" s="72"/>
      <c r="T504" s="72"/>
      <c r="U504" s="72"/>
      <c r="V504" s="72"/>
      <c r="W504" s="72"/>
      <c r="X504" s="72"/>
      <c r="Y504" s="72"/>
    </row>
    <row r="505">
      <c r="A505" s="60"/>
      <c r="B505" s="61"/>
      <c r="C505" s="63"/>
      <c r="D505" s="79"/>
      <c r="E505" s="74" t="s">
        <v>56</v>
      </c>
      <c r="F505" s="63" t="s">
        <v>56</v>
      </c>
      <c r="G505" s="71"/>
      <c r="H505" s="71"/>
      <c r="I505" s="66"/>
      <c r="J505" s="68"/>
      <c r="K505" s="68"/>
      <c r="L505" s="68"/>
      <c r="M505" s="68"/>
      <c r="N505" s="67"/>
      <c r="O505" s="88"/>
      <c r="P505" s="88"/>
      <c r="Q505" s="90"/>
      <c r="R505" s="72"/>
      <c r="S505" s="72"/>
      <c r="T505" s="72"/>
      <c r="U505" s="72"/>
      <c r="V505" s="72"/>
      <c r="W505" s="72"/>
      <c r="X505" s="72"/>
      <c r="Y505" s="72"/>
    </row>
    <row r="506">
      <c r="A506" s="60"/>
      <c r="B506" s="61"/>
      <c r="C506" s="63"/>
      <c r="D506" s="79"/>
      <c r="E506" s="74" t="s">
        <v>56</v>
      </c>
      <c r="F506" s="63" t="s">
        <v>56</v>
      </c>
      <c r="G506" s="71"/>
      <c r="H506" s="71"/>
      <c r="I506" s="66"/>
      <c r="J506" s="68"/>
      <c r="K506" s="68"/>
      <c r="L506" s="68"/>
      <c r="M506" s="68"/>
      <c r="N506" s="67"/>
      <c r="O506" s="88"/>
      <c r="P506" s="88"/>
      <c r="Q506" s="90"/>
      <c r="R506" s="72"/>
      <c r="S506" s="72"/>
      <c r="T506" s="72"/>
      <c r="U506" s="72"/>
      <c r="V506" s="72"/>
      <c r="W506" s="72"/>
      <c r="X506" s="72"/>
      <c r="Y506" s="72"/>
    </row>
    <row r="507">
      <c r="A507" s="60"/>
      <c r="B507" s="61"/>
      <c r="C507" s="63"/>
      <c r="D507" s="79"/>
      <c r="E507" s="74" t="s">
        <v>56</v>
      </c>
      <c r="F507" s="63" t="s">
        <v>56</v>
      </c>
      <c r="G507" s="71"/>
      <c r="H507" s="71"/>
      <c r="I507" s="66"/>
      <c r="J507" s="68"/>
      <c r="K507" s="68"/>
      <c r="L507" s="68"/>
      <c r="M507" s="68"/>
      <c r="N507" s="67"/>
      <c r="O507" s="88"/>
      <c r="P507" s="88"/>
      <c r="Q507" s="90"/>
      <c r="R507" s="72"/>
      <c r="S507" s="72"/>
      <c r="T507" s="72"/>
      <c r="U507" s="72"/>
      <c r="V507" s="72"/>
      <c r="W507" s="72"/>
      <c r="X507" s="72"/>
      <c r="Y507" s="72"/>
    </row>
    <row r="508">
      <c r="A508" s="60"/>
      <c r="B508" s="61"/>
      <c r="C508" s="63"/>
      <c r="D508" s="79"/>
      <c r="E508" s="74" t="s">
        <v>56</v>
      </c>
      <c r="F508" s="63" t="s">
        <v>56</v>
      </c>
      <c r="G508" s="71"/>
      <c r="H508" s="71"/>
      <c r="I508" s="66"/>
      <c r="J508" s="68"/>
      <c r="K508" s="68"/>
      <c r="L508" s="68"/>
      <c r="M508" s="68"/>
      <c r="N508" s="67"/>
      <c r="O508" s="88"/>
      <c r="P508" s="88"/>
      <c r="Q508" s="90"/>
      <c r="R508" s="72"/>
      <c r="S508" s="72"/>
      <c r="T508" s="72"/>
      <c r="U508" s="72"/>
      <c r="V508" s="72"/>
      <c r="W508" s="72"/>
      <c r="X508" s="72"/>
      <c r="Y508" s="72"/>
    </row>
    <row r="509">
      <c r="A509" s="60"/>
      <c r="B509" s="61"/>
      <c r="C509" s="63"/>
      <c r="D509" s="79"/>
      <c r="E509" s="74" t="s">
        <v>56</v>
      </c>
      <c r="F509" s="63" t="s">
        <v>56</v>
      </c>
      <c r="G509" s="71"/>
      <c r="H509" s="71"/>
      <c r="I509" s="66"/>
      <c r="J509" s="68"/>
      <c r="K509" s="68"/>
      <c r="L509" s="68"/>
      <c r="M509" s="68"/>
      <c r="N509" s="67"/>
      <c r="O509" s="88"/>
      <c r="P509" s="88"/>
      <c r="Q509" s="90"/>
      <c r="R509" s="72"/>
      <c r="S509" s="72"/>
      <c r="T509" s="72"/>
      <c r="U509" s="72"/>
      <c r="V509" s="72"/>
      <c r="W509" s="72"/>
      <c r="X509" s="72"/>
      <c r="Y509" s="72"/>
    </row>
    <row r="510">
      <c r="A510" s="60"/>
      <c r="B510" s="61"/>
      <c r="C510" s="63"/>
      <c r="D510" s="79"/>
      <c r="E510" s="74" t="s">
        <v>56</v>
      </c>
      <c r="F510" s="63" t="s">
        <v>56</v>
      </c>
      <c r="G510" s="71"/>
      <c r="H510" s="71"/>
      <c r="I510" s="66"/>
      <c r="J510" s="68"/>
      <c r="K510" s="68"/>
      <c r="L510" s="68"/>
      <c r="M510" s="68"/>
      <c r="N510" s="67"/>
      <c r="O510" s="88"/>
      <c r="P510" s="88"/>
      <c r="Q510" s="90"/>
      <c r="R510" s="72"/>
      <c r="S510" s="72"/>
      <c r="T510" s="72"/>
      <c r="U510" s="72"/>
      <c r="V510" s="72"/>
      <c r="W510" s="72"/>
      <c r="X510" s="72"/>
      <c r="Y510" s="72"/>
    </row>
    <row r="511">
      <c r="A511" s="60"/>
      <c r="B511" s="61"/>
      <c r="C511" s="63"/>
      <c r="D511" s="79"/>
      <c r="E511" s="74" t="s">
        <v>56</v>
      </c>
      <c r="F511" s="63" t="s">
        <v>56</v>
      </c>
      <c r="G511" s="71"/>
      <c r="H511" s="71"/>
      <c r="I511" s="66"/>
      <c r="J511" s="68"/>
      <c r="K511" s="68"/>
      <c r="L511" s="68"/>
      <c r="M511" s="68"/>
      <c r="N511" s="67"/>
      <c r="O511" s="88"/>
      <c r="P511" s="88"/>
      <c r="Q511" s="90"/>
      <c r="R511" s="72"/>
      <c r="S511" s="72"/>
      <c r="T511" s="72"/>
      <c r="U511" s="72"/>
      <c r="V511" s="72"/>
      <c r="W511" s="72"/>
      <c r="X511" s="72"/>
      <c r="Y511" s="72"/>
    </row>
    <row r="512">
      <c r="A512" s="60"/>
      <c r="B512" s="61"/>
      <c r="C512" s="63"/>
      <c r="D512" s="79"/>
      <c r="E512" s="74" t="s">
        <v>56</v>
      </c>
      <c r="F512" s="63" t="s">
        <v>56</v>
      </c>
      <c r="G512" s="71"/>
      <c r="H512" s="71"/>
      <c r="I512" s="66"/>
      <c r="J512" s="68"/>
      <c r="K512" s="68"/>
      <c r="L512" s="68"/>
      <c r="M512" s="68"/>
      <c r="N512" s="67"/>
      <c r="O512" s="88"/>
      <c r="P512" s="88"/>
      <c r="Q512" s="90"/>
      <c r="R512" s="72"/>
      <c r="S512" s="72"/>
      <c r="T512" s="72"/>
      <c r="U512" s="72"/>
      <c r="V512" s="72"/>
      <c r="W512" s="72"/>
      <c r="X512" s="72"/>
      <c r="Y512" s="72"/>
    </row>
    <row r="513">
      <c r="A513" s="60"/>
      <c r="B513" s="61"/>
      <c r="C513" s="63"/>
      <c r="D513" s="79"/>
      <c r="E513" s="74" t="s">
        <v>56</v>
      </c>
      <c r="F513" s="63" t="s">
        <v>56</v>
      </c>
      <c r="G513" s="71"/>
      <c r="H513" s="71"/>
      <c r="I513" s="66"/>
      <c r="J513" s="68"/>
      <c r="K513" s="68"/>
      <c r="L513" s="68"/>
      <c r="M513" s="68"/>
      <c r="N513" s="67"/>
      <c r="O513" s="88"/>
      <c r="P513" s="88"/>
      <c r="Q513" s="90"/>
      <c r="R513" s="72"/>
      <c r="S513" s="72"/>
      <c r="T513" s="72"/>
      <c r="U513" s="72"/>
      <c r="V513" s="72"/>
      <c r="W513" s="72"/>
      <c r="X513" s="72"/>
      <c r="Y513" s="72"/>
    </row>
    <row r="514">
      <c r="A514" s="60"/>
      <c r="B514" s="61"/>
      <c r="C514" s="63"/>
      <c r="D514" s="79"/>
      <c r="E514" s="74" t="s">
        <v>56</v>
      </c>
      <c r="F514" s="63" t="s">
        <v>56</v>
      </c>
      <c r="G514" s="71"/>
      <c r="H514" s="71"/>
      <c r="I514" s="66"/>
      <c r="J514" s="68"/>
      <c r="K514" s="68"/>
      <c r="L514" s="68"/>
      <c r="M514" s="68"/>
      <c r="N514" s="67"/>
      <c r="O514" s="88"/>
      <c r="P514" s="88"/>
      <c r="Q514" s="90"/>
      <c r="R514" s="72"/>
      <c r="S514" s="72"/>
      <c r="T514" s="72"/>
      <c r="U514" s="72"/>
      <c r="V514" s="72"/>
      <c r="W514" s="72"/>
      <c r="X514" s="72"/>
      <c r="Y514" s="72"/>
    </row>
    <row r="515">
      <c r="A515" s="60"/>
      <c r="B515" s="61"/>
      <c r="C515" s="63"/>
      <c r="D515" s="79"/>
      <c r="E515" s="74" t="s">
        <v>56</v>
      </c>
      <c r="F515" s="63" t="s">
        <v>56</v>
      </c>
      <c r="G515" s="71"/>
      <c r="H515" s="71"/>
      <c r="I515" s="66"/>
      <c r="J515" s="68"/>
      <c r="K515" s="68"/>
      <c r="L515" s="68"/>
      <c r="M515" s="68"/>
      <c r="N515" s="67"/>
      <c r="O515" s="88"/>
      <c r="P515" s="88"/>
      <c r="Q515" s="90"/>
      <c r="R515" s="72"/>
      <c r="S515" s="72"/>
      <c r="T515" s="72"/>
      <c r="U515" s="72"/>
      <c r="V515" s="72"/>
      <c r="W515" s="72"/>
      <c r="X515" s="72"/>
      <c r="Y515" s="72"/>
    </row>
    <row r="516">
      <c r="A516" s="60"/>
      <c r="B516" s="61"/>
      <c r="C516" s="63"/>
      <c r="D516" s="79"/>
      <c r="E516" s="74" t="s">
        <v>56</v>
      </c>
      <c r="F516" s="63" t="s">
        <v>56</v>
      </c>
      <c r="G516" s="71"/>
      <c r="H516" s="71"/>
      <c r="I516" s="66"/>
      <c r="J516" s="68"/>
      <c r="K516" s="68"/>
      <c r="L516" s="68"/>
      <c r="M516" s="68"/>
      <c r="N516" s="67"/>
      <c r="O516" s="88"/>
      <c r="P516" s="88"/>
      <c r="Q516" s="90"/>
      <c r="R516" s="72"/>
      <c r="S516" s="72"/>
      <c r="T516" s="72"/>
      <c r="U516" s="72"/>
      <c r="V516" s="72"/>
      <c r="W516" s="72"/>
      <c r="X516" s="72"/>
      <c r="Y516" s="72"/>
    </row>
    <row r="517">
      <c r="A517" s="60"/>
      <c r="B517" s="61"/>
      <c r="C517" s="63"/>
      <c r="D517" s="79"/>
      <c r="E517" s="74" t="s">
        <v>56</v>
      </c>
      <c r="F517" s="63" t="s">
        <v>56</v>
      </c>
      <c r="G517" s="71"/>
      <c r="H517" s="71"/>
      <c r="I517" s="66"/>
      <c r="J517" s="68"/>
      <c r="K517" s="68"/>
      <c r="L517" s="68"/>
      <c r="M517" s="68"/>
      <c r="N517" s="67"/>
      <c r="O517" s="88"/>
      <c r="P517" s="88"/>
      <c r="Q517" s="90"/>
      <c r="R517" s="72"/>
      <c r="S517" s="72"/>
      <c r="T517" s="72"/>
      <c r="U517" s="72"/>
      <c r="V517" s="72"/>
      <c r="W517" s="72"/>
      <c r="X517" s="72"/>
      <c r="Y517" s="72"/>
    </row>
    <row r="518">
      <c r="A518" s="60"/>
      <c r="B518" s="61"/>
      <c r="C518" s="63"/>
      <c r="D518" s="79"/>
      <c r="E518" s="74" t="s">
        <v>56</v>
      </c>
      <c r="F518" s="63" t="s">
        <v>56</v>
      </c>
      <c r="G518" s="71"/>
      <c r="H518" s="71"/>
      <c r="I518" s="66"/>
      <c r="J518" s="68"/>
      <c r="K518" s="68"/>
      <c r="L518" s="68"/>
      <c r="M518" s="68"/>
      <c r="N518" s="67"/>
      <c r="O518" s="88"/>
      <c r="P518" s="88"/>
      <c r="Q518" s="90"/>
      <c r="R518" s="72"/>
      <c r="S518" s="72"/>
      <c r="T518" s="72"/>
      <c r="U518" s="72"/>
      <c r="V518" s="72"/>
      <c r="W518" s="72"/>
      <c r="X518" s="72"/>
      <c r="Y518" s="72"/>
    </row>
    <row r="519">
      <c r="A519" s="60"/>
      <c r="B519" s="61"/>
      <c r="C519" s="63"/>
      <c r="D519" s="79"/>
      <c r="E519" s="74" t="s">
        <v>56</v>
      </c>
      <c r="F519" s="63" t="s">
        <v>56</v>
      </c>
      <c r="G519" s="71"/>
      <c r="H519" s="71"/>
      <c r="I519" s="66"/>
      <c r="J519" s="68"/>
      <c r="K519" s="68"/>
      <c r="L519" s="68"/>
      <c r="M519" s="68"/>
      <c r="N519" s="67"/>
      <c r="O519" s="88"/>
      <c r="P519" s="88"/>
      <c r="Q519" s="90"/>
      <c r="R519" s="72"/>
      <c r="S519" s="72"/>
      <c r="T519" s="72"/>
      <c r="U519" s="72"/>
      <c r="V519" s="72"/>
      <c r="W519" s="72"/>
      <c r="X519" s="72"/>
      <c r="Y519" s="72"/>
    </row>
    <row r="520">
      <c r="A520" s="60"/>
      <c r="B520" s="61"/>
      <c r="C520" s="63"/>
      <c r="D520" s="79"/>
      <c r="E520" s="74" t="s">
        <v>56</v>
      </c>
      <c r="F520" s="63" t="s">
        <v>56</v>
      </c>
      <c r="G520" s="71"/>
      <c r="H520" s="71"/>
      <c r="I520" s="66"/>
      <c r="J520" s="68"/>
      <c r="K520" s="68"/>
      <c r="L520" s="68"/>
      <c r="M520" s="68"/>
      <c r="N520" s="67"/>
      <c r="O520" s="88"/>
      <c r="P520" s="88"/>
      <c r="Q520" s="90"/>
      <c r="R520" s="72"/>
      <c r="S520" s="72"/>
      <c r="T520" s="72"/>
      <c r="U520" s="72"/>
      <c r="V520" s="72"/>
      <c r="W520" s="72"/>
      <c r="X520" s="72"/>
      <c r="Y520" s="72"/>
    </row>
    <row r="521">
      <c r="A521" s="60"/>
      <c r="B521" s="61"/>
      <c r="C521" s="63"/>
      <c r="D521" s="79"/>
      <c r="E521" s="74" t="s">
        <v>56</v>
      </c>
      <c r="F521" s="63" t="s">
        <v>56</v>
      </c>
      <c r="G521" s="71"/>
      <c r="H521" s="71"/>
      <c r="I521" s="66"/>
      <c r="J521" s="68"/>
      <c r="K521" s="68"/>
      <c r="L521" s="68"/>
      <c r="M521" s="68"/>
      <c r="N521" s="67"/>
      <c r="O521" s="88"/>
      <c r="P521" s="88"/>
      <c r="Q521" s="90"/>
      <c r="R521" s="72"/>
      <c r="S521" s="72"/>
      <c r="T521" s="72"/>
      <c r="U521" s="72"/>
      <c r="V521" s="72"/>
      <c r="W521" s="72"/>
      <c r="X521" s="72"/>
      <c r="Y521" s="72"/>
    </row>
    <row r="522">
      <c r="A522" s="60"/>
      <c r="B522" s="61"/>
      <c r="C522" s="63"/>
      <c r="D522" s="79"/>
      <c r="E522" s="74" t="s">
        <v>56</v>
      </c>
      <c r="F522" s="63" t="s">
        <v>56</v>
      </c>
      <c r="G522" s="71"/>
      <c r="H522" s="71"/>
      <c r="I522" s="66"/>
      <c r="J522" s="68"/>
      <c r="K522" s="68"/>
      <c r="L522" s="68"/>
      <c r="M522" s="68"/>
      <c r="N522" s="67"/>
      <c r="O522" s="88"/>
      <c r="P522" s="88"/>
      <c r="Q522" s="90"/>
      <c r="R522" s="72"/>
      <c r="S522" s="72"/>
      <c r="T522" s="72"/>
      <c r="U522" s="72"/>
      <c r="V522" s="72"/>
      <c r="W522" s="72"/>
      <c r="X522" s="72"/>
      <c r="Y522" s="72"/>
    </row>
    <row r="523">
      <c r="A523" s="60"/>
      <c r="B523" s="61"/>
      <c r="C523" s="63"/>
      <c r="D523" s="79"/>
      <c r="E523" s="74" t="s">
        <v>56</v>
      </c>
      <c r="F523" s="63" t="s">
        <v>56</v>
      </c>
      <c r="G523" s="71"/>
      <c r="H523" s="71"/>
      <c r="I523" s="66"/>
      <c r="J523" s="68"/>
      <c r="K523" s="68"/>
      <c r="L523" s="68"/>
      <c r="M523" s="68"/>
      <c r="N523" s="67"/>
      <c r="O523" s="88"/>
      <c r="P523" s="88"/>
      <c r="Q523" s="90"/>
      <c r="R523" s="72"/>
      <c r="S523" s="72"/>
      <c r="T523" s="72"/>
      <c r="U523" s="72"/>
      <c r="V523" s="72"/>
      <c r="W523" s="72"/>
      <c r="X523" s="72"/>
      <c r="Y523" s="72"/>
    </row>
    <row r="524">
      <c r="A524" s="60"/>
      <c r="B524" s="61"/>
      <c r="C524" s="63"/>
      <c r="D524" s="79"/>
      <c r="E524" s="74" t="s">
        <v>56</v>
      </c>
      <c r="F524" s="63" t="s">
        <v>56</v>
      </c>
      <c r="G524" s="71"/>
      <c r="H524" s="71"/>
      <c r="I524" s="66"/>
      <c r="J524" s="68"/>
      <c r="K524" s="68"/>
      <c r="L524" s="68"/>
      <c r="M524" s="68"/>
      <c r="N524" s="67"/>
      <c r="O524" s="88"/>
      <c r="P524" s="88"/>
      <c r="Q524" s="90"/>
      <c r="R524" s="72"/>
      <c r="S524" s="72"/>
      <c r="T524" s="72"/>
      <c r="U524" s="72"/>
      <c r="V524" s="72"/>
      <c r="W524" s="72"/>
      <c r="X524" s="72"/>
      <c r="Y524" s="72"/>
    </row>
    <row r="525">
      <c r="A525" s="60"/>
      <c r="B525" s="61"/>
      <c r="C525" s="63"/>
      <c r="D525" s="79"/>
      <c r="E525" s="74" t="s">
        <v>56</v>
      </c>
      <c r="F525" s="63" t="s">
        <v>56</v>
      </c>
      <c r="G525" s="71"/>
      <c r="H525" s="71"/>
      <c r="I525" s="66"/>
      <c r="J525" s="68"/>
      <c r="K525" s="68"/>
      <c r="L525" s="68"/>
      <c r="M525" s="68"/>
      <c r="N525" s="67"/>
      <c r="O525" s="88"/>
      <c r="P525" s="88"/>
      <c r="Q525" s="90"/>
      <c r="R525" s="72"/>
      <c r="S525" s="72"/>
      <c r="T525" s="72"/>
      <c r="U525" s="72"/>
      <c r="V525" s="72"/>
      <c r="W525" s="72"/>
      <c r="X525" s="72"/>
      <c r="Y525" s="72"/>
    </row>
    <row r="526">
      <c r="A526" s="60"/>
      <c r="B526" s="61"/>
      <c r="C526" s="63"/>
      <c r="D526" s="79"/>
      <c r="E526" s="74" t="s">
        <v>56</v>
      </c>
      <c r="F526" s="63" t="s">
        <v>56</v>
      </c>
      <c r="G526" s="71"/>
      <c r="H526" s="71"/>
      <c r="I526" s="66"/>
      <c r="J526" s="68"/>
      <c r="K526" s="68"/>
      <c r="L526" s="68"/>
      <c r="M526" s="68"/>
      <c r="N526" s="67"/>
      <c r="O526" s="88"/>
      <c r="P526" s="88"/>
      <c r="Q526" s="90"/>
      <c r="R526" s="72"/>
      <c r="S526" s="72"/>
      <c r="T526" s="72"/>
      <c r="U526" s="72"/>
      <c r="V526" s="72"/>
      <c r="W526" s="72"/>
      <c r="X526" s="72"/>
      <c r="Y526" s="72"/>
    </row>
    <row r="527">
      <c r="A527" s="60"/>
      <c r="B527" s="61"/>
      <c r="C527" s="63"/>
      <c r="D527" s="79"/>
      <c r="E527" s="74" t="s">
        <v>56</v>
      </c>
      <c r="F527" s="63" t="s">
        <v>56</v>
      </c>
      <c r="G527" s="71"/>
      <c r="H527" s="71"/>
      <c r="I527" s="66"/>
      <c r="J527" s="68"/>
      <c r="K527" s="68"/>
      <c r="L527" s="68"/>
      <c r="M527" s="68"/>
      <c r="N527" s="67"/>
      <c r="O527" s="88"/>
      <c r="P527" s="88"/>
      <c r="Q527" s="90"/>
      <c r="R527" s="72"/>
      <c r="S527" s="72"/>
      <c r="T527" s="72"/>
      <c r="U527" s="72"/>
      <c r="V527" s="72"/>
      <c r="W527" s="72"/>
      <c r="X527" s="72"/>
      <c r="Y527" s="72"/>
    </row>
    <row r="528">
      <c r="A528" s="60"/>
      <c r="B528" s="61"/>
      <c r="C528" s="63"/>
      <c r="D528" s="79"/>
      <c r="E528" s="74" t="s">
        <v>56</v>
      </c>
      <c r="F528" s="63" t="s">
        <v>56</v>
      </c>
      <c r="G528" s="71"/>
      <c r="H528" s="71"/>
      <c r="I528" s="66"/>
      <c r="J528" s="68"/>
      <c r="K528" s="68"/>
      <c r="L528" s="68"/>
      <c r="M528" s="68"/>
      <c r="N528" s="67"/>
      <c r="O528" s="88"/>
      <c r="P528" s="88"/>
      <c r="Q528" s="90"/>
      <c r="R528" s="72"/>
      <c r="S528" s="72"/>
      <c r="T528" s="72"/>
      <c r="U528" s="72"/>
      <c r="V528" s="72"/>
      <c r="W528" s="72"/>
      <c r="X528" s="72"/>
      <c r="Y528" s="72"/>
    </row>
    <row r="529">
      <c r="A529" s="60"/>
      <c r="B529" s="61"/>
      <c r="C529" s="63"/>
      <c r="D529" s="79"/>
      <c r="E529" s="74" t="s">
        <v>56</v>
      </c>
      <c r="F529" s="63" t="s">
        <v>56</v>
      </c>
      <c r="G529" s="71"/>
      <c r="H529" s="71"/>
      <c r="I529" s="66"/>
      <c r="J529" s="68"/>
      <c r="K529" s="68"/>
      <c r="L529" s="68"/>
      <c r="M529" s="68"/>
      <c r="N529" s="67"/>
      <c r="O529" s="88"/>
      <c r="P529" s="88"/>
      <c r="Q529" s="90"/>
      <c r="R529" s="72"/>
      <c r="S529" s="72"/>
      <c r="T529" s="72"/>
      <c r="U529" s="72"/>
      <c r="V529" s="72"/>
      <c r="W529" s="72"/>
      <c r="X529" s="72"/>
      <c r="Y529" s="72"/>
    </row>
    <row r="530">
      <c r="A530" s="60"/>
      <c r="B530" s="61"/>
      <c r="C530" s="63"/>
      <c r="D530" s="79"/>
      <c r="E530" s="74" t="s">
        <v>56</v>
      </c>
      <c r="F530" s="63" t="s">
        <v>56</v>
      </c>
      <c r="G530" s="71"/>
      <c r="H530" s="71"/>
      <c r="I530" s="66"/>
      <c r="J530" s="68"/>
      <c r="K530" s="68"/>
      <c r="L530" s="68"/>
      <c r="M530" s="68"/>
      <c r="N530" s="67"/>
      <c r="O530" s="88"/>
      <c r="P530" s="88"/>
      <c r="Q530" s="90"/>
      <c r="R530" s="72"/>
      <c r="S530" s="72"/>
      <c r="T530" s="72"/>
      <c r="U530" s="72"/>
      <c r="V530" s="72"/>
      <c r="W530" s="72"/>
      <c r="X530" s="72"/>
      <c r="Y530" s="72"/>
    </row>
    <row r="531">
      <c r="A531" s="60"/>
      <c r="B531" s="61"/>
      <c r="C531" s="63"/>
      <c r="D531" s="79"/>
      <c r="E531" s="74" t="s">
        <v>56</v>
      </c>
      <c r="F531" s="63" t="s">
        <v>56</v>
      </c>
      <c r="G531" s="71"/>
      <c r="H531" s="71"/>
      <c r="I531" s="66"/>
      <c r="J531" s="68"/>
      <c r="K531" s="68"/>
      <c r="L531" s="68"/>
      <c r="M531" s="68"/>
      <c r="N531" s="67"/>
      <c r="O531" s="88"/>
      <c r="P531" s="88"/>
      <c r="Q531" s="90"/>
      <c r="R531" s="72"/>
      <c r="S531" s="72"/>
      <c r="T531" s="72"/>
      <c r="U531" s="72"/>
      <c r="V531" s="72"/>
      <c r="W531" s="72"/>
      <c r="X531" s="72"/>
      <c r="Y531" s="72"/>
    </row>
    <row r="532">
      <c r="A532" s="60"/>
      <c r="B532" s="61"/>
      <c r="C532" s="63"/>
      <c r="D532" s="79"/>
      <c r="E532" s="74" t="s">
        <v>56</v>
      </c>
      <c r="F532" s="63" t="s">
        <v>56</v>
      </c>
      <c r="G532" s="71"/>
      <c r="H532" s="71"/>
      <c r="I532" s="66"/>
      <c r="J532" s="68"/>
      <c r="K532" s="68"/>
      <c r="L532" s="68"/>
      <c r="M532" s="68"/>
      <c r="N532" s="67"/>
      <c r="O532" s="88"/>
      <c r="P532" s="88"/>
      <c r="Q532" s="90"/>
      <c r="R532" s="72"/>
      <c r="S532" s="72"/>
      <c r="T532" s="72"/>
      <c r="U532" s="72"/>
      <c r="V532" s="72"/>
      <c r="W532" s="72"/>
      <c r="X532" s="72"/>
      <c r="Y532" s="72"/>
    </row>
    <row r="533">
      <c r="A533" s="60"/>
      <c r="B533" s="61"/>
      <c r="C533" s="63"/>
      <c r="D533" s="79"/>
      <c r="E533" s="74" t="s">
        <v>56</v>
      </c>
      <c r="F533" s="63" t="s">
        <v>56</v>
      </c>
      <c r="G533" s="71"/>
      <c r="H533" s="71"/>
      <c r="I533" s="66"/>
      <c r="J533" s="68"/>
      <c r="K533" s="68"/>
      <c r="L533" s="68"/>
      <c r="M533" s="68"/>
      <c r="N533" s="67"/>
      <c r="O533" s="88"/>
      <c r="P533" s="88"/>
      <c r="Q533" s="90"/>
      <c r="R533" s="72"/>
      <c r="S533" s="72"/>
      <c r="T533" s="72"/>
      <c r="U533" s="72"/>
      <c r="V533" s="72"/>
      <c r="W533" s="72"/>
      <c r="X533" s="72"/>
      <c r="Y533" s="72"/>
    </row>
    <row r="534">
      <c r="A534" s="60"/>
      <c r="B534" s="61"/>
      <c r="C534" s="63"/>
      <c r="D534" s="79"/>
      <c r="E534" s="74" t="s">
        <v>56</v>
      </c>
      <c r="F534" s="63" t="s">
        <v>56</v>
      </c>
      <c r="G534" s="71"/>
      <c r="H534" s="71"/>
      <c r="I534" s="66"/>
      <c r="J534" s="68"/>
      <c r="K534" s="68"/>
      <c r="L534" s="68"/>
      <c r="M534" s="68"/>
      <c r="N534" s="67"/>
      <c r="O534" s="88"/>
      <c r="P534" s="88"/>
      <c r="Q534" s="90"/>
      <c r="R534" s="72"/>
      <c r="S534" s="72"/>
      <c r="T534" s="72"/>
      <c r="U534" s="72"/>
      <c r="V534" s="72"/>
      <c r="W534" s="72"/>
      <c r="X534" s="72"/>
      <c r="Y534" s="72"/>
    </row>
    <row r="535">
      <c r="A535" s="60"/>
      <c r="B535" s="61"/>
      <c r="C535" s="63"/>
      <c r="D535" s="79"/>
      <c r="E535" s="74" t="s">
        <v>56</v>
      </c>
      <c r="F535" s="63" t="s">
        <v>56</v>
      </c>
      <c r="G535" s="71"/>
      <c r="H535" s="71"/>
      <c r="I535" s="66"/>
      <c r="J535" s="68"/>
      <c r="K535" s="68"/>
      <c r="L535" s="68"/>
      <c r="M535" s="68"/>
      <c r="N535" s="67"/>
      <c r="O535" s="88"/>
      <c r="P535" s="88"/>
      <c r="Q535" s="90"/>
      <c r="R535" s="72"/>
      <c r="S535" s="72"/>
      <c r="T535" s="72"/>
      <c r="U535" s="72"/>
      <c r="V535" s="72"/>
      <c r="W535" s="72"/>
      <c r="X535" s="72"/>
      <c r="Y535" s="72"/>
    </row>
    <row r="536">
      <c r="A536" s="60"/>
      <c r="B536" s="61"/>
      <c r="C536" s="63"/>
      <c r="D536" s="79"/>
      <c r="E536" s="74" t="s">
        <v>56</v>
      </c>
      <c r="F536" s="63" t="s">
        <v>56</v>
      </c>
      <c r="G536" s="71"/>
      <c r="H536" s="71"/>
      <c r="I536" s="66"/>
      <c r="J536" s="68"/>
      <c r="K536" s="68"/>
      <c r="L536" s="68"/>
      <c r="M536" s="68"/>
      <c r="N536" s="67"/>
      <c r="O536" s="88"/>
      <c r="P536" s="88"/>
      <c r="Q536" s="90"/>
      <c r="R536" s="72"/>
      <c r="S536" s="72"/>
      <c r="T536" s="72"/>
      <c r="U536" s="72"/>
      <c r="V536" s="72"/>
      <c r="W536" s="72"/>
      <c r="X536" s="72"/>
      <c r="Y536" s="72"/>
    </row>
    <row r="537">
      <c r="A537" s="60"/>
      <c r="B537" s="61"/>
      <c r="C537" s="63"/>
      <c r="D537" s="79"/>
      <c r="E537" s="74" t="s">
        <v>56</v>
      </c>
      <c r="F537" s="63" t="s">
        <v>56</v>
      </c>
      <c r="G537" s="71"/>
      <c r="H537" s="71"/>
      <c r="I537" s="66"/>
      <c r="J537" s="68"/>
      <c r="K537" s="68"/>
      <c r="L537" s="68"/>
      <c r="M537" s="68"/>
      <c r="N537" s="67"/>
      <c r="O537" s="88"/>
      <c r="P537" s="88"/>
      <c r="Q537" s="90"/>
      <c r="R537" s="72"/>
      <c r="S537" s="72"/>
      <c r="T537" s="72"/>
      <c r="U537" s="72"/>
      <c r="V537" s="72"/>
      <c r="W537" s="72"/>
      <c r="X537" s="72"/>
      <c r="Y537" s="72"/>
    </row>
    <row r="538">
      <c r="A538" s="60"/>
      <c r="B538" s="61"/>
      <c r="C538" s="63"/>
      <c r="D538" s="79"/>
      <c r="E538" s="74" t="s">
        <v>56</v>
      </c>
      <c r="F538" s="63" t="s">
        <v>56</v>
      </c>
      <c r="G538" s="71"/>
      <c r="H538" s="71"/>
      <c r="I538" s="66"/>
      <c r="J538" s="68"/>
      <c r="K538" s="68"/>
      <c r="L538" s="68"/>
      <c r="M538" s="68"/>
      <c r="N538" s="67"/>
      <c r="O538" s="88"/>
      <c r="P538" s="88"/>
      <c r="Q538" s="90"/>
      <c r="R538" s="72"/>
      <c r="S538" s="72"/>
      <c r="T538" s="72"/>
      <c r="U538" s="72"/>
      <c r="V538" s="72"/>
      <c r="W538" s="72"/>
      <c r="X538" s="72"/>
      <c r="Y538" s="72"/>
    </row>
    <row r="539">
      <c r="A539" s="60"/>
      <c r="B539" s="61"/>
      <c r="C539" s="63"/>
      <c r="D539" s="79"/>
      <c r="E539" s="74" t="s">
        <v>56</v>
      </c>
      <c r="F539" s="63" t="s">
        <v>56</v>
      </c>
      <c r="G539" s="71"/>
      <c r="H539" s="71"/>
      <c r="I539" s="66"/>
      <c r="J539" s="68"/>
      <c r="K539" s="68"/>
      <c r="L539" s="68"/>
      <c r="M539" s="68"/>
      <c r="N539" s="67"/>
      <c r="O539" s="88"/>
      <c r="P539" s="88"/>
      <c r="Q539" s="90"/>
      <c r="R539" s="72"/>
      <c r="S539" s="72"/>
      <c r="T539" s="72"/>
      <c r="U539" s="72"/>
      <c r="V539" s="72"/>
      <c r="W539" s="72"/>
      <c r="X539" s="72"/>
      <c r="Y539" s="72"/>
    </row>
    <row r="540">
      <c r="A540" s="60"/>
      <c r="B540" s="61"/>
      <c r="C540" s="63"/>
      <c r="D540" s="79"/>
      <c r="E540" s="74" t="s">
        <v>56</v>
      </c>
      <c r="F540" s="63" t="s">
        <v>56</v>
      </c>
      <c r="G540" s="71"/>
      <c r="H540" s="71"/>
      <c r="I540" s="66"/>
      <c r="J540" s="68"/>
      <c r="K540" s="68"/>
      <c r="L540" s="68"/>
      <c r="M540" s="68"/>
      <c r="N540" s="67"/>
      <c r="O540" s="88"/>
      <c r="P540" s="88"/>
      <c r="Q540" s="90"/>
      <c r="R540" s="72"/>
      <c r="S540" s="72"/>
      <c r="T540" s="72"/>
      <c r="U540" s="72"/>
      <c r="V540" s="72"/>
      <c r="W540" s="72"/>
      <c r="X540" s="72"/>
      <c r="Y540" s="72"/>
    </row>
    <row r="541">
      <c r="A541" s="60"/>
      <c r="B541" s="61"/>
      <c r="C541" s="63"/>
      <c r="D541" s="79"/>
      <c r="E541" s="74" t="s">
        <v>56</v>
      </c>
      <c r="F541" s="63" t="s">
        <v>56</v>
      </c>
      <c r="G541" s="71"/>
      <c r="H541" s="71"/>
      <c r="I541" s="66"/>
      <c r="J541" s="68"/>
      <c r="K541" s="68"/>
      <c r="L541" s="68"/>
      <c r="M541" s="68"/>
      <c r="N541" s="67"/>
      <c r="O541" s="88"/>
      <c r="P541" s="88"/>
      <c r="Q541" s="90"/>
      <c r="R541" s="72"/>
      <c r="S541" s="72"/>
      <c r="T541" s="72"/>
      <c r="U541" s="72"/>
      <c r="V541" s="72"/>
      <c r="W541" s="72"/>
      <c r="X541" s="72"/>
      <c r="Y541" s="72"/>
    </row>
    <row r="542">
      <c r="A542" s="60"/>
      <c r="B542" s="61"/>
      <c r="C542" s="63"/>
      <c r="D542" s="79"/>
      <c r="E542" s="74" t="s">
        <v>56</v>
      </c>
      <c r="F542" s="63" t="s">
        <v>56</v>
      </c>
      <c r="G542" s="71"/>
      <c r="H542" s="71"/>
      <c r="I542" s="66"/>
      <c r="J542" s="68"/>
      <c r="K542" s="68"/>
      <c r="L542" s="68"/>
      <c r="M542" s="68"/>
      <c r="N542" s="67"/>
      <c r="O542" s="88"/>
      <c r="P542" s="88"/>
      <c r="Q542" s="90"/>
      <c r="R542" s="72"/>
      <c r="S542" s="72"/>
      <c r="T542" s="72"/>
      <c r="U542" s="72"/>
      <c r="V542" s="72"/>
      <c r="W542" s="72"/>
      <c r="X542" s="72"/>
      <c r="Y542" s="72"/>
    </row>
    <row r="543">
      <c r="A543" s="60"/>
      <c r="B543" s="61"/>
      <c r="C543" s="63"/>
      <c r="D543" s="79"/>
      <c r="E543" s="74" t="s">
        <v>56</v>
      </c>
      <c r="F543" s="63" t="s">
        <v>56</v>
      </c>
      <c r="G543" s="71"/>
      <c r="H543" s="71"/>
      <c r="I543" s="66"/>
      <c r="J543" s="68"/>
      <c r="K543" s="68"/>
      <c r="L543" s="68"/>
      <c r="M543" s="68"/>
      <c r="N543" s="67"/>
      <c r="O543" s="88"/>
      <c r="P543" s="88"/>
      <c r="Q543" s="90"/>
      <c r="R543" s="72"/>
      <c r="S543" s="72"/>
      <c r="T543" s="72"/>
      <c r="U543" s="72"/>
      <c r="V543" s="72"/>
      <c r="W543" s="72"/>
      <c r="X543" s="72"/>
      <c r="Y543" s="72"/>
    </row>
    <row r="544">
      <c r="A544" s="60"/>
      <c r="B544" s="61"/>
      <c r="C544" s="63"/>
      <c r="D544" s="79"/>
      <c r="E544" s="74" t="s">
        <v>56</v>
      </c>
      <c r="F544" s="63" t="s">
        <v>56</v>
      </c>
      <c r="G544" s="71"/>
      <c r="H544" s="71"/>
      <c r="I544" s="66"/>
      <c r="J544" s="68"/>
      <c r="K544" s="68"/>
      <c r="L544" s="68"/>
      <c r="M544" s="68"/>
      <c r="N544" s="67"/>
      <c r="O544" s="88"/>
      <c r="P544" s="88"/>
      <c r="Q544" s="90"/>
      <c r="R544" s="72"/>
      <c r="S544" s="72"/>
      <c r="T544" s="72"/>
      <c r="U544" s="72"/>
      <c r="V544" s="72"/>
      <c r="W544" s="72"/>
      <c r="X544" s="72"/>
      <c r="Y544" s="72"/>
    </row>
    <row r="545">
      <c r="A545" s="60"/>
      <c r="B545" s="61"/>
      <c r="C545" s="63"/>
      <c r="D545" s="79"/>
      <c r="E545" s="74" t="s">
        <v>56</v>
      </c>
      <c r="F545" s="63" t="s">
        <v>56</v>
      </c>
      <c r="G545" s="71"/>
      <c r="H545" s="71"/>
      <c r="I545" s="66"/>
      <c r="J545" s="68"/>
      <c r="K545" s="68"/>
      <c r="L545" s="68"/>
      <c r="M545" s="68"/>
      <c r="N545" s="67"/>
      <c r="O545" s="88"/>
      <c r="P545" s="88"/>
      <c r="Q545" s="90"/>
      <c r="R545" s="72"/>
      <c r="S545" s="72"/>
      <c r="T545" s="72"/>
      <c r="U545" s="72"/>
      <c r="V545" s="72"/>
      <c r="W545" s="72"/>
      <c r="X545" s="72"/>
      <c r="Y545" s="72"/>
    </row>
    <row r="546">
      <c r="A546" s="60"/>
      <c r="B546" s="61"/>
      <c r="C546" s="63"/>
      <c r="D546" s="79"/>
      <c r="E546" s="74" t="s">
        <v>56</v>
      </c>
      <c r="F546" s="63" t="s">
        <v>56</v>
      </c>
      <c r="G546" s="71"/>
      <c r="H546" s="71"/>
      <c r="I546" s="66"/>
      <c r="J546" s="68"/>
      <c r="K546" s="68"/>
      <c r="L546" s="68"/>
      <c r="M546" s="68"/>
      <c r="N546" s="67"/>
      <c r="O546" s="88"/>
      <c r="P546" s="88"/>
      <c r="Q546" s="90"/>
      <c r="R546" s="72"/>
      <c r="S546" s="72"/>
      <c r="T546" s="72"/>
      <c r="U546" s="72"/>
      <c r="V546" s="72"/>
      <c r="W546" s="72"/>
      <c r="X546" s="72"/>
      <c r="Y546" s="72"/>
    </row>
    <row r="547">
      <c r="A547" s="60"/>
      <c r="B547" s="61"/>
      <c r="C547" s="63"/>
      <c r="D547" s="79"/>
      <c r="E547" s="74" t="s">
        <v>56</v>
      </c>
      <c r="F547" s="63" t="s">
        <v>56</v>
      </c>
      <c r="G547" s="71"/>
      <c r="H547" s="71"/>
      <c r="I547" s="66"/>
      <c r="J547" s="68"/>
      <c r="K547" s="68"/>
      <c r="L547" s="68"/>
      <c r="M547" s="68"/>
      <c r="N547" s="67"/>
      <c r="O547" s="88"/>
      <c r="P547" s="88"/>
      <c r="Q547" s="90"/>
      <c r="R547" s="72"/>
      <c r="S547" s="72"/>
      <c r="T547" s="72"/>
      <c r="U547" s="72"/>
      <c r="V547" s="72"/>
      <c r="W547" s="72"/>
      <c r="X547" s="72"/>
      <c r="Y547" s="72"/>
    </row>
    <row r="548">
      <c r="A548" s="60"/>
      <c r="B548" s="61"/>
      <c r="C548" s="63"/>
      <c r="D548" s="79"/>
      <c r="E548" s="74" t="s">
        <v>56</v>
      </c>
      <c r="F548" s="63" t="s">
        <v>56</v>
      </c>
      <c r="G548" s="71"/>
      <c r="H548" s="71"/>
      <c r="I548" s="66"/>
      <c r="J548" s="68"/>
      <c r="K548" s="68"/>
      <c r="L548" s="68"/>
      <c r="M548" s="68"/>
      <c r="N548" s="67"/>
      <c r="O548" s="88"/>
      <c r="P548" s="88"/>
      <c r="Q548" s="90"/>
      <c r="R548" s="72"/>
      <c r="S548" s="72"/>
      <c r="T548" s="72"/>
      <c r="U548" s="72"/>
      <c r="V548" s="72"/>
      <c r="W548" s="72"/>
      <c r="X548" s="72"/>
      <c r="Y548" s="72"/>
    </row>
    <row r="549">
      <c r="A549" s="60"/>
      <c r="B549" s="61"/>
      <c r="C549" s="63"/>
      <c r="D549" s="79"/>
      <c r="E549" s="74" t="s">
        <v>56</v>
      </c>
      <c r="F549" s="63" t="s">
        <v>56</v>
      </c>
      <c r="G549" s="71"/>
      <c r="H549" s="71"/>
      <c r="I549" s="66"/>
      <c r="J549" s="68"/>
      <c r="K549" s="68"/>
      <c r="L549" s="68"/>
      <c r="M549" s="68"/>
      <c r="N549" s="67"/>
      <c r="O549" s="88"/>
      <c r="P549" s="88"/>
      <c r="Q549" s="90"/>
      <c r="R549" s="72"/>
      <c r="S549" s="72"/>
      <c r="T549" s="72"/>
      <c r="U549" s="72"/>
      <c r="V549" s="72"/>
      <c r="W549" s="72"/>
      <c r="X549" s="72"/>
      <c r="Y549" s="72"/>
    </row>
    <row r="550">
      <c r="A550" s="60"/>
      <c r="B550" s="61"/>
      <c r="C550" s="63"/>
      <c r="D550" s="79"/>
      <c r="E550" s="74" t="s">
        <v>56</v>
      </c>
      <c r="F550" s="63" t="s">
        <v>56</v>
      </c>
      <c r="G550" s="71"/>
      <c r="H550" s="71"/>
      <c r="I550" s="66"/>
      <c r="J550" s="68"/>
      <c r="K550" s="68"/>
      <c r="L550" s="68"/>
      <c r="M550" s="68"/>
      <c r="N550" s="67"/>
      <c r="O550" s="88"/>
      <c r="P550" s="88"/>
      <c r="Q550" s="90"/>
      <c r="R550" s="72"/>
      <c r="S550" s="72"/>
      <c r="T550" s="72"/>
      <c r="U550" s="72"/>
      <c r="V550" s="72"/>
      <c r="W550" s="72"/>
      <c r="X550" s="72"/>
      <c r="Y550" s="72"/>
    </row>
    <row r="551">
      <c r="A551" s="60"/>
      <c r="B551" s="61"/>
      <c r="C551" s="63"/>
      <c r="D551" s="79"/>
      <c r="E551" s="74" t="s">
        <v>56</v>
      </c>
      <c r="F551" s="63" t="s">
        <v>56</v>
      </c>
      <c r="G551" s="71"/>
      <c r="H551" s="71"/>
      <c r="I551" s="66"/>
      <c r="J551" s="68"/>
      <c r="K551" s="68"/>
      <c r="L551" s="68"/>
      <c r="M551" s="68"/>
      <c r="N551" s="67"/>
      <c r="O551" s="88"/>
      <c r="P551" s="88"/>
      <c r="Q551" s="90"/>
      <c r="R551" s="72"/>
      <c r="S551" s="72"/>
      <c r="T551" s="72"/>
      <c r="U551" s="72"/>
      <c r="V551" s="72"/>
      <c r="W551" s="72"/>
      <c r="X551" s="72"/>
      <c r="Y551" s="72"/>
    </row>
    <row r="552">
      <c r="A552" s="60"/>
      <c r="B552" s="61"/>
      <c r="C552" s="63"/>
      <c r="D552" s="79"/>
      <c r="E552" s="74" t="s">
        <v>56</v>
      </c>
      <c r="F552" s="63" t="s">
        <v>56</v>
      </c>
      <c r="G552" s="71"/>
      <c r="H552" s="71"/>
      <c r="I552" s="66"/>
      <c r="J552" s="68"/>
      <c r="K552" s="68"/>
      <c r="L552" s="68"/>
      <c r="M552" s="68"/>
      <c r="N552" s="67"/>
      <c r="O552" s="88"/>
      <c r="P552" s="88"/>
      <c r="Q552" s="90"/>
      <c r="R552" s="72"/>
      <c r="S552" s="72"/>
      <c r="T552" s="72"/>
      <c r="U552" s="72"/>
      <c r="V552" s="72"/>
      <c r="W552" s="72"/>
      <c r="X552" s="72"/>
      <c r="Y552" s="72"/>
    </row>
    <row r="553">
      <c r="A553" s="60"/>
      <c r="B553" s="61"/>
      <c r="C553" s="63"/>
      <c r="D553" s="79"/>
      <c r="E553" s="74" t="s">
        <v>56</v>
      </c>
      <c r="F553" s="63" t="s">
        <v>56</v>
      </c>
      <c r="G553" s="71"/>
      <c r="H553" s="71"/>
      <c r="I553" s="66"/>
      <c r="J553" s="68"/>
      <c r="K553" s="68"/>
      <c r="L553" s="68"/>
      <c r="M553" s="68"/>
      <c r="N553" s="67"/>
      <c r="O553" s="88"/>
      <c r="P553" s="88"/>
      <c r="Q553" s="90"/>
      <c r="R553" s="72"/>
      <c r="S553" s="72"/>
      <c r="T553" s="72"/>
      <c r="U553" s="72"/>
      <c r="V553" s="72"/>
      <c r="W553" s="72"/>
      <c r="X553" s="72"/>
      <c r="Y553" s="72"/>
    </row>
    <row r="554">
      <c r="A554" s="60"/>
      <c r="B554" s="61"/>
      <c r="C554" s="63"/>
      <c r="D554" s="79"/>
      <c r="E554" s="74" t="s">
        <v>56</v>
      </c>
      <c r="F554" s="63" t="s">
        <v>56</v>
      </c>
      <c r="G554" s="71"/>
      <c r="H554" s="71"/>
      <c r="I554" s="66"/>
      <c r="J554" s="68"/>
      <c r="K554" s="68"/>
      <c r="L554" s="68"/>
      <c r="M554" s="68"/>
      <c r="N554" s="67"/>
      <c r="O554" s="88"/>
      <c r="P554" s="88"/>
      <c r="Q554" s="90"/>
      <c r="R554" s="72"/>
      <c r="S554" s="72"/>
      <c r="T554" s="72"/>
      <c r="U554" s="72"/>
      <c r="V554" s="72"/>
      <c r="W554" s="72"/>
      <c r="X554" s="72"/>
      <c r="Y554" s="72"/>
    </row>
    <row r="555">
      <c r="A555" s="60"/>
      <c r="B555" s="61"/>
      <c r="C555" s="63"/>
      <c r="D555" s="79"/>
      <c r="E555" s="74" t="s">
        <v>56</v>
      </c>
      <c r="F555" s="63" t="s">
        <v>56</v>
      </c>
      <c r="G555" s="71"/>
      <c r="H555" s="71"/>
      <c r="I555" s="66"/>
      <c r="J555" s="68"/>
      <c r="K555" s="68"/>
      <c r="L555" s="68"/>
      <c r="M555" s="68"/>
      <c r="N555" s="67"/>
      <c r="O555" s="88"/>
      <c r="P555" s="88"/>
      <c r="Q555" s="90"/>
      <c r="R555" s="72"/>
      <c r="S555" s="72"/>
      <c r="T555" s="72"/>
      <c r="U555" s="72"/>
      <c r="V555" s="72"/>
      <c r="W555" s="72"/>
      <c r="X555" s="72"/>
      <c r="Y555" s="72"/>
    </row>
    <row r="556">
      <c r="A556" s="60"/>
      <c r="B556" s="61"/>
      <c r="C556" s="63"/>
      <c r="D556" s="79"/>
      <c r="E556" s="74" t="s">
        <v>56</v>
      </c>
      <c r="F556" s="63" t="s">
        <v>56</v>
      </c>
      <c r="G556" s="71"/>
      <c r="H556" s="71"/>
      <c r="I556" s="66"/>
      <c r="J556" s="68"/>
      <c r="K556" s="68"/>
      <c r="L556" s="68"/>
      <c r="M556" s="68"/>
      <c r="N556" s="67"/>
      <c r="O556" s="88"/>
      <c r="P556" s="88"/>
      <c r="Q556" s="90"/>
      <c r="R556" s="72"/>
      <c r="S556" s="72"/>
      <c r="T556" s="72"/>
      <c r="U556" s="72"/>
      <c r="V556" s="72"/>
      <c r="W556" s="72"/>
      <c r="X556" s="72"/>
      <c r="Y556" s="72"/>
    </row>
    <row r="557">
      <c r="A557" s="60"/>
      <c r="B557" s="61"/>
      <c r="C557" s="63"/>
      <c r="D557" s="79"/>
      <c r="E557" s="74" t="s">
        <v>56</v>
      </c>
      <c r="F557" s="63" t="s">
        <v>56</v>
      </c>
      <c r="G557" s="71"/>
      <c r="H557" s="71"/>
      <c r="I557" s="66"/>
      <c r="J557" s="68"/>
      <c r="K557" s="68"/>
      <c r="L557" s="68"/>
      <c r="M557" s="68"/>
      <c r="N557" s="67"/>
      <c r="O557" s="88"/>
      <c r="P557" s="88"/>
      <c r="Q557" s="90"/>
      <c r="R557" s="72"/>
      <c r="S557" s="72"/>
      <c r="T557" s="72"/>
      <c r="U557" s="72"/>
      <c r="V557" s="72"/>
      <c r="W557" s="72"/>
      <c r="X557" s="72"/>
      <c r="Y557" s="72"/>
    </row>
    <row r="558">
      <c r="A558" s="60"/>
      <c r="B558" s="61"/>
      <c r="C558" s="63"/>
      <c r="D558" s="79"/>
      <c r="E558" s="74" t="s">
        <v>56</v>
      </c>
      <c r="F558" s="63" t="s">
        <v>56</v>
      </c>
      <c r="G558" s="71"/>
      <c r="H558" s="71"/>
      <c r="I558" s="66"/>
      <c r="J558" s="68"/>
      <c r="K558" s="68"/>
      <c r="L558" s="68"/>
      <c r="M558" s="68"/>
      <c r="N558" s="67"/>
      <c r="O558" s="88"/>
      <c r="P558" s="88"/>
      <c r="Q558" s="90"/>
      <c r="R558" s="72"/>
      <c r="S558" s="72"/>
      <c r="T558" s="72"/>
      <c r="U558" s="72"/>
      <c r="V558" s="72"/>
      <c r="W558" s="72"/>
      <c r="X558" s="72"/>
      <c r="Y558" s="72"/>
    </row>
    <row r="559">
      <c r="A559" s="60"/>
      <c r="B559" s="61"/>
      <c r="C559" s="63"/>
      <c r="D559" s="79"/>
      <c r="E559" s="74" t="s">
        <v>56</v>
      </c>
      <c r="F559" s="63" t="s">
        <v>56</v>
      </c>
      <c r="G559" s="71"/>
      <c r="H559" s="71"/>
      <c r="I559" s="66"/>
      <c r="J559" s="68"/>
      <c r="K559" s="68"/>
      <c r="L559" s="68"/>
      <c r="M559" s="68"/>
      <c r="N559" s="67"/>
      <c r="O559" s="88"/>
      <c r="P559" s="88"/>
      <c r="Q559" s="90"/>
      <c r="R559" s="72"/>
      <c r="S559" s="72"/>
      <c r="T559" s="72"/>
      <c r="U559" s="72"/>
      <c r="V559" s="72"/>
      <c r="W559" s="72"/>
      <c r="X559" s="72"/>
      <c r="Y559" s="72"/>
    </row>
    <row r="560">
      <c r="A560" s="60"/>
      <c r="B560" s="61"/>
      <c r="C560" s="63"/>
      <c r="D560" s="79"/>
      <c r="E560" s="74" t="s">
        <v>56</v>
      </c>
      <c r="F560" s="63" t="s">
        <v>56</v>
      </c>
      <c r="G560" s="71"/>
      <c r="H560" s="71"/>
      <c r="I560" s="66"/>
      <c r="J560" s="68"/>
      <c r="K560" s="68"/>
      <c r="L560" s="68"/>
      <c r="M560" s="68"/>
      <c r="N560" s="67"/>
      <c r="O560" s="88"/>
      <c r="P560" s="88"/>
      <c r="Q560" s="90"/>
      <c r="R560" s="72"/>
      <c r="S560" s="72"/>
      <c r="T560" s="72"/>
      <c r="U560" s="72"/>
      <c r="V560" s="72"/>
      <c r="W560" s="72"/>
      <c r="X560" s="72"/>
      <c r="Y560" s="72"/>
    </row>
    <row r="561">
      <c r="A561" s="60"/>
      <c r="B561" s="61"/>
      <c r="C561" s="63"/>
      <c r="D561" s="79"/>
      <c r="E561" s="74" t="s">
        <v>56</v>
      </c>
      <c r="F561" s="63" t="s">
        <v>56</v>
      </c>
      <c r="G561" s="71"/>
      <c r="H561" s="71"/>
      <c r="I561" s="66"/>
      <c r="J561" s="68"/>
      <c r="K561" s="68"/>
      <c r="L561" s="68"/>
      <c r="M561" s="68"/>
      <c r="N561" s="67"/>
      <c r="O561" s="88"/>
      <c r="P561" s="88"/>
      <c r="Q561" s="90"/>
      <c r="R561" s="72"/>
      <c r="S561" s="72"/>
      <c r="T561" s="72"/>
      <c r="U561" s="72"/>
      <c r="V561" s="72"/>
      <c r="W561" s="72"/>
      <c r="X561" s="72"/>
      <c r="Y561" s="72"/>
    </row>
    <row r="562">
      <c r="A562" s="60"/>
      <c r="B562" s="61"/>
      <c r="C562" s="63"/>
      <c r="D562" s="79"/>
      <c r="E562" s="74" t="s">
        <v>56</v>
      </c>
      <c r="F562" s="63" t="s">
        <v>56</v>
      </c>
      <c r="G562" s="71"/>
      <c r="H562" s="71"/>
      <c r="I562" s="66"/>
      <c r="J562" s="68"/>
      <c r="K562" s="68"/>
      <c r="L562" s="68"/>
      <c r="M562" s="68"/>
      <c r="N562" s="67"/>
      <c r="O562" s="88"/>
      <c r="P562" s="88"/>
      <c r="Q562" s="90"/>
      <c r="R562" s="72"/>
      <c r="S562" s="72"/>
      <c r="T562" s="72"/>
      <c r="U562" s="72"/>
      <c r="V562" s="72"/>
      <c r="W562" s="72"/>
      <c r="X562" s="72"/>
      <c r="Y562" s="72"/>
    </row>
    <row r="563">
      <c r="A563" s="60"/>
      <c r="B563" s="61"/>
      <c r="C563" s="63"/>
      <c r="D563" s="79"/>
      <c r="E563" s="74" t="s">
        <v>56</v>
      </c>
      <c r="F563" s="63" t="s">
        <v>56</v>
      </c>
      <c r="G563" s="71"/>
      <c r="H563" s="71"/>
      <c r="I563" s="66"/>
      <c r="J563" s="68"/>
      <c r="K563" s="68"/>
      <c r="L563" s="68"/>
      <c r="M563" s="68"/>
      <c r="N563" s="67"/>
      <c r="O563" s="88"/>
      <c r="P563" s="88"/>
      <c r="Q563" s="90"/>
      <c r="R563" s="72"/>
      <c r="S563" s="72"/>
      <c r="T563" s="72"/>
      <c r="U563" s="72"/>
      <c r="V563" s="72"/>
      <c r="W563" s="72"/>
      <c r="X563" s="72"/>
      <c r="Y563" s="72"/>
    </row>
    <row r="564">
      <c r="A564" s="60"/>
      <c r="B564" s="61"/>
      <c r="C564" s="63"/>
      <c r="D564" s="79"/>
      <c r="E564" s="74" t="s">
        <v>56</v>
      </c>
      <c r="F564" s="63" t="s">
        <v>56</v>
      </c>
      <c r="G564" s="71"/>
      <c r="H564" s="71"/>
      <c r="I564" s="66"/>
      <c r="J564" s="68"/>
      <c r="K564" s="68"/>
      <c r="L564" s="68"/>
      <c r="M564" s="68"/>
      <c r="N564" s="67"/>
      <c r="O564" s="88"/>
      <c r="P564" s="88"/>
      <c r="Q564" s="90"/>
      <c r="R564" s="72"/>
      <c r="S564" s="72"/>
      <c r="T564" s="72"/>
      <c r="U564" s="72"/>
      <c r="V564" s="72"/>
      <c r="W564" s="72"/>
      <c r="X564" s="72"/>
      <c r="Y564" s="72"/>
    </row>
    <row r="565">
      <c r="A565" s="60"/>
      <c r="B565" s="61"/>
      <c r="C565" s="63"/>
      <c r="D565" s="79"/>
      <c r="E565" s="74" t="s">
        <v>56</v>
      </c>
      <c r="F565" s="63" t="s">
        <v>56</v>
      </c>
      <c r="G565" s="71"/>
      <c r="H565" s="71"/>
      <c r="I565" s="66"/>
      <c r="J565" s="68"/>
      <c r="K565" s="68"/>
      <c r="L565" s="68"/>
      <c r="M565" s="68"/>
      <c r="N565" s="67"/>
      <c r="O565" s="88"/>
      <c r="P565" s="88"/>
      <c r="Q565" s="90"/>
      <c r="R565" s="72"/>
      <c r="S565" s="72"/>
      <c r="T565" s="72"/>
      <c r="U565" s="72"/>
      <c r="V565" s="72"/>
      <c r="W565" s="72"/>
      <c r="X565" s="72"/>
      <c r="Y565" s="72"/>
    </row>
    <row r="566">
      <c r="A566" s="60"/>
      <c r="B566" s="61"/>
      <c r="C566" s="63"/>
      <c r="D566" s="79"/>
      <c r="E566" s="74" t="s">
        <v>56</v>
      </c>
      <c r="F566" s="63" t="s">
        <v>56</v>
      </c>
      <c r="G566" s="71"/>
      <c r="H566" s="71"/>
      <c r="I566" s="66"/>
      <c r="J566" s="68"/>
      <c r="K566" s="68"/>
      <c r="L566" s="68"/>
      <c r="M566" s="68"/>
      <c r="N566" s="67"/>
      <c r="O566" s="88"/>
      <c r="P566" s="88"/>
      <c r="Q566" s="90"/>
      <c r="R566" s="72"/>
      <c r="S566" s="72"/>
      <c r="T566" s="72"/>
      <c r="U566" s="72"/>
      <c r="V566" s="72"/>
      <c r="W566" s="72"/>
      <c r="X566" s="72"/>
      <c r="Y566" s="72"/>
    </row>
    <row r="567">
      <c r="A567" s="60"/>
      <c r="B567" s="61"/>
      <c r="C567" s="63"/>
      <c r="D567" s="79"/>
      <c r="E567" s="74" t="s">
        <v>56</v>
      </c>
      <c r="F567" s="63" t="s">
        <v>56</v>
      </c>
      <c r="G567" s="71"/>
      <c r="H567" s="71"/>
      <c r="I567" s="66"/>
      <c r="J567" s="68"/>
      <c r="K567" s="68"/>
      <c r="L567" s="68"/>
      <c r="M567" s="68"/>
      <c r="N567" s="67"/>
      <c r="O567" s="88"/>
      <c r="P567" s="88"/>
      <c r="Q567" s="90"/>
      <c r="R567" s="72"/>
      <c r="S567" s="72"/>
      <c r="T567" s="72"/>
      <c r="U567" s="72"/>
      <c r="V567" s="72"/>
      <c r="W567" s="72"/>
      <c r="X567" s="72"/>
      <c r="Y567" s="72"/>
    </row>
    <row r="568">
      <c r="A568" s="60"/>
      <c r="B568" s="61"/>
      <c r="C568" s="63"/>
      <c r="D568" s="79"/>
      <c r="E568" s="74" t="s">
        <v>56</v>
      </c>
      <c r="F568" s="63" t="s">
        <v>56</v>
      </c>
      <c r="G568" s="71"/>
      <c r="H568" s="71"/>
      <c r="I568" s="66"/>
      <c r="J568" s="68"/>
      <c r="K568" s="68"/>
      <c r="L568" s="68"/>
      <c r="M568" s="68"/>
      <c r="N568" s="67"/>
      <c r="O568" s="88"/>
      <c r="P568" s="88"/>
      <c r="Q568" s="90"/>
      <c r="R568" s="72"/>
      <c r="S568" s="72"/>
      <c r="T568" s="72"/>
      <c r="U568" s="72"/>
      <c r="V568" s="72"/>
      <c r="W568" s="72"/>
      <c r="X568" s="72"/>
      <c r="Y568" s="72"/>
    </row>
    <row r="569">
      <c r="A569" s="60"/>
      <c r="B569" s="61"/>
      <c r="C569" s="63"/>
      <c r="D569" s="79"/>
      <c r="E569" s="74" t="s">
        <v>56</v>
      </c>
      <c r="F569" s="63" t="s">
        <v>56</v>
      </c>
      <c r="G569" s="71"/>
      <c r="H569" s="71"/>
      <c r="I569" s="66"/>
      <c r="J569" s="68"/>
      <c r="K569" s="68"/>
      <c r="L569" s="68"/>
      <c r="M569" s="68"/>
      <c r="N569" s="67"/>
      <c r="O569" s="88"/>
      <c r="P569" s="88"/>
      <c r="Q569" s="90"/>
      <c r="R569" s="72"/>
      <c r="S569" s="72"/>
      <c r="T569" s="72"/>
      <c r="U569" s="72"/>
      <c r="V569" s="72"/>
      <c r="W569" s="72"/>
      <c r="X569" s="72"/>
      <c r="Y569" s="72"/>
    </row>
    <row r="570">
      <c r="A570" s="60"/>
      <c r="B570" s="61"/>
      <c r="C570" s="63"/>
      <c r="D570" s="79"/>
      <c r="E570" s="74" t="s">
        <v>56</v>
      </c>
      <c r="F570" s="63" t="s">
        <v>56</v>
      </c>
      <c r="G570" s="71"/>
      <c r="H570" s="71"/>
      <c r="I570" s="66"/>
      <c r="J570" s="68"/>
      <c r="K570" s="68"/>
      <c r="L570" s="68"/>
      <c r="M570" s="68"/>
      <c r="N570" s="67"/>
      <c r="O570" s="88"/>
      <c r="P570" s="88"/>
      <c r="Q570" s="90"/>
      <c r="R570" s="72"/>
      <c r="S570" s="72"/>
      <c r="T570" s="72"/>
      <c r="U570" s="72"/>
      <c r="V570" s="72"/>
      <c r="W570" s="72"/>
      <c r="X570" s="72"/>
      <c r="Y570" s="72"/>
    </row>
    <row r="571">
      <c r="A571" s="60"/>
      <c r="B571" s="61"/>
      <c r="C571" s="63"/>
      <c r="D571" s="79"/>
      <c r="E571" s="74" t="s">
        <v>56</v>
      </c>
      <c r="F571" s="63" t="s">
        <v>56</v>
      </c>
      <c r="G571" s="71"/>
      <c r="H571" s="71"/>
      <c r="I571" s="66"/>
      <c r="J571" s="68"/>
      <c r="K571" s="68"/>
      <c r="L571" s="68"/>
      <c r="M571" s="68"/>
      <c r="N571" s="67"/>
      <c r="O571" s="88"/>
      <c r="P571" s="88"/>
      <c r="Q571" s="90"/>
      <c r="R571" s="72"/>
      <c r="S571" s="72"/>
      <c r="T571" s="72"/>
      <c r="U571" s="72"/>
      <c r="V571" s="72"/>
      <c r="W571" s="72"/>
      <c r="X571" s="72"/>
      <c r="Y571" s="72"/>
    </row>
    <row r="572">
      <c r="A572" s="60"/>
      <c r="B572" s="61"/>
      <c r="C572" s="63"/>
      <c r="D572" s="79"/>
      <c r="E572" s="74" t="s">
        <v>56</v>
      </c>
      <c r="F572" s="63" t="s">
        <v>56</v>
      </c>
      <c r="G572" s="71"/>
      <c r="H572" s="71"/>
      <c r="I572" s="66"/>
      <c r="J572" s="68"/>
      <c r="K572" s="68"/>
      <c r="L572" s="68"/>
      <c r="M572" s="68"/>
      <c r="N572" s="67"/>
      <c r="O572" s="88"/>
      <c r="P572" s="88"/>
      <c r="Q572" s="90"/>
      <c r="R572" s="72"/>
      <c r="S572" s="72"/>
      <c r="T572" s="72"/>
      <c r="U572" s="72"/>
      <c r="V572" s="72"/>
      <c r="W572" s="72"/>
      <c r="X572" s="72"/>
      <c r="Y572" s="72"/>
    </row>
    <row r="573">
      <c r="A573" s="60"/>
      <c r="B573" s="61"/>
      <c r="C573" s="63"/>
      <c r="D573" s="79"/>
      <c r="E573" s="74" t="s">
        <v>56</v>
      </c>
      <c r="F573" s="63" t="s">
        <v>56</v>
      </c>
      <c r="G573" s="71"/>
      <c r="H573" s="71"/>
      <c r="I573" s="66"/>
      <c r="J573" s="68"/>
      <c r="K573" s="68"/>
      <c r="L573" s="68"/>
      <c r="M573" s="68"/>
      <c r="N573" s="67"/>
      <c r="O573" s="88"/>
      <c r="P573" s="88"/>
      <c r="Q573" s="90"/>
      <c r="R573" s="72"/>
      <c r="S573" s="72"/>
      <c r="T573" s="72"/>
      <c r="U573" s="72"/>
      <c r="V573" s="72"/>
      <c r="W573" s="72"/>
      <c r="X573" s="72"/>
      <c r="Y573" s="72"/>
    </row>
    <row r="574">
      <c r="A574" s="60"/>
      <c r="B574" s="61"/>
      <c r="C574" s="63"/>
      <c r="D574" s="79"/>
      <c r="E574" s="74" t="s">
        <v>56</v>
      </c>
      <c r="F574" s="63" t="s">
        <v>56</v>
      </c>
      <c r="G574" s="71"/>
      <c r="H574" s="71"/>
      <c r="I574" s="66"/>
      <c r="J574" s="68"/>
      <c r="K574" s="68"/>
      <c r="L574" s="68"/>
      <c r="M574" s="68"/>
      <c r="N574" s="67"/>
      <c r="O574" s="88"/>
      <c r="P574" s="88"/>
      <c r="Q574" s="90"/>
      <c r="R574" s="72"/>
      <c r="S574" s="72"/>
      <c r="T574" s="72"/>
      <c r="U574" s="72"/>
      <c r="V574" s="72"/>
      <c r="W574" s="72"/>
      <c r="X574" s="72"/>
      <c r="Y574" s="72"/>
    </row>
    <row r="575">
      <c r="A575" s="60"/>
      <c r="B575" s="61"/>
      <c r="C575" s="63"/>
      <c r="D575" s="79"/>
      <c r="E575" s="74" t="s">
        <v>56</v>
      </c>
      <c r="F575" s="63" t="s">
        <v>56</v>
      </c>
      <c r="G575" s="71"/>
      <c r="H575" s="71"/>
      <c r="I575" s="66"/>
      <c r="J575" s="68"/>
      <c r="K575" s="68"/>
      <c r="L575" s="68"/>
      <c r="M575" s="68"/>
      <c r="N575" s="67"/>
      <c r="O575" s="88"/>
      <c r="P575" s="88"/>
      <c r="Q575" s="90"/>
      <c r="R575" s="72"/>
      <c r="S575" s="72"/>
      <c r="T575" s="72"/>
      <c r="U575" s="72"/>
      <c r="V575" s="72"/>
      <c r="W575" s="72"/>
      <c r="X575" s="72"/>
      <c r="Y575" s="72"/>
    </row>
    <row r="576">
      <c r="A576" s="60"/>
      <c r="B576" s="61"/>
      <c r="C576" s="63"/>
      <c r="D576" s="79"/>
      <c r="E576" s="74" t="s">
        <v>56</v>
      </c>
      <c r="F576" s="63" t="s">
        <v>56</v>
      </c>
      <c r="G576" s="71"/>
      <c r="H576" s="71"/>
      <c r="I576" s="66"/>
      <c r="J576" s="68"/>
      <c r="K576" s="68"/>
      <c r="L576" s="68"/>
      <c r="M576" s="68"/>
      <c r="N576" s="67"/>
      <c r="O576" s="88"/>
      <c r="P576" s="88"/>
      <c r="Q576" s="90"/>
      <c r="R576" s="72"/>
      <c r="S576" s="72"/>
      <c r="T576" s="72"/>
      <c r="U576" s="72"/>
      <c r="V576" s="72"/>
      <c r="W576" s="72"/>
      <c r="X576" s="72"/>
      <c r="Y576" s="72"/>
    </row>
    <row r="577">
      <c r="A577" s="60"/>
      <c r="B577" s="61"/>
      <c r="C577" s="63"/>
      <c r="D577" s="79"/>
      <c r="E577" s="74" t="s">
        <v>56</v>
      </c>
      <c r="F577" s="63" t="s">
        <v>56</v>
      </c>
      <c r="G577" s="71"/>
      <c r="H577" s="71"/>
      <c r="I577" s="66"/>
      <c r="J577" s="68"/>
      <c r="K577" s="68"/>
      <c r="L577" s="68"/>
      <c r="M577" s="68"/>
      <c r="N577" s="67"/>
      <c r="O577" s="88"/>
      <c r="P577" s="88"/>
      <c r="Q577" s="90"/>
      <c r="R577" s="72"/>
      <c r="S577" s="72"/>
      <c r="T577" s="72"/>
      <c r="U577" s="72"/>
      <c r="V577" s="72"/>
      <c r="W577" s="72"/>
      <c r="X577" s="72"/>
      <c r="Y577" s="72"/>
    </row>
    <row r="578">
      <c r="A578" s="60"/>
      <c r="B578" s="61"/>
      <c r="C578" s="63"/>
      <c r="D578" s="79"/>
      <c r="E578" s="74" t="s">
        <v>56</v>
      </c>
      <c r="F578" s="63" t="s">
        <v>56</v>
      </c>
      <c r="G578" s="71"/>
      <c r="H578" s="71"/>
      <c r="I578" s="66"/>
      <c r="J578" s="68"/>
      <c r="K578" s="68"/>
      <c r="L578" s="68"/>
      <c r="M578" s="68"/>
      <c r="N578" s="67"/>
      <c r="O578" s="88"/>
      <c r="P578" s="88"/>
      <c r="Q578" s="90"/>
      <c r="R578" s="72"/>
      <c r="S578" s="72"/>
      <c r="T578" s="72"/>
      <c r="U578" s="72"/>
      <c r="V578" s="72"/>
      <c r="W578" s="72"/>
      <c r="X578" s="72"/>
      <c r="Y578" s="72"/>
    </row>
    <row r="579">
      <c r="A579" s="60"/>
      <c r="B579" s="61"/>
      <c r="C579" s="63"/>
      <c r="D579" s="79"/>
      <c r="E579" s="74" t="s">
        <v>56</v>
      </c>
      <c r="F579" s="63" t="s">
        <v>56</v>
      </c>
      <c r="G579" s="71"/>
      <c r="H579" s="71"/>
      <c r="I579" s="66"/>
      <c r="J579" s="68"/>
      <c r="K579" s="68"/>
      <c r="L579" s="68"/>
      <c r="M579" s="68"/>
      <c r="N579" s="67"/>
      <c r="O579" s="88"/>
      <c r="P579" s="88"/>
      <c r="Q579" s="90"/>
      <c r="R579" s="72"/>
      <c r="S579" s="72"/>
      <c r="T579" s="72"/>
      <c r="U579" s="72"/>
      <c r="V579" s="72"/>
      <c r="W579" s="72"/>
      <c r="X579" s="72"/>
      <c r="Y579" s="72"/>
    </row>
    <row r="580">
      <c r="A580" s="60"/>
      <c r="B580" s="61"/>
      <c r="C580" s="63"/>
      <c r="D580" s="79"/>
      <c r="E580" s="74" t="s">
        <v>56</v>
      </c>
      <c r="F580" s="63" t="s">
        <v>56</v>
      </c>
      <c r="G580" s="71"/>
      <c r="H580" s="71"/>
      <c r="I580" s="66"/>
      <c r="J580" s="68"/>
      <c r="K580" s="68"/>
      <c r="L580" s="68"/>
      <c r="M580" s="68"/>
      <c r="N580" s="67"/>
      <c r="O580" s="88"/>
      <c r="P580" s="88"/>
      <c r="Q580" s="90"/>
      <c r="R580" s="72"/>
      <c r="S580" s="72"/>
      <c r="T580" s="72"/>
      <c r="U580" s="72"/>
      <c r="V580" s="72"/>
      <c r="W580" s="72"/>
      <c r="X580" s="72"/>
      <c r="Y580" s="72"/>
    </row>
    <row r="581">
      <c r="A581" s="60"/>
      <c r="B581" s="61"/>
      <c r="C581" s="63"/>
      <c r="D581" s="79"/>
      <c r="E581" s="74" t="s">
        <v>56</v>
      </c>
      <c r="F581" s="63" t="s">
        <v>56</v>
      </c>
      <c r="G581" s="71"/>
      <c r="H581" s="71"/>
      <c r="I581" s="66"/>
      <c r="J581" s="68"/>
      <c r="K581" s="68"/>
      <c r="L581" s="68"/>
      <c r="M581" s="68"/>
      <c r="N581" s="67"/>
      <c r="O581" s="88"/>
      <c r="P581" s="88"/>
      <c r="Q581" s="90"/>
      <c r="R581" s="72"/>
      <c r="S581" s="72"/>
      <c r="T581" s="72"/>
      <c r="U581" s="72"/>
      <c r="V581" s="72"/>
      <c r="W581" s="72"/>
      <c r="X581" s="72"/>
      <c r="Y581" s="72"/>
    </row>
    <row r="582">
      <c r="A582" s="60"/>
      <c r="B582" s="61"/>
      <c r="C582" s="63"/>
      <c r="D582" s="79"/>
      <c r="E582" s="74" t="s">
        <v>56</v>
      </c>
      <c r="F582" s="63" t="s">
        <v>56</v>
      </c>
      <c r="G582" s="71"/>
      <c r="H582" s="71"/>
      <c r="I582" s="66"/>
      <c r="J582" s="68"/>
      <c r="K582" s="68"/>
      <c r="L582" s="68"/>
      <c r="M582" s="68"/>
      <c r="N582" s="67"/>
      <c r="O582" s="88"/>
      <c r="P582" s="88"/>
      <c r="Q582" s="90"/>
      <c r="R582" s="72"/>
      <c r="S582" s="72"/>
      <c r="T582" s="72"/>
      <c r="U582" s="72"/>
      <c r="V582" s="72"/>
      <c r="W582" s="72"/>
      <c r="X582" s="72"/>
      <c r="Y582" s="72"/>
    </row>
    <row r="583">
      <c r="A583" s="60"/>
      <c r="B583" s="61"/>
      <c r="C583" s="63"/>
      <c r="D583" s="79"/>
      <c r="E583" s="74" t="s">
        <v>56</v>
      </c>
      <c r="F583" s="63" t="s">
        <v>56</v>
      </c>
      <c r="G583" s="71"/>
      <c r="H583" s="71"/>
      <c r="I583" s="66"/>
      <c r="J583" s="68"/>
      <c r="K583" s="68"/>
      <c r="L583" s="68"/>
      <c r="M583" s="68"/>
      <c r="N583" s="67"/>
      <c r="O583" s="88"/>
      <c r="P583" s="88"/>
      <c r="Q583" s="90"/>
      <c r="R583" s="72"/>
      <c r="S583" s="72"/>
      <c r="T583" s="72"/>
      <c r="U583" s="72"/>
      <c r="V583" s="72"/>
      <c r="W583" s="72"/>
      <c r="X583" s="72"/>
      <c r="Y583" s="72"/>
    </row>
    <row r="584">
      <c r="A584" s="60"/>
      <c r="B584" s="61"/>
      <c r="C584" s="63"/>
      <c r="D584" s="79"/>
      <c r="E584" s="74" t="s">
        <v>56</v>
      </c>
      <c r="F584" s="63" t="s">
        <v>56</v>
      </c>
      <c r="G584" s="71"/>
      <c r="H584" s="71"/>
      <c r="I584" s="66"/>
      <c r="J584" s="68"/>
      <c r="K584" s="68"/>
      <c r="L584" s="68"/>
      <c r="M584" s="68"/>
      <c r="N584" s="67"/>
      <c r="O584" s="88"/>
      <c r="P584" s="88"/>
      <c r="Q584" s="90"/>
      <c r="R584" s="72"/>
      <c r="S584" s="72"/>
      <c r="T584" s="72"/>
      <c r="U584" s="72"/>
      <c r="V584" s="72"/>
      <c r="W584" s="72"/>
      <c r="X584" s="72"/>
      <c r="Y584" s="72"/>
    </row>
    <row r="585">
      <c r="A585" s="60"/>
      <c r="B585" s="61"/>
      <c r="C585" s="63"/>
      <c r="D585" s="79"/>
      <c r="E585" s="74" t="s">
        <v>56</v>
      </c>
      <c r="F585" s="63" t="s">
        <v>56</v>
      </c>
      <c r="G585" s="71"/>
      <c r="H585" s="71"/>
      <c r="I585" s="66"/>
      <c r="J585" s="68"/>
      <c r="K585" s="68"/>
      <c r="L585" s="68"/>
      <c r="M585" s="68"/>
      <c r="N585" s="67"/>
      <c r="O585" s="88"/>
      <c r="P585" s="88"/>
      <c r="Q585" s="90"/>
      <c r="R585" s="72"/>
      <c r="S585" s="72"/>
      <c r="T585" s="72"/>
      <c r="U585" s="72"/>
      <c r="V585" s="72"/>
      <c r="W585" s="72"/>
      <c r="X585" s="72"/>
      <c r="Y585" s="72"/>
    </row>
    <row r="586">
      <c r="A586" s="60"/>
      <c r="B586" s="61"/>
      <c r="C586" s="63"/>
      <c r="D586" s="79"/>
      <c r="E586" s="74" t="s">
        <v>56</v>
      </c>
      <c r="F586" s="63" t="s">
        <v>56</v>
      </c>
      <c r="G586" s="71"/>
      <c r="H586" s="71"/>
      <c r="I586" s="66"/>
      <c r="J586" s="68"/>
      <c r="K586" s="68"/>
      <c r="L586" s="68"/>
      <c r="M586" s="68"/>
      <c r="N586" s="67"/>
      <c r="O586" s="88"/>
      <c r="P586" s="88"/>
      <c r="Q586" s="90"/>
      <c r="R586" s="72"/>
      <c r="S586" s="72"/>
      <c r="T586" s="72"/>
      <c r="U586" s="72"/>
      <c r="V586" s="72"/>
      <c r="W586" s="72"/>
      <c r="X586" s="72"/>
      <c r="Y586" s="72"/>
    </row>
    <row r="587">
      <c r="A587" s="60"/>
      <c r="B587" s="61"/>
      <c r="C587" s="63"/>
      <c r="D587" s="79"/>
      <c r="E587" s="74" t="s">
        <v>56</v>
      </c>
      <c r="F587" s="63" t="s">
        <v>56</v>
      </c>
      <c r="G587" s="71"/>
      <c r="H587" s="71"/>
      <c r="I587" s="66"/>
      <c r="J587" s="68"/>
      <c r="K587" s="68"/>
      <c r="L587" s="68"/>
      <c r="M587" s="68"/>
      <c r="N587" s="67"/>
      <c r="O587" s="88"/>
      <c r="P587" s="88"/>
      <c r="Q587" s="90"/>
      <c r="R587" s="72"/>
      <c r="S587" s="72"/>
      <c r="T587" s="72"/>
      <c r="U587" s="72"/>
      <c r="V587" s="72"/>
      <c r="W587" s="72"/>
      <c r="X587" s="72"/>
      <c r="Y587" s="72"/>
    </row>
    <row r="588">
      <c r="A588" s="60"/>
      <c r="B588" s="61"/>
      <c r="C588" s="63"/>
      <c r="D588" s="79"/>
      <c r="E588" s="74" t="s">
        <v>56</v>
      </c>
      <c r="F588" s="63" t="s">
        <v>56</v>
      </c>
      <c r="G588" s="71"/>
      <c r="H588" s="71"/>
      <c r="I588" s="66"/>
      <c r="J588" s="68"/>
      <c r="K588" s="68"/>
      <c r="L588" s="68"/>
      <c r="M588" s="68"/>
      <c r="N588" s="67"/>
      <c r="O588" s="88"/>
      <c r="P588" s="88"/>
      <c r="Q588" s="90"/>
      <c r="R588" s="72"/>
      <c r="S588" s="72"/>
      <c r="T588" s="72"/>
      <c r="U588" s="72"/>
      <c r="V588" s="72"/>
      <c r="W588" s="72"/>
      <c r="X588" s="72"/>
      <c r="Y588" s="72"/>
    </row>
    <row r="589">
      <c r="A589" s="60"/>
      <c r="B589" s="61"/>
      <c r="C589" s="63"/>
      <c r="D589" s="79"/>
      <c r="E589" s="74" t="s">
        <v>56</v>
      </c>
      <c r="F589" s="63" t="s">
        <v>56</v>
      </c>
      <c r="G589" s="71"/>
      <c r="H589" s="71"/>
      <c r="I589" s="66"/>
      <c r="J589" s="68"/>
      <c r="K589" s="68"/>
      <c r="L589" s="68"/>
      <c r="M589" s="68"/>
      <c r="N589" s="67"/>
      <c r="O589" s="88"/>
      <c r="P589" s="88"/>
      <c r="Q589" s="90"/>
      <c r="R589" s="72"/>
      <c r="S589" s="72"/>
      <c r="T589" s="72"/>
      <c r="U589" s="72"/>
      <c r="V589" s="72"/>
      <c r="W589" s="72"/>
      <c r="X589" s="72"/>
      <c r="Y589" s="72"/>
    </row>
    <row r="590">
      <c r="A590" s="60"/>
      <c r="B590" s="61"/>
      <c r="C590" s="63"/>
      <c r="D590" s="79"/>
      <c r="E590" s="74" t="s">
        <v>56</v>
      </c>
      <c r="F590" s="63" t="s">
        <v>56</v>
      </c>
      <c r="G590" s="71"/>
      <c r="H590" s="71"/>
      <c r="I590" s="66"/>
      <c r="J590" s="68"/>
      <c r="K590" s="68"/>
      <c r="L590" s="68"/>
      <c r="M590" s="68"/>
      <c r="N590" s="67"/>
      <c r="O590" s="88"/>
      <c r="P590" s="88"/>
      <c r="Q590" s="90"/>
      <c r="R590" s="72"/>
      <c r="S590" s="72"/>
      <c r="T590" s="72"/>
      <c r="U590" s="72"/>
      <c r="V590" s="72"/>
      <c r="W590" s="72"/>
      <c r="X590" s="72"/>
      <c r="Y590" s="72"/>
    </row>
    <row r="591">
      <c r="A591" s="60"/>
      <c r="B591" s="61"/>
      <c r="C591" s="63"/>
      <c r="D591" s="79"/>
      <c r="E591" s="74" t="s">
        <v>56</v>
      </c>
      <c r="F591" s="63" t="s">
        <v>56</v>
      </c>
      <c r="G591" s="71"/>
      <c r="H591" s="71"/>
      <c r="I591" s="66"/>
      <c r="J591" s="68"/>
      <c r="K591" s="68"/>
      <c r="L591" s="68"/>
      <c r="M591" s="68"/>
      <c r="N591" s="67"/>
      <c r="O591" s="88"/>
      <c r="P591" s="88"/>
      <c r="Q591" s="90"/>
      <c r="R591" s="72"/>
      <c r="S591" s="72"/>
      <c r="T591" s="72"/>
      <c r="U591" s="72"/>
      <c r="V591" s="72"/>
      <c r="W591" s="72"/>
      <c r="X591" s="72"/>
      <c r="Y591" s="72"/>
    </row>
    <row r="592">
      <c r="A592" s="60"/>
      <c r="B592" s="61"/>
      <c r="C592" s="63"/>
      <c r="D592" s="79"/>
      <c r="E592" s="74" t="s">
        <v>56</v>
      </c>
      <c r="F592" s="63" t="s">
        <v>56</v>
      </c>
      <c r="G592" s="71"/>
      <c r="H592" s="71"/>
      <c r="I592" s="66"/>
      <c r="J592" s="68"/>
      <c r="K592" s="68"/>
      <c r="L592" s="68"/>
      <c r="M592" s="68"/>
      <c r="N592" s="67"/>
      <c r="O592" s="88"/>
      <c r="P592" s="88"/>
      <c r="Q592" s="90"/>
      <c r="R592" s="72"/>
      <c r="S592" s="72"/>
      <c r="T592" s="72"/>
      <c r="U592" s="72"/>
      <c r="V592" s="72"/>
      <c r="W592" s="72"/>
      <c r="X592" s="72"/>
      <c r="Y592" s="72"/>
    </row>
    <row r="593">
      <c r="A593" s="60"/>
      <c r="B593" s="61"/>
      <c r="C593" s="63"/>
      <c r="D593" s="79"/>
      <c r="E593" s="74" t="s">
        <v>56</v>
      </c>
      <c r="F593" s="63" t="s">
        <v>56</v>
      </c>
      <c r="G593" s="71"/>
      <c r="H593" s="71"/>
      <c r="I593" s="66"/>
      <c r="J593" s="68"/>
      <c r="K593" s="68"/>
      <c r="L593" s="68"/>
      <c r="M593" s="68"/>
      <c r="N593" s="67"/>
      <c r="O593" s="88"/>
      <c r="P593" s="88"/>
      <c r="Q593" s="90"/>
      <c r="R593" s="72"/>
      <c r="S593" s="72"/>
      <c r="T593" s="72"/>
      <c r="U593" s="72"/>
      <c r="V593" s="72"/>
      <c r="W593" s="72"/>
      <c r="X593" s="72"/>
      <c r="Y593" s="72"/>
    </row>
    <row r="594">
      <c r="A594" s="60"/>
      <c r="B594" s="61"/>
      <c r="C594" s="63"/>
      <c r="D594" s="79"/>
      <c r="E594" s="74" t="s">
        <v>56</v>
      </c>
      <c r="F594" s="63" t="s">
        <v>56</v>
      </c>
      <c r="G594" s="71"/>
      <c r="H594" s="71"/>
      <c r="I594" s="66"/>
      <c r="J594" s="68"/>
      <c r="K594" s="68"/>
      <c r="L594" s="68"/>
      <c r="M594" s="68"/>
      <c r="N594" s="67"/>
      <c r="O594" s="88"/>
      <c r="P594" s="88"/>
      <c r="Q594" s="90"/>
      <c r="R594" s="72"/>
      <c r="S594" s="72"/>
      <c r="T594" s="72"/>
      <c r="U594" s="72"/>
      <c r="V594" s="72"/>
      <c r="W594" s="72"/>
      <c r="X594" s="72"/>
      <c r="Y594" s="72"/>
    </row>
    <row r="595">
      <c r="A595" s="60"/>
      <c r="B595" s="61"/>
      <c r="C595" s="63"/>
      <c r="D595" s="79"/>
      <c r="E595" s="74" t="s">
        <v>56</v>
      </c>
      <c r="F595" s="63" t="s">
        <v>56</v>
      </c>
      <c r="G595" s="71"/>
      <c r="H595" s="71"/>
      <c r="I595" s="66"/>
      <c r="J595" s="68"/>
      <c r="K595" s="68"/>
      <c r="L595" s="68"/>
      <c r="M595" s="68"/>
      <c r="N595" s="67"/>
      <c r="O595" s="88"/>
      <c r="P595" s="88"/>
      <c r="Q595" s="90"/>
      <c r="R595" s="72"/>
      <c r="S595" s="72"/>
      <c r="T595" s="72"/>
      <c r="U595" s="72"/>
      <c r="V595" s="72"/>
      <c r="W595" s="72"/>
      <c r="X595" s="72"/>
      <c r="Y595" s="72"/>
    </row>
    <row r="596">
      <c r="A596" s="60"/>
      <c r="B596" s="61"/>
      <c r="C596" s="63"/>
      <c r="D596" s="79"/>
      <c r="E596" s="74" t="s">
        <v>56</v>
      </c>
      <c r="F596" s="63" t="s">
        <v>56</v>
      </c>
      <c r="G596" s="71"/>
      <c r="H596" s="71"/>
      <c r="I596" s="66"/>
      <c r="J596" s="68"/>
      <c r="K596" s="68"/>
      <c r="L596" s="68"/>
      <c r="M596" s="68"/>
      <c r="N596" s="67"/>
      <c r="O596" s="88"/>
      <c r="P596" s="88"/>
      <c r="Q596" s="90"/>
      <c r="R596" s="72"/>
      <c r="S596" s="72"/>
      <c r="T596" s="72"/>
      <c r="U596" s="72"/>
      <c r="V596" s="72"/>
      <c r="W596" s="72"/>
      <c r="X596" s="72"/>
      <c r="Y596" s="72"/>
    </row>
    <row r="597">
      <c r="A597" s="60"/>
      <c r="B597" s="61"/>
      <c r="C597" s="63"/>
      <c r="D597" s="79"/>
      <c r="E597" s="74" t="s">
        <v>56</v>
      </c>
      <c r="F597" s="63" t="s">
        <v>56</v>
      </c>
      <c r="G597" s="71"/>
      <c r="H597" s="71"/>
      <c r="I597" s="66"/>
      <c r="J597" s="68"/>
      <c r="K597" s="68"/>
      <c r="L597" s="68"/>
      <c r="M597" s="68"/>
      <c r="N597" s="67"/>
      <c r="O597" s="88"/>
      <c r="P597" s="88"/>
      <c r="Q597" s="90"/>
      <c r="R597" s="72"/>
      <c r="S597" s="72"/>
      <c r="T597" s="72"/>
      <c r="U597" s="72"/>
      <c r="V597" s="72"/>
      <c r="W597" s="72"/>
      <c r="X597" s="72"/>
      <c r="Y597" s="72"/>
    </row>
    <row r="598">
      <c r="A598" s="60"/>
      <c r="B598" s="61"/>
      <c r="C598" s="63"/>
      <c r="D598" s="79"/>
      <c r="E598" s="74" t="s">
        <v>56</v>
      </c>
      <c r="F598" s="63" t="s">
        <v>56</v>
      </c>
      <c r="G598" s="71"/>
      <c r="H598" s="71"/>
      <c r="I598" s="66"/>
      <c r="J598" s="68"/>
      <c r="K598" s="68"/>
      <c r="L598" s="68"/>
      <c r="M598" s="68"/>
      <c r="N598" s="67"/>
      <c r="O598" s="88"/>
      <c r="P598" s="88"/>
      <c r="Q598" s="90"/>
      <c r="R598" s="72"/>
      <c r="S598" s="72"/>
      <c r="T598" s="72"/>
      <c r="U598" s="72"/>
      <c r="V598" s="72"/>
      <c r="W598" s="72"/>
      <c r="X598" s="72"/>
      <c r="Y598" s="72"/>
    </row>
    <row r="599">
      <c r="A599" s="60"/>
      <c r="B599" s="61"/>
      <c r="C599" s="63"/>
      <c r="D599" s="79"/>
      <c r="E599" s="74" t="s">
        <v>56</v>
      </c>
      <c r="F599" s="63" t="s">
        <v>56</v>
      </c>
      <c r="G599" s="71"/>
      <c r="H599" s="71"/>
      <c r="I599" s="66"/>
      <c r="J599" s="68"/>
      <c r="K599" s="68"/>
      <c r="L599" s="68"/>
      <c r="M599" s="68"/>
      <c r="N599" s="67"/>
      <c r="O599" s="88"/>
      <c r="P599" s="88"/>
      <c r="Q599" s="90"/>
      <c r="R599" s="72"/>
      <c r="S599" s="72"/>
      <c r="T599" s="72"/>
      <c r="U599" s="72"/>
      <c r="V599" s="72"/>
      <c r="W599" s="72"/>
      <c r="X599" s="72"/>
      <c r="Y599" s="72"/>
    </row>
    <row r="600">
      <c r="A600" s="60"/>
      <c r="B600" s="61"/>
      <c r="C600" s="63"/>
      <c r="D600" s="79"/>
      <c r="E600" s="74" t="s">
        <v>56</v>
      </c>
      <c r="F600" s="63" t="s">
        <v>56</v>
      </c>
      <c r="G600" s="71"/>
      <c r="H600" s="71"/>
      <c r="I600" s="66"/>
      <c r="J600" s="68"/>
      <c r="K600" s="68"/>
      <c r="L600" s="68"/>
      <c r="M600" s="68"/>
      <c r="N600" s="67"/>
      <c r="O600" s="88"/>
      <c r="P600" s="88"/>
      <c r="Q600" s="90"/>
      <c r="R600" s="72"/>
      <c r="S600" s="72"/>
      <c r="T600" s="72"/>
      <c r="U600" s="72"/>
      <c r="V600" s="72"/>
      <c r="W600" s="72"/>
      <c r="X600" s="72"/>
      <c r="Y600" s="72"/>
    </row>
    <row r="601">
      <c r="A601" s="60"/>
      <c r="B601" s="61"/>
      <c r="C601" s="63"/>
      <c r="D601" s="79"/>
      <c r="E601" s="74" t="s">
        <v>56</v>
      </c>
      <c r="F601" s="63" t="s">
        <v>56</v>
      </c>
      <c r="G601" s="71"/>
      <c r="H601" s="71"/>
      <c r="I601" s="66"/>
      <c r="J601" s="68"/>
      <c r="K601" s="68"/>
      <c r="L601" s="68"/>
      <c r="M601" s="68"/>
      <c r="N601" s="67"/>
      <c r="O601" s="88"/>
      <c r="P601" s="88"/>
      <c r="Q601" s="90"/>
      <c r="R601" s="72"/>
      <c r="S601" s="72"/>
      <c r="T601" s="72"/>
      <c r="U601" s="72"/>
      <c r="V601" s="72"/>
      <c r="W601" s="72"/>
      <c r="X601" s="72"/>
      <c r="Y601" s="72"/>
    </row>
    <row r="602">
      <c r="A602" s="60"/>
      <c r="B602" s="61"/>
      <c r="C602" s="63"/>
      <c r="D602" s="79"/>
      <c r="E602" s="74" t="s">
        <v>56</v>
      </c>
      <c r="F602" s="63" t="s">
        <v>56</v>
      </c>
      <c r="G602" s="71"/>
      <c r="H602" s="71"/>
      <c r="I602" s="66"/>
      <c r="J602" s="68"/>
      <c r="K602" s="68"/>
      <c r="L602" s="68"/>
      <c r="M602" s="68"/>
      <c r="N602" s="67"/>
      <c r="O602" s="88"/>
      <c r="P602" s="88"/>
      <c r="Q602" s="90"/>
      <c r="R602" s="72"/>
      <c r="S602" s="72"/>
      <c r="T602" s="72"/>
      <c r="U602" s="72"/>
      <c r="V602" s="72"/>
      <c r="W602" s="72"/>
      <c r="X602" s="72"/>
      <c r="Y602" s="72"/>
    </row>
    <row r="603">
      <c r="A603" s="60"/>
      <c r="B603" s="61"/>
      <c r="C603" s="63"/>
      <c r="D603" s="79"/>
      <c r="E603" s="74" t="s">
        <v>56</v>
      </c>
      <c r="F603" s="63" t="s">
        <v>56</v>
      </c>
      <c r="G603" s="71"/>
      <c r="H603" s="71"/>
      <c r="I603" s="66"/>
      <c r="J603" s="68"/>
      <c r="K603" s="68"/>
      <c r="L603" s="68"/>
      <c r="M603" s="68"/>
      <c r="N603" s="67"/>
      <c r="O603" s="88"/>
      <c r="P603" s="88"/>
      <c r="Q603" s="90"/>
      <c r="R603" s="72"/>
      <c r="S603" s="72"/>
      <c r="T603" s="72"/>
      <c r="U603" s="72"/>
      <c r="V603" s="72"/>
      <c r="W603" s="72"/>
      <c r="X603" s="72"/>
      <c r="Y603" s="72"/>
    </row>
    <row r="604">
      <c r="A604" s="60"/>
      <c r="B604" s="61"/>
      <c r="C604" s="63"/>
      <c r="D604" s="79"/>
      <c r="E604" s="74" t="s">
        <v>56</v>
      </c>
      <c r="F604" s="63" t="s">
        <v>56</v>
      </c>
      <c r="G604" s="71"/>
      <c r="H604" s="71"/>
      <c r="I604" s="66"/>
      <c r="J604" s="68"/>
      <c r="K604" s="68"/>
      <c r="L604" s="68"/>
      <c r="M604" s="68"/>
      <c r="N604" s="67"/>
      <c r="O604" s="88"/>
      <c r="P604" s="88"/>
      <c r="Q604" s="90"/>
      <c r="R604" s="72"/>
      <c r="S604" s="72"/>
      <c r="T604" s="72"/>
      <c r="U604" s="72"/>
      <c r="V604" s="72"/>
      <c r="W604" s="72"/>
      <c r="X604" s="72"/>
      <c r="Y604" s="72"/>
    </row>
    <row r="605">
      <c r="A605" s="60"/>
      <c r="B605" s="61"/>
      <c r="C605" s="63"/>
      <c r="D605" s="79"/>
      <c r="E605" s="74" t="s">
        <v>56</v>
      </c>
      <c r="F605" s="63" t="s">
        <v>56</v>
      </c>
      <c r="G605" s="71"/>
      <c r="H605" s="71"/>
      <c r="I605" s="66"/>
      <c r="J605" s="68"/>
      <c r="K605" s="68"/>
      <c r="L605" s="68"/>
      <c r="M605" s="68"/>
      <c r="N605" s="67"/>
      <c r="O605" s="88"/>
      <c r="P605" s="88"/>
      <c r="Q605" s="90"/>
      <c r="R605" s="72"/>
      <c r="S605" s="72"/>
      <c r="T605" s="72"/>
      <c r="U605" s="72"/>
      <c r="V605" s="72"/>
      <c r="W605" s="72"/>
      <c r="X605" s="72"/>
      <c r="Y605" s="72"/>
    </row>
    <row r="606">
      <c r="A606" s="60"/>
      <c r="B606" s="61"/>
      <c r="C606" s="63"/>
      <c r="D606" s="79"/>
      <c r="E606" s="74" t="s">
        <v>56</v>
      </c>
      <c r="F606" s="63" t="s">
        <v>56</v>
      </c>
      <c r="G606" s="71"/>
      <c r="H606" s="71"/>
      <c r="I606" s="66"/>
      <c r="J606" s="68"/>
      <c r="K606" s="68"/>
      <c r="L606" s="68"/>
      <c r="M606" s="68"/>
      <c r="N606" s="67"/>
      <c r="O606" s="88"/>
      <c r="P606" s="88"/>
      <c r="Q606" s="90"/>
      <c r="R606" s="72"/>
      <c r="S606" s="72"/>
      <c r="T606" s="72"/>
      <c r="U606" s="72"/>
      <c r="V606" s="72"/>
      <c r="W606" s="72"/>
      <c r="X606" s="72"/>
      <c r="Y606" s="72"/>
    </row>
    <row r="607">
      <c r="A607" s="60"/>
      <c r="B607" s="61"/>
      <c r="C607" s="63"/>
      <c r="D607" s="79"/>
      <c r="E607" s="74" t="s">
        <v>56</v>
      </c>
      <c r="F607" s="63" t="s">
        <v>56</v>
      </c>
      <c r="G607" s="71"/>
      <c r="H607" s="71"/>
      <c r="I607" s="66"/>
      <c r="J607" s="68"/>
      <c r="K607" s="68"/>
      <c r="L607" s="68"/>
      <c r="M607" s="68"/>
      <c r="N607" s="67"/>
      <c r="O607" s="88"/>
      <c r="P607" s="88"/>
      <c r="Q607" s="90"/>
      <c r="R607" s="72"/>
      <c r="S607" s="72"/>
      <c r="T607" s="72"/>
      <c r="U607" s="72"/>
      <c r="V607" s="72"/>
      <c r="W607" s="72"/>
      <c r="X607" s="72"/>
      <c r="Y607" s="72"/>
    </row>
    <row r="608">
      <c r="A608" s="60"/>
      <c r="B608" s="61"/>
      <c r="C608" s="63"/>
      <c r="D608" s="79"/>
      <c r="E608" s="74" t="s">
        <v>56</v>
      </c>
      <c r="F608" s="63" t="s">
        <v>56</v>
      </c>
      <c r="G608" s="71"/>
      <c r="H608" s="71"/>
      <c r="I608" s="66"/>
      <c r="J608" s="68"/>
      <c r="K608" s="68"/>
      <c r="L608" s="68"/>
      <c r="M608" s="68"/>
      <c r="N608" s="67"/>
      <c r="O608" s="88"/>
      <c r="P608" s="88"/>
      <c r="Q608" s="90"/>
      <c r="R608" s="72"/>
      <c r="S608" s="72"/>
      <c r="T608" s="72"/>
      <c r="U608" s="72"/>
      <c r="V608" s="72"/>
      <c r="W608" s="72"/>
      <c r="X608" s="72"/>
      <c r="Y608" s="72"/>
    </row>
    <row r="609">
      <c r="A609" s="60"/>
      <c r="B609" s="61"/>
      <c r="C609" s="63"/>
      <c r="D609" s="79"/>
      <c r="E609" s="74" t="s">
        <v>56</v>
      </c>
      <c r="F609" s="63" t="s">
        <v>56</v>
      </c>
      <c r="G609" s="71"/>
      <c r="H609" s="71"/>
      <c r="I609" s="66"/>
      <c r="J609" s="68"/>
      <c r="K609" s="68"/>
      <c r="L609" s="68"/>
      <c r="M609" s="68"/>
      <c r="N609" s="67"/>
      <c r="O609" s="88"/>
      <c r="P609" s="88"/>
      <c r="Q609" s="90"/>
      <c r="R609" s="72"/>
      <c r="S609" s="72"/>
      <c r="T609" s="72"/>
      <c r="U609" s="72"/>
      <c r="V609" s="72"/>
      <c r="W609" s="72"/>
      <c r="X609" s="72"/>
      <c r="Y609" s="72"/>
    </row>
    <row r="610">
      <c r="A610" s="60"/>
      <c r="B610" s="61"/>
      <c r="C610" s="63"/>
      <c r="D610" s="79"/>
      <c r="E610" s="74" t="s">
        <v>56</v>
      </c>
      <c r="F610" s="63" t="s">
        <v>56</v>
      </c>
      <c r="G610" s="71"/>
      <c r="H610" s="71"/>
      <c r="I610" s="66"/>
      <c r="J610" s="68"/>
      <c r="K610" s="68"/>
      <c r="L610" s="68"/>
      <c r="M610" s="68"/>
      <c r="N610" s="67"/>
      <c r="O610" s="88"/>
      <c r="P610" s="88"/>
      <c r="Q610" s="90"/>
      <c r="R610" s="72"/>
      <c r="S610" s="72"/>
      <c r="T610" s="72"/>
      <c r="U610" s="72"/>
      <c r="V610" s="72"/>
      <c r="W610" s="72"/>
      <c r="X610" s="72"/>
      <c r="Y610" s="72"/>
    </row>
    <row r="611">
      <c r="A611" s="60"/>
      <c r="B611" s="61"/>
      <c r="C611" s="63"/>
      <c r="D611" s="79"/>
      <c r="E611" s="74" t="s">
        <v>56</v>
      </c>
      <c r="F611" s="63" t="s">
        <v>56</v>
      </c>
      <c r="G611" s="71"/>
      <c r="H611" s="71"/>
      <c r="I611" s="66"/>
      <c r="J611" s="68"/>
      <c r="K611" s="68"/>
      <c r="L611" s="68"/>
      <c r="M611" s="68"/>
      <c r="N611" s="67"/>
      <c r="O611" s="88"/>
      <c r="P611" s="88"/>
      <c r="Q611" s="90"/>
      <c r="R611" s="72"/>
      <c r="S611" s="72"/>
      <c r="T611" s="72"/>
      <c r="U611" s="72"/>
      <c r="V611" s="72"/>
      <c r="W611" s="72"/>
      <c r="X611" s="72"/>
      <c r="Y611" s="72"/>
    </row>
    <row r="612">
      <c r="A612" s="60"/>
      <c r="B612" s="61"/>
      <c r="C612" s="63"/>
      <c r="D612" s="79"/>
      <c r="E612" s="74" t="s">
        <v>56</v>
      </c>
      <c r="F612" s="63" t="s">
        <v>56</v>
      </c>
      <c r="G612" s="71"/>
      <c r="H612" s="71"/>
      <c r="I612" s="66"/>
      <c r="J612" s="68"/>
      <c r="K612" s="68"/>
      <c r="L612" s="68"/>
      <c r="M612" s="68"/>
      <c r="N612" s="67"/>
      <c r="O612" s="88"/>
      <c r="P612" s="88"/>
      <c r="Q612" s="90"/>
      <c r="R612" s="72"/>
      <c r="S612" s="72"/>
      <c r="T612" s="72"/>
      <c r="U612" s="72"/>
      <c r="V612" s="72"/>
      <c r="W612" s="72"/>
      <c r="X612" s="72"/>
      <c r="Y612" s="72"/>
    </row>
    <row r="613">
      <c r="A613" s="60"/>
      <c r="B613" s="61"/>
      <c r="C613" s="63"/>
      <c r="D613" s="79"/>
      <c r="E613" s="74" t="s">
        <v>56</v>
      </c>
      <c r="F613" s="63" t="s">
        <v>56</v>
      </c>
      <c r="G613" s="71"/>
      <c r="H613" s="71"/>
      <c r="I613" s="66"/>
      <c r="J613" s="68"/>
      <c r="K613" s="68"/>
      <c r="L613" s="68"/>
      <c r="M613" s="68"/>
      <c r="N613" s="67"/>
      <c r="O613" s="88"/>
      <c r="P613" s="88"/>
      <c r="Q613" s="90"/>
      <c r="R613" s="72"/>
      <c r="S613" s="72"/>
      <c r="T613" s="72"/>
      <c r="U613" s="72"/>
      <c r="V613" s="72"/>
      <c r="W613" s="72"/>
      <c r="X613" s="72"/>
      <c r="Y613" s="72"/>
    </row>
    <row r="614">
      <c r="A614" s="60"/>
      <c r="B614" s="61"/>
      <c r="C614" s="63"/>
      <c r="D614" s="79"/>
      <c r="E614" s="74" t="s">
        <v>56</v>
      </c>
      <c r="F614" s="63" t="s">
        <v>56</v>
      </c>
      <c r="G614" s="71"/>
      <c r="H614" s="71"/>
      <c r="I614" s="66"/>
      <c r="J614" s="68"/>
      <c r="K614" s="68"/>
      <c r="L614" s="68"/>
      <c r="M614" s="68"/>
      <c r="N614" s="67"/>
      <c r="O614" s="88"/>
      <c r="P614" s="88"/>
      <c r="Q614" s="90"/>
      <c r="R614" s="72"/>
      <c r="S614" s="72"/>
      <c r="T614" s="72"/>
      <c r="U614" s="72"/>
      <c r="V614" s="72"/>
      <c r="W614" s="72"/>
      <c r="X614" s="72"/>
      <c r="Y614" s="72"/>
    </row>
    <row r="615">
      <c r="A615" s="60"/>
      <c r="B615" s="61"/>
      <c r="C615" s="63"/>
      <c r="D615" s="79"/>
      <c r="E615" s="74" t="s">
        <v>56</v>
      </c>
      <c r="F615" s="63" t="s">
        <v>56</v>
      </c>
      <c r="G615" s="71"/>
      <c r="H615" s="71"/>
      <c r="I615" s="66"/>
      <c r="J615" s="68"/>
      <c r="K615" s="68"/>
      <c r="L615" s="68"/>
      <c r="M615" s="68"/>
      <c r="N615" s="67"/>
      <c r="O615" s="88"/>
      <c r="P615" s="88"/>
      <c r="Q615" s="90"/>
      <c r="R615" s="72"/>
      <c r="S615" s="72"/>
      <c r="T615" s="72"/>
      <c r="U615" s="72"/>
      <c r="V615" s="72"/>
      <c r="W615" s="72"/>
      <c r="X615" s="72"/>
      <c r="Y615" s="72"/>
    </row>
    <row r="616">
      <c r="A616" s="60"/>
      <c r="B616" s="61"/>
      <c r="C616" s="63"/>
      <c r="D616" s="79"/>
      <c r="E616" s="74" t="s">
        <v>56</v>
      </c>
      <c r="F616" s="63" t="s">
        <v>56</v>
      </c>
      <c r="G616" s="71"/>
      <c r="H616" s="71"/>
      <c r="I616" s="66"/>
      <c r="J616" s="68"/>
      <c r="K616" s="68"/>
      <c r="L616" s="68"/>
      <c r="M616" s="68"/>
      <c r="N616" s="67"/>
      <c r="O616" s="88"/>
      <c r="P616" s="88"/>
      <c r="Q616" s="90"/>
      <c r="R616" s="72"/>
      <c r="S616" s="72"/>
      <c r="T616" s="72"/>
      <c r="U616" s="72"/>
      <c r="V616" s="72"/>
      <c r="W616" s="72"/>
      <c r="X616" s="72"/>
      <c r="Y616" s="72"/>
    </row>
    <row r="617">
      <c r="A617" s="60"/>
      <c r="B617" s="61"/>
      <c r="C617" s="63"/>
      <c r="D617" s="79"/>
      <c r="E617" s="74" t="s">
        <v>56</v>
      </c>
      <c r="F617" s="63" t="s">
        <v>56</v>
      </c>
      <c r="G617" s="71"/>
      <c r="H617" s="71"/>
      <c r="I617" s="66"/>
      <c r="J617" s="68"/>
      <c r="K617" s="68"/>
      <c r="L617" s="68"/>
      <c r="M617" s="68"/>
      <c r="N617" s="67"/>
      <c r="O617" s="88"/>
      <c r="P617" s="88"/>
      <c r="Q617" s="90"/>
      <c r="R617" s="72"/>
      <c r="S617" s="72"/>
      <c r="T617" s="72"/>
      <c r="U617" s="72"/>
      <c r="V617" s="72"/>
      <c r="W617" s="72"/>
      <c r="X617" s="72"/>
      <c r="Y617" s="72"/>
    </row>
    <row r="618">
      <c r="A618" s="60"/>
      <c r="B618" s="61"/>
      <c r="C618" s="63"/>
      <c r="D618" s="79"/>
      <c r="E618" s="74" t="s">
        <v>56</v>
      </c>
      <c r="F618" s="63" t="s">
        <v>56</v>
      </c>
      <c r="G618" s="71"/>
      <c r="H618" s="71"/>
      <c r="I618" s="66"/>
      <c r="J618" s="68"/>
      <c r="K618" s="68"/>
      <c r="L618" s="68"/>
      <c r="M618" s="68"/>
      <c r="N618" s="67"/>
      <c r="O618" s="88"/>
      <c r="P618" s="88"/>
      <c r="Q618" s="90"/>
      <c r="R618" s="72"/>
      <c r="S618" s="72"/>
      <c r="T618" s="72"/>
      <c r="U618" s="72"/>
      <c r="V618" s="72"/>
      <c r="W618" s="72"/>
      <c r="X618" s="72"/>
      <c r="Y618" s="72"/>
    </row>
    <row r="619">
      <c r="A619" s="60"/>
      <c r="B619" s="61"/>
      <c r="C619" s="63"/>
      <c r="D619" s="79"/>
      <c r="E619" s="74" t="s">
        <v>56</v>
      </c>
      <c r="F619" s="63" t="s">
        <v>56</v>
      </c>
      <c r="G619" s="71"/>
      <c r="H619" s="71"/>
      <c r="I619" s="66"/>
      <c r="J619" s="68"/>
      <c r="K619" s="68"/>
      <c r="L619" s="68"/>
      <c r="M619" s="68"/>
      <c r="N619" s="67"/>
      <c r="O619" s="88"/>
      <c r="P619" s="88"/>
      <c r="Q619" s="90"/>
      <c r="R619" s="72"/>
      <c r="S619" s="72"/>
      <c r="T619" s="72"/>
      <c r="U619" s="72"/>
      <c r="V619" s="72"/>
      <c r="W619" s="72"/>
      <c r="X619" s="72"/>
      <c r="Y619" s="72"/>
    </row>
    <row r="620">
      <c r="A620" s="60"/>
      <c r="B620" s="61"/>
      <c r="C620" s="63"/>
      <c r="D620" s="79"/>
      <c r="E620" s="74" t="s">
        <v>56</v>
      </c>
      <c r="F620" s="63" t="s">
        <v>56</v>
      </c>
      <c r="G620" s="71"/>
      <c r="H620" s="71"/>
      <c r="I620" s="66"/>
      <c r="J620" s="68"/>
      <c r="K620" s="68"/>
      <c r="L620" s="68"/>
      <c r="M620" s="68"/>
      <c r="N620" s="67"/>
      <c r="O620" s="88"/>
      <c r="P620" s="88"/>
      <c r="Q620" s="90"/>
      <c r="R620" s="72"/>
      <c r="S620" s="72"/>
      <c r="T620" s="72"/>
      <c r="U620" s="72"/>
      <c r="V620" s="72"/>
      <c r="W620" s="72"/>
      <c r="X620" s="72"/>
      <c r="Y620" s="72"/>
    </row>
    <row r="621">
      <c r="A621" s="60"/>
      <c r="B621" s="61"/>
      <c r="C621" s="63"/>
      <c r="D621" s="79"/>
      <c r="E621" s="74" t="s">
        <v>56</v>
      </c>
      <c r="F621" s="63" t="s">
        <v>56</v>
      </c>
      <c r="G621" s="71"/>
      <c r="H621" s="71"/>
      <c r="I621" s="66"/>
      <c r="J621" s="68"/>
      <c r="K621" s="68"/>
      <c r="L621" s="68"/>
      <c r="M621" s="68"/>
      <c r="N621" s="67"/>
      <c r="O621" s="88"/>
      <c r="P621" s="88"/>
      <c r="Q621" s="90"/>
      <c r="R621" s="72"/>
      <c r="S621" s="72"/>
      <c r="T621" s="72"/>
      <c r="U621" s="72"/>
      <c r="V621" s="72"/>
      <c r="W621" s="72"/>
      <c r="X621" s="72"/>
      <c r="Y621" s="72"/>
    </row>
    <row r="622">
      <c r="A622" s="60"/>
      <c r="B622" s="61"/>
      <c r="C622" s="63"/>
      <c r="D622" s="79"/>
      <c r="E622" s="74" t="s">
        <v>56</v>
      </c>
      <c r="F622" s="63" t="s">
        <v>56</v>
      </c>
      <c r="G622" s="71"/>
      <c r="H622" s="71"/>
      <c r="I622" s="66"/>
      <c r="J622" s="68"/>
      <c r="K622" s="68"/>
      <c r="L622" s="68"/>
      <c r="M622" s="68"/>
      <c r="N622" s="67"/>
      <c r="O622" s="88"/>
      <c r="P622" s="88"/>
      <c r="Q622" s="90"/>
      <c r="R622" s="72"/>
      <c r="S622" s="72"/>
      <c r="T622" s="72"/>
      <c r="U622" s="72"/>
      <c r="V622" s="72"/>
      <c r="W622" s="72"/>
      <c r="X622" s="72"/>
      <c r="Y622" s="72"/>
    </row>
    <row r="623">
      <c r="A623" s="60"/>
      <c r="B623" s="61"/>
      <c r="C623" s="63"/>
      <c r="D623" s="79"/>
      <c r="E623" s="74" t="s">
        <v>56</v>
      </c>
      <c r="F623" s="63" t="s">
        <v>56</v>
      </c>
      <c r="G623" s="71"/>
      <c r="H623" s="71"/>
      <c r="I623" s="66"/>
      <c r="J623" s="68"/>
      <c r="K623" s="68"/>
      <c r="L623" s="68"/>
      <c r="M623" s="68"/>
      <c r="N623" s="67"/>
      <c r="O623" s="88"/>
      <c r="P623" s="88"/>
      <c r="Q623" s="90"/>
      <c r="R623" s="72"/>
      <c r="S623" s="72"/>
      <c r="T623" s="72"/>
      <c r="U623" s="72"/>
      <c r="V623" s="72"/>
      <c r="W623" s="72"/>
      <c r="X623" s="72"/>
      <c r="Y623" s="72"/>
    </row>
    <row r="624">
      <c r="A624" s="60"/>
      <c r="B624" s="61"/>
      <c r="C624" s="63"/>
      <c r="D624" s="79"/>
      <c r="E624" s="74" t="s">
        <v>56</v>
      </c>
      <c r="F624" s="63" t="s">
        <v>56</v>
      </c>
      <c r="G624" s="71"/>
      <c r="H624" s="71"/>
      <c r="I624" s="66"/>
      <c r="J624" s="68"/>
      <c r="K624" s="68"/>
      <c r="L624" s="68"/>
      <c r="M624" s="68"/>
      <c r="N624" s="67"/>
      <c r="O624" s="88"/>
      <c r="P624" s="88"/>
      <c r="Q624" s="90"/>
      <c r="R624" s="72"/>
      <c r="S624" s="72"/>
      <c r="T624" s="72"/>
      <c r="U624" s="72"/>
      <c r="V624" s="72"/>
      <c r="W624" s="72"/>
      <c r="X624" s="72"/>
      <c r="Y624" s="72"/>
    </row>
    <row r="625">
      <c r="A625" s="60"/>
      <c r="B625" s="61"/>
      <c r="C625" s="63"/>
      <c r="D625" s="79"/>
      <c r="E625" s="74" t="s">
        <v>56</v>
      </c>
      <c r="F625" s="63" t="s">
        <v>56</v>
      </c>
      <c r="G625" s="71"/>
      <c r="H625" s="71"/>
      <c r="I625" s="66"/>
      <c r="J625" s="68"/>
      <c r="K625" s="68"/>
      <c r="L625" s="68"/>
      <c r="M625" s="68"/>
      <c r="N625" s="67"/>
      <c r="O625" s="88"/>
      <c r="P625" s="88"/>
      <c r="Q625" s="90"/>
      <c r="R625" s="72"/>
      <c r="S625" s="72"/>
      <c r="T625" s="72"/>
      <c r="U625" s="72"/>
      <c r="V625" s="72"/>
      <c r="W625" s="72"/>
      <c r="X625" s="72"/>
      <c r="Y625" s="72"/>
    </row>
    <row r="626">
      <c r="A626" s="60"/>
      <c r="B626" s="61"/>
      <c r="C626" s="63"/>
      <c r="D626" s="79"/>
      <c r="E626" s="74" t="s">
        <v>56</v>
      </c>
      <c r="F626" s="63" t="s">
        <v>56</v>
      </c>
      <c r="G626" s="71"/>
      <c r="H626" s="71"/>
      <c r="I626" s="66"/>
      <c r="J626" s="68"/>
      <c r="K626" s="68"/>
      <c r="L626" s="68"/>
      <c r="M626" s="68"/>
      <c r="N626" s="67"/>
      <c r="O626" s="88"/>
      <c r="P626" s="88"/>
      <c r="Q626" s="90"/>
      <c r="R626" s="72"/>
      <c r="S626" s="72"/>
      <c r="T626" s="72"/>
      <c r="U626" s="72"/>
      <c r="V626" s="72"/>
      <c r="W626" s="72"/>
      <c r="X626" s="72"/>
      <c r="Y626" s="72"/>
    </row>
    <row r="627">
      <c r="A627" s="60"/>
      <c r="B627" s="61"/>
      <c r="C627" s="63"/>
      <c r="D627" s="79"/>
      <c r="E627" s="74" t="s">
        <v>56</v>
      </c>
      <c r="F627" s="63" t="s">
        <v>56</v>
      </c>
      <c r="G627" s="71"/>
      <c r="H627" s="71"/>
      <c r="I627" s="66"/>
      <c r="J627" s="68"/>
      <c r="K627" s="68"/>
      <c r="L627" s="68"/>
      <c r="M627" s="68"/>
      <c r="N627" s="67"/>
      <c r="O627" s="88"/>
      <c r="P627" s="88"/>
      <c r="Q627" s="90"/>
      <c r="R627" s="72"/>
      <c r="S627" s="72"/>
      <c r="T627" s="72"/>
      <c r="U627" s="72"/>
      <c r="V627" s="72"/>
      <c r="W627" s="72"/>
      <c r="X627" s="72"/>
      <c r="Y627" s="72"/>
    </row>
    <row r="628">
      <c r="A628" s="60"/>
      <c r="B628" s="61"/>
      <c r="C628" s="63"/>
      <c r="D628" s="79"/>
      <c r="E628" s="74" t="s">
        <v>56</v>
      </c>
      <c r="F628" s="63" t="s">
        <v>56</v>
      </c>
      <c r="G628" s="71"/>
      <c r="H628" s="71"/>
      <c r="I628" s="66"/>
      <c r="J628" s="68"/>
      <c r="K628" s="68"/>
      <c r="L628" s="68"/>
      <c r="M628" s="68"/>
      <c r="N628" s="67"/>
      <c r="O628" s="88"/>
      <c r="P628" s="88"/>
      <c r="Q628" s="90"/>
      <c r="R628" s="72"/>
      <c r="S628" s="72"/>
      <c r="T628" s="72"/>
      <c r="U628" s="72"/>
      <c r="V628" s="72"/>
      <c r="W628" s="72"/>
      <c r="X628" s="72"/>
      <c r="Y628" s="72"/>
    </row>
    <row r="629">
      <c r="A629" s="60"/>
      <c r="B629" s="61"/>
      <c r="C629" s="63"/>
      <c r="D629" s="79"/>
      <c r="E629" s="74" t="s">
        <v>56</v>
      </c>
      <c r="F629" s="63" t="s">
        <v>56</v>
      </c>
      <c r="G629" s="71"/>
      <c r="H629" s="71"/>
      <c r="I629" s="66"/>
      <c r="J629" s="68"/>
      <c r="K629" s="68"/>
      <c r="L629" s="68"/>
      <c r="M629" s="68"/>
      <c r="N629" s="67"/>
      <c r="O629" s="88"/>
      <c r="P629" s="88"/>
      <c r="Q629" s="90"/>
      <c r="R629" s="72"/>
      <c r="S629" s="72"/>
      <c r="T629" s="72"/>
      <c r="U629" s="72"/>
      <c r="V629" s="72"/>
      <c r="W629" s="72"/>
      <c r="X629" s="72"/>
      <c r="Y629" s="72"/>
    </row>
    <row r="630">
      <c r="A630" s="60"/>
      <c r="B630" s="61"/>
      <c r="C630" s="63"/>
      <c r="D630" s="79"/>
      <c r="E630" s="74" t="s">
        <v>56</v>
      </c>
      <c r="F630" s="63" t="s">
        <v>56</v>
      </c>
      <c r="G630" s="71"/>
      <c r="H630" s="71"/>
      <c r="I630" s="66"/>
      <c r="J630" s="68"/>
      <c r="K630" s="68"/>
      <c r="L630" s="68"/>
      <c r="M630" s="68"/>
      <c r="N630" s="67"/>
      <c r="O630" s="88"/>
      <c r="P630" s="88"/>
      <c r="Q630" s="90"/>
      <c r="R630" s="72"/>
      <c r="S630" s="72"/>
      <c r="T630" s="72"/>
      <c r="U630" s="72"/>
      <c r="V630" s="72"/>
      <c r="W630" s="72"/>
      <c r="X630" s="72"/>
      <c r="Y630" s="72"/>
    </row>
    <row r="631">
      <c r="A631" s="60"/>
      <c r="B631" s="61"/>
      <c r="C631" s="63"/>
      <c r="D631" s="79"/>
      <c r="E631" s="74" t="s">
        <v>56</v>
      </c>
      <c r="F631" s="63" t="s">
        <v>56</v>
      </c>
      <c r="G631" s="71"/>
      <c r="H631" s="71"/>
      <c r="I631" s="66"/>
      <c r="J631" s="68"/>
      <c r="K631" s="68"/>
      <c r="L631" s="68"/>
      <c r="M631" s="68"/>
      <c r="N631" s="67"/>
      <c r="O631" s="88"/>
      <c r="P631" s="88"/>
      <c r="Q631" s="90"/>
      <c r="R631" s="72"/>
      <c r="S631" s="72"/>
      <c r="T631" s="72"/>
      <c r="U631" s="72"/>
      <c r="V631" s="72"/>
      <c r="W631" s="72"/>
      <c r="X631" s="72"/>
      <c r="Y631" s="72"/>
    </row>
    <row r="632">
      <c r="A632" s="60"/>
      <c r="B632" s="61"/>
      <c r="C632" s="63"/>
      <c r="D632" s="79"/>
      <c r="E632" s="74" t="s">
        <v>56</v>
      </c>
      <c r="F632" s="63" t="s">
        <v>56</v>
      </c>
      <c r="G632" s="71"/>
      <c r="H632" s="71"/>
      <c r="I632" s="66"/>
      <c r="J632" s="68"/>
      <c r="K632" s="68"/>
      <c r="L632" s="68"/>
      <c r="M632" s="68"/>
      <c r="N632" s="67"/>
      <c r="O632" s="88"/>
      <c r="P632" s="88"/>
      <c r="Q632" s="90"/>
      <c r="R632" s="72"/>
      <c r="S632" s="72"/>
      <c r="T632" s="72"/>
      <c r="U632" s="72"/>
      <c r="V632" s="72"/>
      <c r="W632" s="72"/>
      <c r="X632" s="72"/>
      <c r="Y632" s="72"/>
    </row>
    <row r="633">
      <c r="A633" s="60"/>
      <c r="B633" s="61"/>
      <c r="C633" s="63"/>
      <c r="D633" s="79"/>
      <c r="E633" s="74" t="s">
        <v>56</v>
      </c>
      <c r="F633" s="63" t="s">
        <v>56</v>
      </c>
      <c r="G633" s="71"/>
      <c r="H633" s="71"/>
      <c r="I633" s="66"/>
      <c r="J633" s="68"/>
      <c r="K633" s="68"/>
      <c r="L633" s="68"/>
      <c r="M633" s="68"/>
      <c r="N633" s="67"/>
      <c r="O633" s="88"/>
      <c r="P633" s="88"/>
      <c r="Q633" s="90"/>
      <c r="R633" s="72"/>
      <c r="S633" s="72"/>
      <c r="T633" s="72"/>
      <c r="U633" s="72"/>
      <c r="V633" s="72"/>
      <c r="W633" s="72"/>
      <c r="X633" s="72"/>
      <c r="Y633" s="72"/>
    </row>
    <row r="634">
      <c r="A634" s="60"/>
      <c r="B634" s="61"/>
      <c r="C634" s="63"/>
      <c r="D634" s="79"/>
      <c r="E634" s="74" t="s">
        <v>56</v>
      </c>
      <c r="F634" s="63" t="s">
        <v>56</v>
      </c>
      <c r="G634" s="71"/>
      <c r="H634" s="71"/>
      <c r="I634" s="66"/>
      <c r="J634" s="68"/>
      <c r="K634" s="68"/>
      <c r="L634" s="68"/>
      <c r="M634" s="68"/>
      <c r="N634" s="67"/>
      <c r="O634" s="88"/>
      <c r="P634" s="88"/>
      <c r="Q634" s="90"/>
      <c r="R634" s="72"/>
      <c r="S634" s="72"/>
      <c r="T634" s="72"/>
      <c r="U634" s="72"/>
      <c r="V634" s="72"/>
      <c r="W634" s="72"/>
      <c r="X634" s="72"/>
      <c r="Y634" s="72"/>
    </row>
    <row r="635">
      <c r="A635" s="60"/>
      <c r="B635" s="61"/>
      <c r="C635" s="63"/>
      <c r="D635" s="79"/>
      <c r="E635" s="74" t="s">
        <v>56</v>
      </c>
      <c r="F635" s="63" t="s">
        <v>56</v>
      </c>
      <c r="G635" s="71"/>
      <c r="H635" s="71"/>
      <c r="I635" s="66"/>
      <c r="J635" s="68"/>
      <c r="K635" s="68"/>
      <c r="L635" s="68"/>
      <c r="M635" s="68"/>
      <c r="N635" s="67"/>
      <c r="O635" s="88"/>
      <c r="P635" s="88"/>
      <c r="Q635" s="90"/>
      <c r="R635" s="72"/>
      <c r="S635" s="72"/>
      <c r="T635" s="72"/>
      <c r="U635" s="72"/>
      <c r="V635" s="72"/>
      <c r="W635" s="72"/>
      <c r="X635" s="72"/>
      <c r="Y635" s="72"/>
    </row>
    <row r="636">
      <c r="A636" s="60"/>
      <c r="B636" s="61"/>
      <c r="C636" s="63"/>
      <c r="D636" s="79"/>
      <c r="E636" s="74" t="s">
        <v>56</v>
      </c>
      <c r="F636" s="63" t="s">
        <v>56</v>
      </c>
      <c r="G636" s="71"/>
      <c r="H636" s="71"/>
      <c r="I636" s="66"/>
      <c r="J636" s="68"/>
      <c r="K636" s="68"/>
      <c r="L636" s="68"/>
      <c r="M636" s="68"/>
      <c r="N636" s="67"/>
      <c r="O636" s="88"/>
      <c r="P636" s="88"/>
      <c r="Q636" s="90"/>
      <c r="R636" s="72"/>
      <c r="S636" s="72"/>
      <c r="T636" s="72"/>
      <c r="U636" s="72"/>
      <c r="V636" s="72"/>
      <c r="W636" s="72"/>
      <c r="X636" s="72"/>
      <c r="Y636" s="72"/>
    </row>
    <row r="637">
      <c r="A637" s="60"/>
      <c r="B637" s="61"/>
      <c r="C637" s="63"/>
      <c r="D637" s="79"/>
      <c r="E637" s="74" t="s">
        <v>56</v>
      </c>
      <c r="F637" s="63" t="s">
        <v>56</v>
      </c>
      <c r="G637" s="71"/>
      <c r="H637" s="71"/>
      <c r="I637" s="66"/>
      <c r="J637" s="68"/>
      <c r="K637" s="68"/>
      <c r="L637" s="68"/>
      <c r="M637" s="68"/>
      <c r="N637" s="67"/>
      <c r="O637" s="88"/>
      <c r="P637" s="88"/>
      <c r="Q637" s="90"/>
      <c r="R637" s="72"/>
      <c r="S637" s="72"/>
      <c r="T637" s="72"/>
      <c r="U637" s="72"/>
      <c r="V637" s="72"/>
      <c r="W637" s="72"/>
      <c r="X637" s="72"/>
      <c r="Y637" s="72"/>
    </row>
    <row r="638">
      <c r="A638" s="60"/>
      <c r="B638" s="61"/>
      <c r="C638" s="63"/>
      <c r="D638" s="79"/>
      <c r="E638" s="74" t="s">
        <v>56</v>
      </c>
      <c r="F638" s="63" t="s">
        <v>56</v>
      </c>
      <c r="G638" s="71"/>
      <c r="H638" s="71"/>
      <c r="I638" s="66"/>
      <c r="J638" s="68"/>
      <c r="K638" s="68"/>
      <c r="L638" s="68"/>
      <c r="M638" s="68"/>
      <c r="N638" s="67"/>
      <c r="O638" s="88"/>
      <c r="P638" s="88"/>
      <c r="Q638" s="90"/>
      <c r="R638" s="72"/>
      <c r="S638" s="72"/>
      <c r="T638" s="72"/>
      <c r="U638" s="72"/>
      <c r="V638" s="72"/>
      <c r="W638" s="72"/>
      <c r="X638" s="72"/>
      <c r="Y638" s="72"/>
    </row>
    <row r="639">
      <c r="A639" s="60"/>
      <c r="B639" s="61"/>
      <c r="C639" s="63"/>
      <c r="D639" s="79"/>
      <c r="E639" s="74" t="s">
        <v>56</v>
      </c>
      <c r="F639" s="63" t="s">
        <v>56</v>
      </c>
      <c r="G639" s="71"/>
      <c r="H639" s="71"/>
      <c r="I639" s="66"/>
      <c r="J639" s="68"/>
      <c r="K639" s="68"/>
      <c r="L639" s="68"/>
      <c r="M639" s="68"/>
      <c r="N639" s="67"/>
      <c r="O639" s="88"/>
      <c r="P639" s="88"/>
      <c r="Q639" s="90"/>
      <c r="R639" s="72"/>
      <c r="S639" s="72"/>
      <c r="T639" s="72"/>
      <c r="U639" s="72"/>
      <c r="V639" s="72"/>
      <c r="W639" s="72"/>
      <c r="X639" s="72"/>
      <c r="Y639" s="72"/>
    </row>
    <row r="640">
      <c r="A640" s="60"/>
      <c r="B640" s="61"/>
      <c r="C640" s="63"/>
      <c r="D640" s="79"/>
      <c r="E640" s="74" t="s">
        <v>56</v>
      </c>
      <c r="F640" s="63" t="s">
        <v>56</v>
      </c>
      <c r="G640" s="71"/>
      <c r="H640" s="71"/>
      <c r="I640" s="66"/>
      <c r="J640" s="68"/>
      <c r="K640" s="68"/>
      <c r="L640" s="68"/>
      <c r="M640" s="68"/>
      <c r="N640" s="67"/>
      <c r="O640" s="88"/>
      <c r="P640" s="88"/>
      <c r="Q640" s="90"/>
      <c r="R640" s="72"/>
      <c r="S640" s="72"/>
      <c r="T640" s="72"/>
      <c r="U640" s="72"/>
      <c r="V640" s="72"/>
      <c r="W640" s="72"/>
      <c r="X640" s="72"/>
      <c r="Y640" s="72"/>
    </row>
    <row r="641">
      <c r="A641" s="60"/>
      <c r="B641" s="61"/>
      <c r="C641" s="63"/>
      <c r="D641" s="79"/>
      <c r="E641" s="74" t="s">
        <v>56</v>
      </c>
      <c r="F641" s="63" t="s">
        <v>56</v>
      </c>
      <c r="G641" s="71"/>
      <c r="H641" s="71"/>
      <c r="I641" s="66"/>
      <c r="J641" s="68"/>
      <c r="K641" s="68"/>
      <c r="L641" s="68"/>
      <c r="M641" s="68"/>
      <c r="N641" s="67"/>
      <c r="O641" s="88"/>
      <c r="P641" s="88"/>
      <c r="Q641" s="90"/>
      <c r="R641" s="72"/>
      <c r="S641" s="72"/>
      <c r="T641" s="72"/>
      <c r="U641" s="72"/>
      <c r="V641" s="72"/>
      <c r="W641" s="72"/>
      <c r="X641" s="72"/>
      <c r="Y641" s="72"/>
    </row>
    <row r="642">
      <c r="A642" s="60"/>
      <c r="B642" s="61"/>
      <c r="C642" s="63"/>
      <c r="D642" s="79"/>
      <c r="E642" s="74" t="s">
        <v>56</v>
      </c>
      <c r="F642" s="63" t="s">
        <v>56</v>
      </c>
      <c r="G642" s="71"/>
      <c r="H642" s="71"/>
      <c r="I642" s="66"/>
      <c r="J642" s="68"/>
      <c r="K642" s="68"/>
      <c r="L642" s="68"/>
      <c r="M642" s="68"/>
      <c r="N642" s="67"/>
      <c r="O642" s="88"/>
      <c r="P642" s="88"/>
      <c r="Q642" s="90"/>
      <c r="R642" s="72"/>
      <c r="S642" s="72"/>
      <c r="T642" s="72"/>
      <c r="U642" s="72"/>
      <c r="V642" s="72"/>
      <c r="W642" s="72"/>
      <c r="X642" s="72"/>
      <c r="Y642" s="72"/>
    </row>
    <row r="643">
      <c r="A643" s="60"/>
      <c r="B643" s="61"/>
      <c r="C643" s="63"/>
      <c r="D643" s="79"/>
      <c r="E643" s="74" t="s">
        <v>56</v>
      </c>
      <c r="F643" s="63" t="s">
        <v>56</v>
      </c>
      <c r="G643" s="71"/>
      <c r="H643" s="71"/>
      <c r="I643" s="66"/>
      <c r="J643" s="68"/>
      <c r="K643" s="68"/>
      <c r="L643" s="68"/>
      <c r="M643" s="68"/>
      <c r="N643" s="67"/>
      <c r="O643" s="88"/>
      <c r="P643" s="88"/>
      <c r="Q643" s="90"/>
      <c r="R643" s="72"/>
      <c r="S643" s="72"/>
      <c r="T643" s="72"/>
      <c r="U643" s="72"/>
      <c r="V643" s="72"/>
      <c r="W643" s="72"/>
      <c r="X643" s="72"/>
      <c r="Y643" s="72"/>
    </row>
    <row r="644">
      <c r="A644" s="60"/>
      <c r="B644" s="61"/>
      <c r="C644" s="63"/>
      <c r="D644" s="79"/>
      <c r="E644" s="74" t="s">
        <v>56</v>
      </c>
      <c r="F644" s="63" t="s">
        <v>56</v>
      </c>
      <c r="G644" s="71"/>
      <c r="H644" s="71"/>
      <c r="I644" s="66"/>
      <c r="J644" s="68"/>
      <c r="K644" s="68"/>
      <c r="L644" s="68"/>
      <c r="M644" s="68"/>
      <c r="N644" s="67"/>
      <c r="O644" s="88"/>
      <c r="P644" s="88"/>
      <c r="Q644" s="90"/>
      <c r="R644" s="72"/>
      <c r="S644" s="72"/>
      <c r="T644" s="72"/>
      <c r="U644" s="72"/>
      <c r="V644" s="72"/>
      <c r="W644" s="72"/>
      <c r="X644" s="72"/>
      <c r="Y644" s="72"/>
    </row>
    <row r="645">
      <c r="A645" s="60"/>
      <c r="B645" s="61"/>
      <c r="C645" s="63"/>
      <c r="D645" s="79"/>
      <c r="E645" s="74" t="s">
        <v>56</v>
      </c>
      <c r="F645" s="63" t="s">
        <v>56</v>
      </c>
      <c r="G645" s="71"/>
      <c r="H645" s="71"/>
      <c r="I645" s="66"/>
      <c r="J645" s="68"/>
      <c r="K645" s="68"/>
      <c r="L645" s="68"/>
      <c r="M645" s="68"/>
      <c r="N645" s="67"/>
      <c r="O645" s="88"/>
      <c r="P645" s="88"/>
      <c r="Q645" s="90"/>
      <c r="R645" s="72"/>
      <c r="S645" s="72"/>
      <c r="T645" s="72"/>
      <c r="U645" s="72"/>
      <c r="V645" s="72"/>
      <c r="W645" s="72"/>
      <c r="X645" s="72"/>
      <c r="Y645" s="72"/>
    </row>
    <row r="646">
      <c r="A646" s="60"/>
      <c r="B646" s="61"/>
      <c r="C646" s="63"/>
      <c r="D646" s="79"/>
      <c r="E646" s="74" t="s">
        <v>56</v>
      </c>
      <c r="F646" s="63" t="s">
        <v>56</v>
      </c>
      <c r="G646" s="71"/>
      <c r="H646" s="71"/>
      <c r="I646" s="66"/>
      <c r="J646" s="68"/>
      <c r="K646" s="68"/>
      <c r="L646" s="68"/>
      <c r="M646" s="68"/>
      <c r="N646" s="67"/>
      <c r="O646" s="88"/>
      <c r="P646" s="88"/>
      <c r="Q646" s="90"/>
      <c r="R646" s="72"/>
      <c r="S646" s="72"/>
      <c r="T646" s="72"/>
      <c r="U646" s="72"/>
      <c r="V646" s="72"/>
      <c r="W646" s="72"/>
      <c r="X646" s="72"/>
      <c r="Y646" s="72"/>
    </row>
    <row r="647">
      <c r="A647" s="60"/>
      <c r="B647" s="61"/>
      <c r="C647" s="63"/>
      <c r="D647" s="79"/>
      <c r="E647" s="74" t="s">
        <v>56</v>
      </c>
      <c r="F647" s="63" t="s">
        <v>56</v>
      </c>
      <c r="G647" s="71"/>
      <c r="H647" s="71"/>
      <c r="I647" s="66"/>
      <c r="J647" s="68"/>
      <c r="K647" s="68"/>
      <c r="L647" s="68"/>
      <c r="M647" s="68"/>
      <c r="N647" s="67"/>
      <c r="O647" s="88"/>
      <c r="P647" s="88"/>
      <c r="Q647" s="90"/>
      <c r="R647" s="72"/>
      <c r="S647" s="72"/>
      <c r="T647" s="72"/>
      <c r="U647" s="72"/>
      <c r="V647" s="72"/>
      <c r="W647" s="72"/>
      <c r="X647" s="72"/>
      <c r="Y647" s="72"/>
    </row>
    <row r="648">
      <c r="A648" s="60"/>
      <c r="B648" s="61"/>
      <c r="C648" s="63"/>
      <c r="D648" s="79"/>
      <c r="E648" s="74" t="s">
        <v>56</v>
      </c>
      <c r="F648" s="63" t="s">
        <v>56</v>
      </c>
      <c r="G648" s="71"/>
      <c r="H648" s="71"/>
      <c r="I648" s="66"/>
      <c r="J648" s="68"/>
      <c r="K648" s="68"/>
      <c r="L648" s="68"/>
      <c r="M648" s="68"/>
      <c r="N648" s="67"/>
      <c r="O648" s="88"/>
      <c r="P648" s="88"/>
      <c r="Q648" s="90"/>
      <c r="R648" s="72"/>
      <c r="S648" s="72"/>
      <c r="T648" s="72"/>
      <c r="U648" s="72"/>
      <c r="V648" s="72"/>
      <c r="W648" s="72"/>
      <c r="X648" s="72"/>
      <c r="Y648" s="72"/>
    </row>
    <row r="649">
      <c r="A649" s="60"/>
      <c r="B649" s="61"/>
      <c r="C649" s="63"/>
      <c r="D649" s="79"/>
      <c r="E649" s="74" t="s">
        <v>56</v>
      </c>
      <c r="F649" s="63" t="s">
        <v>56</v>
      </c>
      <c r="G649" s="71"/>
      <c r="H649" s="71"/>
      <c r="I649" s="66"/>
      <c r="J649" s="68"/>
      <c r="K649" s="68"/>
      <c r="L649" s="68"/>
      <c r="M649" s="68"/>
      <c r="N649" s="67"/>
      <c r="O649" s="88"/>
      <c r="P649" s="88"/>
      <c r="Q649" s="90"/>
      <c r="R649" s="72"/>
      <c r="S649" s="72"/>
      <c r="T649" s="72"/>
      <c r="U649" s="72"/>
      <c r="V649" s="72"/>
      <c r="W649" s="72"/>
      <c r="X649" s="72"/>
      <c r="Y649" s="72"/>
    </row>
    <row r="650">
      <c r="A650" s="60"/>
      <c r="B650" s="61"/>
      <c r="C650" s="63"/>
      <c r="D650" s="79"/>
      <c r="E650" s="74" t="s">
        <v>56</v>
      </c>
      <c r="F650" s="63" t="s">
        <v>56</v>
      </c>
      <c r="G650" s="71"/>
      <c r="H650" s="71"/>
      <c r="I650" s="66"/>
      <c r="J650" s="68"/>
      <c r="K650" s="68"/>
      <c r="L650" s="68"/>
      <c r="M650" s="68"/>
      <c r="N650" s="67"/>
      <c r="O650" s="88"/>
      <c r="P650" s="88"/>
      <c r="Q650" s="90"/>
      <c r="R650" s="72"/>
      <c r="S650" s="72"/>
      <c r="T650" s="72"/>
      <c r="U650" s="72"/>
      <c r="V650" s="72"/>
      <c r="W650" s="72"/>
      <c r="X650" s="72"/>
      <c r="Y650" s="72"/>
    </row>
    <row r="651">
      <c r="A651" s="60"/>
      <c r="B651" s="61"/>
      <c r="C651" s="63"/>
      <c r="D651" s="79"/>
      <c r="E651" s="74" t="s">
        <v>56</v>
      </c>
      <c r="F651" s="63" t="s">
        <v>56</v>
      </c>
      <c r="G651" s="71"/>
      <c r="H651" s="71"/>
      <c r="I651" s="66"/>
      <c r="J651" s="68"/>
      <c r="K651" s="68"/>
      <c r="L651" s="68"/>
      <c r="M651" s="68"/>
      <c r="N651" s="67"/>
      <c r="O651" s="88"/>
      <c r="P651" s="88"/>
      <c r="Q651" s="90"/>
      <c r="R651" s="72"/>
      <c r="S651" s="72"/>
      <c r="T651" s="72"/>
      <c r="U651" s="72"/>
      <c r="V651" s="72"/>
      <c r="W651" s="72"/>
      <c r="X651" s="72"/>
      <c r="Y651" s="72"/>
    </row>
    <row r="652">
      <c r="A652" s="60"/>
      <c r="B652" s="61"/>
      <c r="C652" s="63"/>
      <c r="D652" s="79"/>
      <c r="E652" s="74" t="s">
        <v>56</v>
      </c>
      <c r="F652" s="63" t="s">
        <v>56</v>
      </c>
      <c r="G652" s="71"/>
      <c r="H652" s="71"/>
      <c r="I652" s="66"/>
      <c r="J652" s="68"/>
      <c r="K652" s="68"/>
      <c r="L652" s="68"/>
      <c r="M652" s="68"/>
      <c r="N652" s="67"/>
      <c r="O652" s="88"/>
      <c r="P652" s="88"/>
      <c r="Q652" s="90"/>
      <c r="R652" s="72"/>
      <c r="S652" s="72"/>
      <c r="T652" s="72"/>
      <c r="U652" s="72"/>
      <c r="V652" s="72"/>
      <c r="W652" s="72"/>
      <c r="X652" s="72"/>
      <c r="Y652" s="72"/>
    </row>
    <row r="653">
      <c r="A653" s="60"/>
      <c r="B653" s="61"/>
      <c r="C653" s="63"/>
      <c r="D653" s="79"/>
      <c r="E653" s="74" t="s">
        <v>56</v>
      </c>
      <c r="F653" s="63" t="s">
        <v>56</v>
      </c>
      <c r="G653" s="71"/>
      <c r="H653" s="71"/>
      <c r="I653" s="66"/>
      <c r="J653" s="68"/>
      <c r="K653" s="68"/>
      <c r="L653" s="68"/>
      <c r="M653" s="68"/>
      <c r="N653" s="67"/>
      <c r="O653" s="88"/>
      <c r="P653" s="88"/>
      <c r="Q653" s="90"/>
      <c r="R653" s="72"/>
      <c r="S653" s="72"/>
      <c r="T653" s="72"/>
      <c r="U653" s="72"/>
      <c r="V653" s="72"/>
      <c r="W653" s="72"/>
      <c r="X653" s="72"/>
      <c r="Y653" s="72"/>
    </row>
    <row r="654">
      <c r="A654" s="60"/>
      <c r="B654" s="61"/>
      <c r="C654" s="63"/>
      <c r="D654" s="79"/>
      <c r="E654" s="74" t="s">
        <v>56</v>
      </c>
      <c r="F654" s="63" t="s">
        <v>56</v>
      </c>
      <c r="G654" s="71"/>
      <c r="H654" s="71"/>
      <c r="I654" s="66"/>
      <c r="J654" s="68"/>
      <c r="K654" s="68"/>
      <c r="L654" s="68"/>
      <c r="M654" s="68"/>
      <c r="N654" s="67"/>
      <c r="O654" s="88"/>
      <c r="P654" s="88"/>
      <c r="Q654" s="90"/>
      <c r="R654" s="72"/>
      <c r="S654" s="72"/>
      <c r="T654" s="72"/>
      <c r="U654" s="72"/>
      <c r="V654" s="72"/>
      <c r="W654" s="72"/>
      <c r="X654" s="72"/>
      <c r="Y654" s="72"/>
    </row>
    <row r="655">
      <c r="A655" s="60"/>
      <c r="B655" s="61"/>
      <c r="C655" s="63"/>
      <c r="D655" s="79"/>
      <c r="E655" s="74" t="s">
        <v>56</v>
      </c>
      <c r="F655" s="63" t="s">
        <v>56</v>
      </c>
      <c r="G655" s="71"/>
      <c r="H655" s="71"/>
      <c r="I655" s="66"/>
      <c r="J655" s="68"/>
      <c r="K655" s="68"/>
      <c r="L655" s="68"/>
      <c r="M655" s="68"/>
      <c r="N655" s="67"/>
      <c r="O655" s="88"/>
      <c r="P655" s="88"/>
      <c r="Q655" s="90"/>
      <c r="R655" s="72"/>
      <c r="S655" s="72"/>
      <c r="T655" s="72"/>
      <c r="U655" s="72"/>
      <c r="V655" s="72"/>
      <c r="W655" s="72"/>
      <c r="X655" s="72"/>
      <c r="Y655" s="72"/>
    </row>
    <row r="656">
      <c r="A656" s="60"/>
      <c r="B656" s="61"/>
      <c r="C656" s="63"/>
      <c r="D656" s="79"/>
      <c r="E656" s="74" t="s">
        <v>56</v>
      </c>
      <c r="F656" s="63" t="s">
        <v>56</v>
      </c>
      <c r="G656" s="71"/>
      <c r="H656" s="71"/>
      <c r="I656" s="66"/>
      <c r="J656" s="68"/>
      <c r="K656" s="68"/>
      <c r="L656" s="68"/>
      <c r="M656" s="68"/>
      <c r="N656" s="67"/>
      <c r="O656" s="88"/>
      <c r="P656" s="88"/>
      <c r="Q656" s="90"/>
      <c r="R656" s="72"/>
      <c r="S656" s="72"/>
      <c r="T656" s="72"/>
      <c r="U656" s="72"/>
      <c r="V656" s="72"/>
      <c r="W656" s="72"/>
      <c r="X656" s="72"/>
      <c r="Y656" s="72"/>
    </row>
    <row r="657">
      <c r="A657" s="60"/>
      <c r="B657" s="61"/>
      <c r="C657" s="63"/>
      <c r="D657" s="79"/>
      <c r="E657" s="74" t="s">
        <v>56</v>
      </c>
      <c r="F657" s="63" t="s">
        <v>56</v>
      </c>
      <c r="G657" s="71"/>
      <c r="H657" s="71"/>
      <c r="I657" s="66"/>
      <c r="J657" s="68"/>
      <c r="K657" s="68"/>
      <c r="L657" s="68"/>
      <c r="M657" s="68"/>
      <c r="N657" s="67"/>
      <c r="O657" s="88"/>
      <c r="P657" s="88"/>
      <c r="Q657" s="90"/>
      <c r="R657" s="72"/>
      <c r="S657" s="72"/>
      <c r="T657" s="72"/>
      <c r="U657" s="72"/>
      <c r="V657" s="72"/>
      <c r="W657" s="72"/>
      <c r="X657" s="72"/>
      <c r="Y657" s="72"/>
    </row>
    <row r="658">
      <c r="A658" s="60"/>
      <c r="B658" s="61"/>
      <c r="C658" s="63"/>
      <c r="D658" s="79"/>
      <c r="E658" s="74" t="s">
        <v>56</v>
      </c>
      <c r="F658" s="63" t="s">
        <v>56</v>
      </c>
      <c r="G658" s="71"/>
      <c r="H658" s="71"/>
      <c r="I658" s="66"/>
      <c r="J658" s="68"/>
      <c r="K658" s="68"/>
      <c r="L658" s="68"/>
      <c r="M658" s="68"/>
      <c r="N658" s="67"/>
      <c r="O658" s="88"/>
      <c r="P658" s="88"/>
      <c r="Q658" s="90"/>
      <c r="R658" s="72"/>
      <c r="S658" s="72"/>
      <c r="T658" s="72"/>
      <c r="U658" s="72"/>
      <c r="V658" s="72"/>
      <c r="W658" s="72"/>
      <c r="X658" s="72"/>
      <c r="Y658" s="72"/>
    </row>
    <row r="659">
      <c r="A659" s="60"/>
      <c r="B659" s="61"/>
      <c r="C659" s="63"/>
      <c r="D659" s="79"/>
      <c r="E659" s="74" t="s">
        <v>56</v>
      </c>
      <c r="F659" s="63" t="s">
        <v>56</v>
      </c>
      <c r="G659" s="71"/>
      <c r="H659" s="71"/>
      <c r="I659" s="66"/>
      <c r="J659" s="68"/>
      <c r="K659" s="68"/>
      <c r="L659" s="68"/>
      <c r="M659" s="68"/>
      <c r="N659" s="67"/>
      <c r="O659" s="88"/>
      <c r="P659" s="88"/>
      <c r="Q659" s="90"/>
      <c r="R659" s="72"/>
      <c r="S659" s="72"/>
      <c r="T659" s="72"/>
      <c r="U659" s="72"/>
      <c r="V659" s="72"/>
      <c r="W659" s="72"/>
      <c r="X659" s="72"/>
      <c r="Y659" s="72"/>
    </row>
    <row r="660">
      <c r="A660" s="60"/>
      <c r="B660" s="61"/>
      <c r="C660" s="63"/>
      <c r="D660" s="79"/>
      <c r="E660" s="74" t="s">
        <v>56</v>
      </c>
      <c r="F660" s="63" t="s">
        <v>56</v>
      </c>
      <c r="G660" s="71"/>
      <c r="H660" s="71"/>
      <c r="I660" s="66"/>
      <c r="J660" s="68"/>
      <c r="K660" s="68"/>
      <c r="L660" s="68"/>
      <c r="M660" s="68"/>
      <c r="N660" s="67"/>
      <c r="O660" s="88"/>
      <c r="P660" s="88"/>
      <c r="Q660" s="90"/>
      <c r="R660" s="72"/>
      <c r="S660" s="72"/>
      <c r="T660" s="72"/>
      <c r="U660" s="72"/>
      <c r="V660" s="72"/>
      <c r="W660" s="72"/>
      <c r="X660" s="72"/>
      <c r="Y660" s="72"/>
    </row>
    <row r="661">
      <c r="A661" s="60"/>
      <c r="B661" s="61"/>
      <c r="C661" s="63"/>
      <c r="D661" s="79"/>
      <c r="E661" s="74" t="s">
        <v>56</v>
      </c>
      <c r="F661" s="63" t="s">
        <v>56</v>
      </c>
      <c r="G661" s="71"/>
      <c r="H661" s="71"/>
      <c r="I661" s="66"/>
      <c r="J661" s="68"/>
      <c r="K661" s="68"/>
      <c r="L661" s="68"/>
      <c r="M661" s="68"/>
      <c r="N661" s="67"/>
      <c r="O661" s="88"/>
      <c r="P661" s="88"/>
      <c r="Q661" s="90"/>
      <c r="R661" s="72"/>
      <c r="S661" s="72"/>
      <c r="T661" s="72"/>
      <c r="U661" s="72"/>
      <c r="V661" s="72"/>
      <c r="W661" s="72"/>
      <c r="X661" s="72"/>
      <c r="Y661" s="72"/>
    </row>
    <row r="662">
      <c r="A662" s="60"/>
      <c r="B662" s="61"/>
      <c r="C662" s="63"/>
      <c r="D662" s="79"/>
      <c r="E662" s="74" t="s">
        <v>56</v>
      </c>
      <c r="F662" s="63" t="s">
        <v>56</v>
      </c>
      <c r="G662" s="71"/>
      <c r="H662" s="71"/>
      <c r="I662" s="66"/>
      <c r="J662" s="68"/>
      <c r="K662" s="68"/>
      <c r="L662" s="68"/>
      <c r="M662" s="68"/>
      <c r="N662" s="67"/>
      <c r="O662" s="88"/>
      <c r="P662" s="88"/>
      <c r="Q662" s="90"/>
      <c r="R662" s="72"/>
      <c r="S662" s="72"/>
      <c r="T662" s="72"/>
      <c r="U662" s="72"/>
      <c r="V662" s="72"/>
      <c r="W662" s="72"/>
      <c r="X662" s="72"/>
      <c r="Y662" s="72"/>
    </row>
    <row r="663">
      <c r="A663" s="60"/>
      <c r="B663" s="61"/>
      <c r="C663" s="63"/>
      <c r="D663" s="79"/>
      <c r="E663" s="74" t="s">
        <v>56</v>
      </c>
      <c r="F663" s="63" t="s">
        <v>56</v>
      </c>
      <c r="G663" s="71"/>
      <c r="H663" s="71"/>
      <c r="I663" s="66"/>
      <c r="J663" s="68"/>
      <c r="K663" s="68"/>
      <c r="L663" s="68"/>
      <c r="M663" s="68"/>
      <c r="N663" s="67"/>
      <c r="O663" s="88"/>
      <c r="P663" s="88"/>
      <c r="Q663" s="90"/>
      <c r="R663" s="72"/>
      <c r="S663" s="72"/>
      <c r="T663" s="72"/>
      <c r="U663" s="72"/>
      <c r="V663" s="72"/>
      <c r="W663" s="72"/>
      <c r="X663" s="72"/>
      <c r="Y663" s="72"/>
    </row>
    <row r="664">
      <c r="A664" s="60"/>
      <c r="B664" s="61"/>
      <c r="C664" s="63"/>
      <c r="D664" s="79"/>
      <c r="E664" s="74" t="s">
        <v>56</v>
      </c>
      <c r="F664" s="63" t="s">
        <v>56</v>
      </c>
      <c r="G664" s="71"/>
      <c r="H664" s="71"/>
      <c r="I664" s="66"/>
      <c r="J664" s="68"/>
      <c r="K664" s="68"/>
      <c r="L664" s="68"/>
      <c r="M664" s="68"/>
      <c r="N664" s="67"/>
      <c r="O664" s="88"/>
      <c r="P664" s="88"/>
      <c r="Q664" s="90"/>
      <c r="R664" s="72"/>
      <c r="S664" s="72"/>
      <c r="T664" s="72"/>
      <c r="U664" s="72"/>
      <c r="V664" s="72"/>
      <c r="W664" s="72"/>
      <c r="X664" s="72"/>
      <c r="Y664" s="72"/>
    </row>
    <row r="665">
      <c r="A665" s="60"/>
      <c r="B665" s="61"/>
      <c r="C665" s="63"/>
      <c r="D665" s="79"/>
      <c r="E665" s="74" t="s">
        <v>56</v>
      </c>
      <c r="F665" s="63" t="s">
        <v>56</v>
      </c>
      <c r="G665" s="71"/>
      <c r="H665" s="71"/>
      <c r="I665" s="66"/>
      <c r="J665" s="68"/>
      <c r="K665" s="68"/>
      <c r="L665" s="68"/>
      <c r="M665" s="68"/>
      <c r="N665" s="67"/>
      <c r="O665" s="88"/>
      <c r="P665" s="88"/>
      <c r="Q665" s="90"/>
      <c r="R665" s="72"/>
      <c r="S665" s="72"/>
      <c r="T665" s="72"/>
      <c r="U665" s="72"/>
      <c r="V665" s="72"/>
      <c r="W665" s="72"/>
      <c r="X665" s="72"/>
      <c r="Y665" s="72"/>
    </row>
    <row r="666">
      <c r="A666" s="60"/>
      <c r="B666" s="61"/>
      <c r="C666" s="63"/>
      <c r="D666" s="79"/>
      <c r="E666" s="74" t="s">
        <v>56</v>
      </c>
      <c r="F666" s="63" t="s">
        <v>56</v>
      </c>
      <c r="G666" s="71"/>
      <c r="H666" s="71"/>
      <c r="I666" s="66"/>
      <c r="J666" s="68"/>
      <c r="K666" s="68"/>
      <c r="L666" s="68"/>
      <c r="M666" s="68"/>
      <c r="N666" s="67"/>
      <c r="O666" s="88"/>
      <c r="P666" s="88"/>
      <c r="Q666" s="90"/>
      <c r="R666" s="72"/>
      <c r="S666" s="72"/>
      <c r="T666" s="72"/>
      <c r="U666" s="72"/>
      <c r="V666" s="72"/>
      <c r="W666" s="72"/>
      <c r="X666" s="72"/>
      <c r="Y666" s="72"/>
    </row>
    <row r="667">
      <c r="A667" s="60"/>
      <c r="B667" s="61"/>
      <c r="C667" s="63"/>
      <c r="D667" s="79"/>
      <c r="E667" s="74" t="s">
        <v>56</v>
      </c>
      <c r="F667" s="63" t="s">
        <v>56</v>
      </c>
      <c r="G667" s="71"/>
      <c r="H667" s="71"/>
      <c r="I667" s="66"/>
      <c r="J667" s="68"/>
      <c r="K667" s="68"/>
      <c r="L667" s="68"/>
      <c r="M667" s="68"/>
      <c r="N667" s="67"/>
      <c r="O667" s="88"/>
      <c r="P667" s="88"/>
      <c r="Q667" s="90"/>
      <c r="R667" s="72"/>
      <c r="S667" s="72"/>
      <c r="T667" s="72"/>
      <c r="U667" s="72"/>
      <c r="V667" s="72"/>
      <c r="W667" s="72"/>
      <c r="X667" s="72"/>
      <c r="Y667" s="72"/>
    </row>
    <row r="668">
      <c r="A668" s="60"/>
      <c r="B668" s="61"/>
      <c r="C668" s="63"/>
      <c r="D668" s="79"/>
      <c r="E668" s="74" t="s">
        <v>56</v>
      </c>
      <c r="F668" s="63" t="s">
        <v>56</v>
      </c>
      <c r="G668" s="71"/>
      <c r="H668" s="71"/>
      <c r="I668" s="66"/>
      <c r="J668" s="68"/>
      <c r="K668" s="68"/>
      <c r="L668" s="68"/>
      <c r="M668" s="68"/>
      <c r="N668" s="67"/>
      <c r="O668" s="88"/>
      <c r="P668" s="88"/>
      <c r="Q668" s="90"/>
      <c r="R668" s="72"/>
      <c r="S668" s="72"/>
      <c r="T668" s="72"/>
      <c r="U668" s="72"/>
      <c r="V668" s="72"/>
      <c r="W668" s="72"/>
      <c r="X668" s="72"/>
      <c r="Y668" s="72"/>
    </row>
    <row r="669">
      <c r="A669" s="60"/>
      <c r="B669" s="61"/>
      <c r="C669" s="63"/>
      <c r="D669" s="79"/>
      <c r="E669" s="74" t="s">
        <v>56</v>
      </c>
      <c r="F669" s="63" t="s">
        <v>56</v>
      </c>
      <c r="G669" s="71"/>
      <c r="H669" s="71"/>
      <c r="I669" s="66"/>
      <c r="J669" s="68"/>
      <c r="K669" s="68"/>
      <c r="L669" s="68"/>
      <c r="M669" s="68"/>
      <c r="N669" s="67"/>
      <c r="O669" s="88"/>
      <c r="P669" s="88"/>
      <c r="Q669" s="90"/>
      <c r="R669" s="72"/>
      <c r="S669" s="72"/>
      <c r="T669" s="72"/>
      <c r="U669" s="72"/>
      <c r="V669" s="72"/>
      <c r="W669" s="72"/>
      <c r="X669" s="72"/>
      <c r="Y669" s="72"/>
    </row>
    <row r="670">
      <c r="A670" s="60"/>
      <c r="B670" s="61"/>
      <c r="C670" s="63"/>
      <c r="D670" s="79"/>
      <c r="E670" s="74" t="s">
        <v>56</v>
      </c>
      <c r="F670" s="63" t="s">
        <v>56</v>
      </c>
      <c r="G670" s="71"/>
      <c r="H670" s="71"/>
      <c r="I670" s="66"/>
      <c r="J670" s="68"/>
      <c r="K670" s="68"/>
      <c r="L670" s="68"/>
      <c r="M670" s="68"/>
      <c r="N670" s="67"/>
      <c r="O670" s="88"/>
      <c r="P670" s="88"/>
      <c r="Q670" s="90"/>
      <c r="R670" s="72"/>
      <c r="S670" s="72"/>
      <c r="T670" s="72"/>
      <c r="U670" s="72"/>
      <c r="V670" s="72"/>
      <c r="W670" s="72"/>
      <c r="X670" s="72"/>
      <c r="Y670" s="72"/>
    </row>
    <row r="671">
      <c r="A671" s="60"/>
      <c r="B671" s="61"/>
      <c r="C671" s="63"/>
      <c r="D671" s="79"/>
      <c r="E671" s="74" t="s">
        <v>56</v>
      </c>
      <c r="F671" s="63" t="s">
        <v>56</v>
      </c>
      <c r="G671" s="71"/>
      <c r="H671" s="71"/>
      <c r="I671" s="66"/>
      <c r="J671" s="68"/>
      <c r="K671" s="68"/>
      <c r="L671" s="68"/>
      <c r="M671" s="68"/>
      <c r="N671" s="67"/>
      <c r="O671" s="88"/>
      <c r="P671" s="88"/>
      <c r="Q671" s="90"/>
      <c r="R671" s="72"/>
      <c r="S671" s="72"/>
      <c r="T671" s="72"/>
      <c r="U671" s="72"/>
      <c r="V671" s="72"/>
      <c r="W671" s="72"/>
      <c r="X671" s="72"/>
      <c r="Y671" s="72"/>
    </row>
    <row r="672">
      <c r="A672" s="60"/>
      <c r="B672" s="61"/>
      <c r="C672" s="63"/>
      <c r="D672" s="79"/>
      <c r="E672" s="74" t="s">
        <v>56</v>
      </c>
      <c r="F672" s="63" t="s">
        <v>56</v>
      </c>
      <c r="G672" s="71"/>
      <c r="H672" s="71"/>
      <c r="I672" s="66"/>
      <c r="J672" s="68"/>
      <c r="K672" s="68"/>
      <c r="L672" s="68"/>
      <c r="M672" s="68"/>
      <c r="N672" s="67"/>
      <c r="O672" s="88"/>
      <c r="P672" s="88"/>
      <c r="Q672" s="90"/>
      <c r="R672" s="72"/>
      <c r="S672" s="72"/>
      <c r="T672" s="72"/>
      <c r="U672" s="72"/>
      <c r="V672" s="72"/>
      <c r="W672" s="72"/>
      <c r="X672" s="72"/>
      <c r="Y672" s="72"/>
    </row>
    <row r="673">
      <c r="A673" s="60"/>
      <c r="B673" s="61"/>
      <c r="C673" s="63"/>
      <c r="D673" s="79"/>
      <c r="E673" s="74" t="s">
        <v>56</v>
      </c>
      <c r="F673" s="63" t="s">
        <v>56</v>
      </c>
      <c r="G673" s="71"/>
      <c r="H673" s="71"/>
      <c r="I673" s="66"/>
      <c r="J673" s="68"/>
      <c r="K673" s="68"/>
      <c r="L673" s="68"/>
      <c r="M673" s="68"/>
      <c r="N673" s="67"/>
      <c r="O673" s="88"/>
      <c r="P673" s="88"/>
      <c r="Q673" s="90"/>
      <c r="R673" s="72"/>
      <c r="S673" s="72"/>
      <c r="T673" s="72"/>
      <c r="U673" s="72"/>
      <c r="V673" s="72"/>
      <c r="W673" s="72"/>
      <c r="X673" s="72"/>
      <c r="Y673" s="72"/>
    </row>
    <row r="674">
      <c r="A674" s="60"/>
      <c r="B674" s="61"/>
      <c r="C674" s="63"/>
      <c r="D674" s="79"/>
      <c r="E674" s="74" t="s">
        <v>56</v>
      </c>
      <c r="F674" s="63" t="s">
        <v>56</v>
      </c>
      <c r="G674" s="71"/>
      <c r="H674" s="71"/>
      <c r="I674" s="66"/>
      <c r="J674" s="68"/>
      <c r="K674" s="68"/>
      <c r="L674" s="68"/>
      <c r="M674" s="68"/>
      <c r="N674" s="67"/>
      <c r="O674" s="88"/>
      <c r="P674" s="88"/>
      <c r="Q674" s="90"/>
      <c r="R674" s="72"/>
      <c r="S674" s="72"/>
      <c r="T674" s="72"/>
      <c r="U674" s="72"/>
      <c r="V674" s="72"/>
      <c r="W674" s="72"/>
      <c r="X674" s="72"/>
      <c r="Y674" s="72"/>
    </row>
    <row r="675">
      <c r="A675" s="60"/>
      <c r="B675" s="61"/>
      <c r="C675" s="63"/>
      <c r="D675" s="79"/>
      <c r="E675" s="74" t="s">
        <v>56</v>
      </c>
      <c r="F675" s="63" t="s">
        <v>56</v>
      </c>
      <c r="G675" s="71"/>
      <c r="H675" s="71"/>
      <c r="I675" s="66"/>
      <c r="J675" s="68"/>
      <c r="K675" s="68"/>
      <c r="L675" s="68"/>
      <c r="M675" s="68"/>
      <c r="N675" s="67"/>
      <c r="O675" s="88"/>
      <c r="P675" s="88"/>
      <c r="Q675" s="90"/>
      <c r="R675" s="72"/>
      <c r="S675" s="72"/>
      <c r="T675" s="72"/>
      <c r="U675" s="72"/>
      <c r="V675" s="72"/>
      <c r="W675" s="72"/>
      <c r="X675" s="72"/>
      <c r="Y675" s="72"/>
    </row>
    <row r="676">
      <c r="A676" s="60"/>
      <c r="B676" s="61"/>
      <c r="C676" s="63"/>
      <c r="D676" s="79"/>
      <c r="E676" s="74" t="s">
        <v>56</v>
      </c>
      <c r="F676" s="63" t="s">
        <v>56</v>
      </c>
      <c r="G676" s="71"/>
      <c r="H676" s="71"/>
      <c r="I676" s="66"/>
      <c r="J676" s="68"/>
      <c r="K676" s="68"/>
      <c r="L676" s="68"/>
      <c r="M676" s="68"/>
      <c r="N676" s="67"/>
      <c r="O676" s="88"/>
      <c r="P676" s="88"/>
      <c r="Q676" s="90"/>
      <c r="R676" s="72"/>
      <c r="S676" s="72"/>
      <c r="T676" s="72"/>
      <c r="U676" s="72"/>
      <c r="V676" s="72"/>
      <c r="W676" s="72"/>
      <c r="X676" s="72"/>
      <c r="Y676" s="72"/>
    </row>
    <row r="677">
      <c r="A677" s="60"/>
      <c r="B677" s="61"/>
      <c r="C677" s="63"/>
      <c r="D677" s="79"/>
      <c r="E677" s="74" t="s">
        <v>56</v>
      </c>
      <c r="F677" s="63" t="s">
        <v>56</v>
      </c>
      <c r="G677" s="71"/>
      <c r="H677" s="71"/>
      <c r="I677" s="66"/>
      <c r="J677" s="68"/>
      <c r="K677" s="68"/>
      <c r="L677" s="68"/>
      <c r="M677" s="68"/>
      <c r="N677" s="67"/>
      <c r="O677" s="88"/>
      <c r="P677" s="88"/>
      <c r="Q677" s="90"/>
      <c r="R677" s="72"/>
      <c r="S677" s="72"/>
      <c r="T677" s="72"/>
      <c r="U677" s="72"/>
      <c r="V677" s="72"/>
      <c r="W677" s="72"/>
      <c r="X677" s="72"/>
      <c r="Y677" s="72"/>
    </row>
    <row r="678">
      <c r="A678" s="60"/>
      <c r="B678" s="61"/>
      <c r="C678" s="63"/>
      <c r="D678" s="79"/>
      <c r="E678" s="74" t="s">
        <v>56</v>
      </c>
      <c r="F678" s="63" t="s">
        <v>56</v>
      </c>
      <c r="G678" s="71"/>
      <c r="H678" s="71"/>
      <c r="I678" s="66"/>
      <c r="J678" s="68"/>
      <c r="K678" s="68"/>
      <c r="L678" s="68"/>
      <c r="M678" s="68"/>
      <c r="N678" s="67"/>
      <c r="O678" s="88"/>
      <c r="P678" s="88"/>
      <c r="Q678" s="90"/>
      <c r="R678" s="72"/>
      <c r="S678" s="72"/>
      <c r="T678" s="72"/>
      <c r="U678" s="72"/>
      <c r="V678" s="72"/>
      <c r="W678" s="72"/>
      <c r="X678" s="72"/>
      <c r="Y678" s="72"/>
    </row>
    <row r="679">
      <c r="A679" s="60"/>
      <c r="B679" s="61"/>
      <c r="C679" s="63"/>
      <c r="D679" s="79"/>
      <c r="E679" s="74" t="s">
        <v>56</v>
      </c>
      <c r="F679" s="63" t="s">
        <v>56</v>
      </c>
      <c r="G679" s="71"/>
      <c r="H679" s="71"/>
      <c r="I679" s="66"/>
      <c r="J679" s="68"/>
      <c r="K679" s="68"/>
      <c r="L679" s="68"/>
      <c r="M679" s="68"/>
      <c r="N679" s="67"/>
      <c r="O679" s="88"/>
      <c r="P679" s="88"/>
      <c r="Q679" s="90"/>
      <c r="R679" s="72"/>
      <c r="S679" s="72"/>
      <c r="T679" s="72"/>
      <c r="U679" s="72"/>
      <c r="V679" s="72"/>
      <c r="W679" s="72"/>
      <c r="X679" s="72"/>
      <c r="Y679" s="72"/>
    </row>
    <row r="680">
      <c r="A680" s="60"/>
      <c r="B680" s="61"/>
      <c r="C680" s="63"/>
      <c r="D680" s="79"/>
      <c r="E680" s="74" t="s">
        <v>56</v>
      </c>
      <c r="F680" s="63" t="s">
        <v>56</v>
      </c>
      <c r="G680" s="71"/>
      <c r="H680" s="71"/>
      <c r="I680" s="66"/>
      <c r="J680" s="68"/>
      <c r="K680" s="68"/>
      <c r="L680" s="68"/>
      <c r="M680" s="68"/>
      <c r="N680" s="67"/>
      <c r="O680" s="88"/>
      <c r="P680" s="88"/>
      <c r="Q680" s="90"/>
      <c r="R680" s="72"/>
      <c r="S680" s="72"/>
      <c r="T680" s="72"/>
      <c r="U680" s="72"/>
      <c r="V680" s="72"/>
      <c r="W680" s="72"/>
      <c r="X680" s="72"/>
      <c r="Y680" s="72"/>
    </row>
    <row r="681">
      <c r="A681" s="60"/>
      <c r="B681" s="61"/>
      <c r="C681" s="63"/>
      <c r="D681" s="79"/>
      <c r="E681" s="74" t="s">
        <v>56</v>
      </c>
      <c r="F681" s="63" t="s">
        <v>56</v>
      </c>
      <c r="G681" s="71"/>
      <c r="H681" s="71"/>
      <c r="I681" s="66"/>
      <c r="J681" s="68"/>
      <c r="K681" s="68"/>
      <c r="L681" s="68"/>
      <c r="M681" s="68"/>
      <c r="N681" s="67"/>
      <c r="O681" s="88"/>
      <c r="P681" s="88"/>
      <c r="Q681" s="90"/>
      <c r="R681" s="72"/>
      <c r="S681" s="72"/>
      <c r="T681" s="72"/>
      <c r="U681" s="72"/>
      <c r="V681" s="72"/>
      <c r="W681" s="72"/>
      <c r="X681" s="72"/>
      <c r="Y681" s="72"/>
    </row>
    <row r="682">
      <c r="A682" s="60"/>
      <c r="B682" s="61"/>
      <c r="C682" s="63"/>
      <c r="D682" s="79"/>
      <c r="E682" s="74" t="s">
        <v>56</v>
      </c>
      <c r="F682" s="63" t="s">
        <v>56</v>
      </c>
      <c r="G682" s="71"/>
      <c r="H682" s="71"/>
      <c r="I682" s="66"/>
      <c r="J682" s="68"/>
      <c r="K682" s="68"/>
      <c r="L682" s="68"/>
      <c r="M682" s="68"/>
      <c r="N682" s="67"/>
      <c r="O682" s="88"/>
      <c r="P682" s="88"/>
      <c r="Q682" s="90"/>
      <c r="R682" s="72"/>
      <c r="S682" s="72"/>
      <c r="T682" s="72"/>
      <c r="U682" s="72"/>
      <c r="V682" s="72"/>
      <c r="W682" s="72"/>
      <c r="X682" s="72"/>
      <c r="Y682" s="72"/>
    </row>
    <row r="683">
      <c r="A683" s="60"/>
      <c r="B683" s="61"/>
      <c r="C683" s="63"/>
      <c r="D683" s="79"/>
      <c r="E683" s="74" t="s">
        <v>56</v>
      </c>
      <c r="F683" s="63" t="s">
        <v>56</v>
      </c>
      <c r="G683" s="71"/>
      <c r="H683" s="71"/>
      <c r="I683" s="66"/>
      <c r="J683" s="68"/>
      <c r="K683" s="68"/>
      <c r="L683" s="68"/>
      <c r="M683" s="68"/>
      <c r="N683" s="67"/>
      <c r="O683" s="88"/>
      <c r="P683" s="88"/>
      <c r="Q683" s="90"/>
      <c r="R683" s="72"/>
      <c r="S683" s="72"/>
      <c r="T683" s="72"/>
      <c r="U683" s="72"/>
      <c r="V683" s="72"/>
      <c r="W683" s="72"/>
      <c r="X683" s="72"/>
      <c r="Y683" s="72"/>
    </row>
    <row r="684">
      <c r="A684" s="60"/>
      <c r="B684" s="61"/>
      <c r="C684" s="63"/>
      <c r="D684" s="79"/>
      <c r="E684" s="74" t="s">
        <v>56</v>
      </c>
      <c r="F684" s="63" t="s">
        <v>56</v>
      </c>
      <c r="G684" s="71"/>
      <c r="H684" s="71"/>
      <c r="I684" s="66"/>
      <c r="J684" s="68"/>
      <c r="K684" s="68"/>
      <c r="L684" s="68"/>
      <c r="M684" s="68"/>
      <c r="N684" s="67"/>
      <c r="O684" s="88"/>
      <c r="P684" s="88"/>
      <c r="Q684" s="90"/>
      <c r="R684" s="72"/>
      <c r="S684" s="72"/>
      <c r="T684" s="72"/>
      <c r="U684" s="72"/>
      <c r="V684" s="72"/>
      <c r="W684" s="72"/>
      <c r="X684" s="72"/>
      <c r="Y684" s="72"/>
    </row>
    <row r="685">
      <c r="A685" s="60"/>
      <c r="B685" s="61"/>
      <c r="C685" s="63"/>
      <c r="D685" s="79"/>
      <c r="E685" s="74" t="s">
        <v>56</v>
      </c>
      <c r="F685" s="63" t="s">
        <v>56</v>
      </c>
      <c r="G685" s="71"/>
      <c r="H685" s="71"/>
      <c r="I685" s="66"/>
      <c r="J685" s="68"/>
      <c r="K685" s="68"/>
      <c r="L685" s="68"/>
      <c r="M685" s="68"/>
      <c r="N685" s="67"/>
      <c r="O685" s="88"/>
      <c r="P685" s="88"/>
      <c r="Q685" s="90"/>
      <c r="R685" s="72"/>
      <c r="S685" s="72"/>
      <c r="T685" s="72"/>
      <c r="U685" s="72"/>
      <c r="V685" s="72"/>
      <c r="W685" s="72"/>
      <c r="X685" s="72"/>
      <c r="Y685" s="72"/>
    </row>
    <row r="686">
      <c r="A686" s="60"/>
      <c r="B686" s="61"/>
      <c r="C686" s="63"/>
      <c r="D686" s="79"/>
      <c r="E686" s="74" t="s">
        <v>56</v>
      </c>
      <c r="F686" s="63" t="s">
        <v>56</v>
      </c>
      <c r="G686" s="71"/>
      <c r="H686" s="71"/>
      <c r="I686" s="66"/>
      <c r="J686" s="68"/>
      <c r="K686" s="68"/>
      <c r="L686" s="68"/>
      <c r="M686" s="68"/>
      <c r="N686" s="67"/>
      <c r="O686" s="88"/>
      <c r="P686" s="88"/>
      <c r="Q686" s="90"/>
      <c r="R686" s="72"/>
      <c r="S686" s="72"/>
      <c r="T686" s="72"/>
      <c r="U686" s="72"/>
      <c r="V686" s="72"/>
      <c r="W686" s="72"/>
      <c r="X686" s="72"/>
      <c r="Y686" s="72"/>
    </row>
    <row r="687">
      <c r="A687" s="60"/>
      <c r="B687" s="61"/>
      <c r="C687" s="63"/>
      <c r="D687" s="79"/>
      <c r="E687" s="74" t="s">
        <v>56</v>
      </c>
      <c r="F687" s="63" t="s">
        <v>56</v>
      </c>
      <c r="G687" s="71"/>
      <c r="H687" s="71"/>
      <c r="I687" s="66"/>
      <c r="J687" s="68"/>
      <c r="K687" s="68"/>
      <c r="L687" s="68"/>
      <c r="M687" s="68"/>
      <c r="N687" s="67"/>
      <c r="O687" s="88"/>
      <c r="P687" s="88"/>
      <c r="Q687" s="90"/>
      <c r="R687" s="72"/>
      <c r="S687" s="72"/>
      <c r="T687" s="72"/>
      <c r="U687" s="72"/>
      <c r="V687" s="72"/>
      <c r="W687" s="72"/>
      <c r="X687" s="72"/>
      <c r="Y687" s="72"/>
    </row>
    <row r="688">
      <c r="A688" s="60"/>
      <c r="B688" s="61"/>
      <c r="C688" s="63"/>
      <c r="D688" s="79"/>
      <c r="E688" s="74" t="s">
        <v>56</v>
      </c>
      <c r="F688" s="63" t="s">
        <v>56</v>
      </c>
      <c r="G688" s="71"/>
      <c r="H688" s="71"/>
      <c r="I688" s="66"/>
      <c r="J688" s="68"/>
      <c r="K688" s="68"/>
      <c r="L688" s="68"/>
      <c r="M688" s="68"/>
      <c r="N688" s="67"/>
      <c r="O688" s="88"/>
      <c r="P688" s="88"/>
      <c r="Q688" s="90"/>
      <c r="R688" s="72"/>
      <c r="S688" s="72"/>
      <c r="T688" s="72"/>
      <c r="U688" s="72"/>
      <c r="V688" s="72"/>
      <c r="W688" s="72"/>
      <c r="X688" s="72"/>
      <c r="Y688" s="72"/>
    </row>
    <row r="689">
      <c r="A689" s="60"/>
      <c r="B689" s="61"/>
      <c r="C689" s="63"/>
      <c r="D689" s="79"/>
      <c r="E689" s="74" t="s">
        <v>56</v>
      </c>
      <c r="F689" s="63" t="s">
        <v>56</v>
      </c>
      <c r="G689" s="71"/>
      <c r="H689" s="71"/>
      <c r="I689" s="66"/>
      <c r="J689" s="68"/>
      <c r="K689" s="68"/>
      <c r="L689" s="68"/>
      <c r="M689" s="68"/>
      <c r="N689" s="67"/>
      <c r="O689" s="88"/>
      <c r="P689" s="88"/>
      <c r="Q689" s="90"/>
      <c r="R689" s="72"/>
      <c r="S689" s="72"/>
      <c r="T689" s="72"/>
      <c r="U689" s="72"/>
      <c r="V689" s="72"/>
      <c r="W689" s="72"/>
      <c r="X689" s="72"/>
      <c r="Y689" s="72"/>
    </row>
    <row r="690">
      <c r="A690" s="60"/>
      <c r="B690" s="61"/>
      <c r="C690" s="63"/>
      <c r="D690" s="79"/>
      <c r="E690" s="74" t="s">
        <v>56</v>
      </c>
      <c r="F690" s="63" t="s">
        <v>56</v>
      </c>
      <c r="G690" s="71"/>
      <c r="H690" s="71"/>
      <c r="I690" s="66"/>
      <c r="J690" s="68"/>
      <c r="K690" s="68"/>
      <c r="L690" s="68"/>
      <c r="M690" s="68"/>
      <c r="N690" s="67"/>
      <c r="O690" s="88"/>
      <c r="P690" s="88"/>
      <c r="Q690" s="90"/>
      <c r="R690" s="72"/>
      <c r="S690" s="72"/>
      <c r="T690" s="72"/>
      <c r="U690" s="72"/>
      <c r="V690" s="72"/>
      <c r="W690" s="72"/>
      <c r="X690" s="72"/>
      <c r="Y690" s="72"/>
    </row>
    <row r="691">
      <c r="A691" s="60"/>
      <c r="B691" s="61"/>
      <c r="C691" s="63"/>
      <c r="D691" s="79"/>
      <c r="E691" s="74" t="s">
        <v>56</v>
      </c>
      <c r="F691" s="63" t="s">
        <v>56</v>
      </c>
      <c r="G691" s="71"/>
      <c r="H691" s="71"/>
      <c r="I691" s="66"/>
      <c r="J691" s="68"/>
      <c r="K691" s="68"/>
      <c r="L691" s="68"/>
      <c r="M691" s="68"/>
      <c r="N691" s="67"/>
      <c r="O691" s="88"/>
      <c r="P691" s="88"/>
      <c r="Q691" s="90"/>
      <c r="R691" s="72"/>
      <c r="S691" s="72"/>
      <c r="T691" s="72"/>
      <c r="U691" s="72"/>
      <c r="V691" s="72"/>
      <c r="W691" s="72"/>
      <c r="X691" s="72"/>
      <c r="Y691" s="72"/>
    </row>
    <row r="692">
      <c r="A692" s="60"/>
      <c r="B692" s="61"/>
      <c r="C692" s="63"/>
      <c r="D692" s="79"/>
      <c r="E692" s="74" t="s">
        <v>56</v>
      </c>
      <c r="F692" s="63" t="s">
        <v>56</v>
      </c>
      <c r="G692" s="71"/>
      <c r="H692" s="71"/>
      <c r="I692" s="66"/>
      <c r="J692" s="68"/>
      <c r="K692" s="68"/>
      <c r="L692" s="68"/>
      <c r="M692" s="68"/>
      <c r="N692" s="67"/>
      <c r="O692" s="88"/>
      <c r="P692" s="88"/>
      <c r="Q692" s="90"/>
      <c r="R692" s="72"/>
      <c r="S692" s="72"/>
      <c r="T692" s="72"/>
      <c r="U692" s="72"/>
      <c r="V692" s="72"/>
      <c r="W692" s="72"/>
      <c r="X692" s="72"/>
      <c r="Y692" s="72"/>
    </row>
    <row r="693">
      <c r="A693" s="60"/>
      <c r="B693" s="61"/>
      <c r="C693" s="63"/>
      <c r="D693" s="79"/>
      <c r="E693" s="74" t="s">
        <v>56</v>
      </c>
      <c r="F693" s="63" t="s">
        <v>56</v>
      </c>
      <c r="G693" s="71"/>
      <c r="H693" s="71"/>
      <c r="I693" s="66"/>
      <c r="J693" s="68"/>
      <c r="K693" s="68"/>
      <c r="L693" s="68"/>
      <c r="M693" s="68"/>
      <c r="N693" s="67"/>
      <c r="O693" s="88"/>
      <c r="P693" s="88"/>
      <c r="Q693" s="90"/>
      <c r="R693" s="72"/>
      <c r="S693" s="72"/>
      <c r="T693" s="72"/>
      <c r="U693" s="72"/>
      <c r="V693" s="72"/>
      <c r="W693" s="72"/>
      <c r="X693" s="72"/>
      <c r="Y693" s="72"/>
    </row>
    <row r="694">
      <c r="A694" s="60"/>
      <c r="B694" s="61"/>
      <c r="C694" s="63"/>
      <c r="D694" s="79"/>
      <c r="E694" s="74" t="s">
        <v>56</v>
      </c>
      <c r="F694" s="63" t="s">
        <v>56</v>
      </c>
      <c r="G694" s="71"/>
      <c r="H694" s="71"/>
      <c r="I694" s="66"/>
      <c r="J694" s="68"/>
      <c r="K694" s="68"/>
      <c r="L694" s="68"/>
      <c r="M694" s="68"/>
      <c r="N694" s="67"/>
      <c r="O694" s="88"/>
      <c r="P694" s="88"/>
      <c r="Q694" s="90"/>
      <c r="R694" s="72"/>
      <c r="S694" s="72"/>
      <c r="T694" s="72"/>
      <c r="U694" s="72"/>
      <c r="V694" s="72"/>
      <c r="W694" s="72"/>
      <c r="X694" s="72"/>
      <c r="Y694" s="72"/>
    </row>
    <row r="695">
      <c r="A695" s="60"/>
      <c r="B695" s="61"/>
      <c r="C695" s="63"/>
      <c r="D695" s="79"/>
      <c r="E695" s="74" t="s">
        <v>56</v>
      </c>
      <c r="F695" s="63" t="s">
        <v>56</v>
      </c>
      <c r="G695" s="71"/>
      <c r="H695" s="71"/>
      <c r="I695" s="66"/>
      <c r="J695" s="68"/>
      <c r="K695" s="68"/>
      <c r="L695" s="68"/>
      <c r="M695" s="68"/>
      <c r="N695" s="67"/>
      <c r="O695" s="88"/>
      <c r="P695" s="88"/>
      <c r="Q695" s="90"/>
      <c r="R695" s="72"/>
      <c r="S695" s="72"/>
      <c r="T695" s="72"/>
      <c r="U695" s="72"/>
      <c r="V695" s="72"/>
      <c r="W695" s="72"/>
      <c r="X695" s="72"/>
      <c r="Y695" s="72"/>
    </row>
    <row r="696">
      <c r="A696" s="60"/>
      <c r="B696" s="61"/>
      <c r="C696" s="63"/>
      <c r="D696" s="79"/>
      <c r="E696" s="74" t="s">
        <v>56</v>
      </c>
      <c r="F696" s="63" t="s">
        <v>56</v>
      </c>
      <c r="G696" s="71"/>
      <c r="H696" s="71"/>
      <c r="I696" s="66"/>
      <c r="J696" s="68"/>
      <c r="K696" s="68"/>
      <c r="L696" s="68"/>
      <c r="M696" s="68"/>
      <c r="N696" s="67"/>
      <c r="O696" s="88"/>
      <c r="P696" s="88"/>
      <c r="Q696" s="90"/>
      <c r="R696" s="72"/>
      <c r="S696" s="72"/>
      <c r="T696" s="72"/>
      <c r="U696" s="72"/>
      <c r="V696" s="72"/>
      <c r="W696" s="72"/>
      <c r="X696" s="72"/>
      <c r="Y696" s="72"/>
    </row>
    <row r="697">
      <c r="A697" s="60"/>
      <c r="B697" s="61"/>
      <c r="C697" s="63"/>
      <c r="D697" s="79"/>
      <c r="E697" s="74" t="s">
        <v>56</v>
      </c>
      <c r="F697" s="63" t="s">
        <v>56</v>
      </c>
      <c r="G697" s="71"/>
      <c r="H697" s="71"/>
      <c r="I697" s="66"/>
      <c r="J697" s="68"/>
      <c r="K697" s="68"/>
      <c r="L697" s="68"/>
      <c r="M697" s="68"/>
      <c r="N697" s="67"/>
      <c r="O697" s="88"/>
      <c r="P697" s="88"/>
      <c r="Q697" s="90"/>
      <c r="R697" s="72"/>
      <c r="S697" s="72"/>
      <c r="T697" s="72"/>
      <c r="U697" s="72"/>
      <c r="V697" s="72"/>
      <c r="W697" s="72"/>
      <c r="X697" s="72"/>
      <c r="Y697" s="72"/>
    </row>
    <row r="698">
      <c r="A698" s="60"/>
      <c r="B698" s="61"/>
      <c r="C698" s="63"/>
      <c r="D698" s="79"/>
      <c r="E698" s="74" t="s">
        <v>56</v>
      </c>
      <c r="F698" s="63" t="s">
        <v>56</v>
      </c>
      <c r="G698" s="71"/>
      <c r="H698" s="71"/>
      <c r="I698" s="66"/>
      <c r="J698" s="68"/>
      <c r="K698" s="68"/>
      <c r="L698" s="68"/>
      <c r="M698" s="68"/>
      <c r="N698" s="67"/>
      <c r="O698" s="88"/>
      <c r="P698" s="88"/>
      <c r="Q698" s="90"/>
      <c r="R698" s="72"/>
      <c r="S698" s="72"/>
      <c r="T698" s="72"/>
      <c r="U698" s="72"/>
      <c r="V698" s="72"/>
      <c r="W698" s="72"/>
      <c r="X698" s="72"/>
      <c r="Y698" s="72"/>
    </row>
    <row r="699">
      <c r="A699" s="60"/>
      <c r="B699" s="61"/>
      <c r="C699" s="63"/>
      <c r="D699" s="79"/>
      <c r="E699" s="74" t="s">
        <v>56</v>
      </c>
      <c r="F699" s="63" t="s">
        <v>56</v>
      </c>
      <c r="G699" s="71"/>
      <c r="H699" s="71"/>
      <c r="I699" s="66"/>
      <c r="J699" s="68"/>
      <c r="K699" s="68"/>
      <c r="L699" s="68"/>
      <c r="M699" s="68"/>
      <c r="N699" s="67"/>
      <c r="O699" s="88"/>
      <c r="P699" s="88"/>
      <c r="Q699" s="90"/>
      <c r="R699" s="72"/>
      <c r="S699" s="72"/>
      <c r="T699" s="72"/>
      <c r="U699" s="72"/>
      <c r="V699" s="72"/>
      <c r="W699" s="72"/>
      <c r="X699" s="72"/>
      <c r="Y699" s="72"/>
    </row>
    <row r="700">
      <c r="A700" s="60"/>
      <c r="B700" s="61"/>
      <c r="C700" s="63"/>
      <c r="D700" s="79"/>
      <c r="E700" s="74" t="s">
        <v>56</v>
      </c>
      <c r="F700" s="63" t="s">
        <v>56</v>
      </c>
      <c r="G700" s="71"/>
      <c r="H700" s="71"/>
      <c r="I700" s="66"/>
      <c r="J700" s="68"/>
      <c r="K700" s="68"/>
      <c r="L700" s="68"/>
      <c r="M700" s="68"/>
      <c r="N700" s="67"/>
      <c r="O700" s="88"/>
      <c r="P700" s="88"/>
      <c r="Q700" s="90"/>
      <c r="R700" s="72"/>
      <c r="S700" s="72"/>
      <c r="T700" s="72"/>
      <c r="U700" s="72"/>
      <c r="V700" s="72"/>
      <c r="W700" s="72"/>
      <c r="X700" s="72"/>
      <c r="Y700" s="72"/>
    </row>
    <row r="701">
      <c r="A701" s="60"/>
      <c r="B701" s="61"/>
      <c r="C701" s="63"/>
      <c r="D701" s="79"/>
      <c r="E701" s="74" t="s">
        <v>56</v>
      </c>
      <c r="F701" s="63" t="s">
        <v>56</v>
      </c>
      <c r="G701" s="71"/>
      <c r="H701" s="71"/>
      <c r="I701" s="66"/>
      <c r="J701" s="68"/>
      <c r="K701" s="68"/>
      <c r="L701" s="68"/>
      <c r="M701" s="68"/>
      <c r="N701" s="67"/>
      <c r="O701" s="88"/>
      <c r="P701" s="88"/>
      <c r="Q701" s="90"/>
      <c r="R701" s="72"/>
      <c r="S701" s="72"/>
      <c r="T701" s="72"/>
      <c r="U701" s="72"/>
      <c r="V701" s="72"/>
      <c r="W701" s="72"/>
      <c r="X701" s="72"/>
      <c r="Y701" s="72"/>
    </row>
    <row r="702">
      <c r="A702" s="60"/>
      <c r="B702" s="61"/>
      <c r="C702" s="63"/>
      <c r="D702" s="79"/>
      <c r="E702" s="74" t="s">
        <v>56</v>
      </c>
      <c r="F702" s="63" t="s">
        <v>56</v>
      </c>
      <c r="G702" s="71"/>
      <c r="H702" s="71"/>
      <c r="I702" s="66"/>
      <c r="J702" s="68"/>
      <c r="K702" s="68"/>
      <c r="L702" s="68"/>
      <c r="M702" s="68"/>
      <c r="N702" s="67"/>
      <c r="O702" s="88"/>
      <c r="P702" s="88"/>
      <c r="Q702" s="90"/>
      <c r="R702" s="72"/>
      <c r="S702" s="72"/>
      <c r="T702" s="72"/>
      <c r="U702" s="72"/>
      <c r="V702" s="72"/>
      <c r="W702" s="72"/>
      <c r="X702" s="72"/>
      <c r="Y702" s="72"/>
    </row>
    <row r="703">
      <c r="A703" s="60"/>
      <c r="B703" s="61"/>
      <c r="C703" s="63"/>
      <c r="D703" s="79"/>
      <c r="E703" s="74" t="s">
        <v>56</v>
      </c>
      <c r="F703" s="63" t="s">
        <v>56</v>
      </c>
      <c r="G703" s="71"/>
      <c r="H703" s="71"/>
      <c r="I703" s="66"/>
      <c r="J703" s="68"/>
      <c r="K703" s="68"/>
      <c r="L703" s="68"/>
      <c r="M703" s="68"/>
      <c r="N703" s="67"/>
      <c r="O703" s="88"/>
      <c r="P703" s="88"/>
      <c r="Q703" s="90"/>
      <c r="R703" s="72"/>
      <c r="S703" s="72"/>
      <c r="T703" s="72"/>
      <c r="U703" s="72"/>
      <c r="V703" s="72"/>
      <c r="W703" s="72"/>
      <c r="X703" s="72"/>
      <c r="Y703" s="72"/>
    </row>
    <row r="704">
      <c r="A704" s="60"/>
      <c r="B704" s="61"/>
      <c r="C704" s="63"/>
      <c r="D704" s="79"/>
      <c r="E704" s="74" t="s">
        <v>56</v>
      </c>
      <c r="F704" s="63" t="s">
        <v>56</v>
      </c>
      <c r="G704" s="71"/>
      <c r="H704" s="71"/>
      <c r="I704" s="66"/>
      <c r="J704" s="68"/>
      <c r="K704" s="68"/>
      <c r="L704" s="68"/>
      <c r="M704" s="68"/>
      <c r="N704" s="67"/>
      <c r="O704" s="88"/>
      <c r="P704" s="88"/>
      <c r="Q704" s="90"/>
      <c r="R704" s="72"/>
      <c r="S704" s="72"/>
      <c r="T704" s="72"/>
      <c r="U704" s="72"/>
      <c r="V704" s="72"/>
      <c r="W704" s="72"/>
      <c r="X704" s="72"/>
      <c r="Y704" s="72"/>
    </row>
    <row r="705">
      <c r="A705" s="60"/>
      <c r="B705" s="61"/>
      <c r="C705" s="63"/>
      <c r="D705" s="79"/>
      <c r="E705" s="74" t="s">
        <v>56</v>
      </c>
      <c r="F705" s="63" t="s">
        <v>56</v>
      </c>
      <c r="G705" s="71"/>
      <c r="H705" s="71"/>
      <c r="I705" s="66"/>
      <c r="J705" s="68"/>
      <c r="K705" s="68"/>
      <c r="L705" s="68"/>
      <c r="M705" s="68"/>
      <c r="N705" s="67"/>
      <c r="O705" s="88"/>
      <c r="P705" s="88"/>
      <c r="Q705" s="90"/>
      <c r="R705" s="72"/>
      <c r="S705" s="72"/>
      <c r="T705" s="72"/>
      <c r="U705" s="72"/>
      <c r="V705" s="72"/>
      <c r="W705" s="72"/>
      <c r="X705" s="72"/>
      <c r="Y705" s="72"/>
    </row>
    <row r="706">
      <c r="A706" s="60"/>
      <c r="B706" s="61"/>
      <c r="C706" s="63"/>
      <c r="D706" s="79"/>
      <c r="E706" s="74" t="s">
        <v>56</v>
      </c>
      <c r="F706" s="63" t="s">
        <v>56</v>
      </c>
      <c r="G706" s="71"/>
      <c r="H706" s="71"/>
      <c r="I706" s="66"/>
      <c r="J706" s="68"/>
      <c r="K706" s="68"/>
      <c r="L706" s="68"/>
      <c r="M706" s="68"/>
      <c r="N706" s="67"/>
      <c r="O706" s="88"/>
      <c r="P706" s="88"/>
      <c r="Q706" s="90"/>
      <c r="R706" s="72"/>
      <c r="S706" s="72"/>
      <c r="T706" s="72"/>
      <c r="U706" s="72"/>
      <c r="V706" s="72"/>
      <c r="W706" s="72"/>
      <c r="X706" s="72"/>
      <c r="Y706" s="72"/>
    </row>
    <row r="707">
      <c r="A707" s="60"/>
      <c r="B707" s="61"/>
      <c r="C707" s="63"/>
      <c r="D707" s="79"/>
      <c r="E707" s="74" t="s">
        <v>56</v>
      </c>
      <c r="F707" s="63" t="s">
        <v>56</v>
      </c>
      <c r="G707" s="71"/>
      <c r="H707" s="71"/>
      <c r="I707" s="66"/>
      <c r="J707" s="68"/>
      <c r="K707" s="68"/>
      <c r="L707" s="68"/>
      <c r="M707" s="68"/>
      <c r="N707" s="67"/>
      <c r="O707" s="88"/>
      <c r="P707" s="88"/>
      <c r="Q707" s="90"/>
      <c r="R707" s="72"/>
      <c r="S707" s="72"/>
      <c r="T707" s="72"/>
      <c r="U707" s="72"/>
      <c r="V707" s="72"/>
      <c r="W707" s="72"/>
      <c r="X707" s="72"/>
      <c r="Y707" s="72"/>
    </row>
    <row r="708">
      <c r="A708" s="60"/>
      <c r="B708" s="61"/>
      <c r="C708" s="63"/>
      <c r="D708" s="79"/>
      <c r="E708" s="74" t="s">
        <v>56</v>
      </c>
      <c r="F708" s="63" t="s">
        <v>56</v>
      </c>
      <c r="G708" s="71"/>
      <c r="H708" s="71"/>
      <c r="I708" s="66"/>
      <c r="J708" s="68"/>
      <c r="K708" s="68"/>
      <c r="L708" s="68"/>
      <c r="M708" s="68"/>
      <c r="N708" s="67"/>
      <c r="O708" s="88"/>
      <c r="P708" s="88"/>
      <c r="Q708" s="90"/>
      <c r="R708" s="72"/>
      <c r="S708" s="72"/>
      <c r="T708" s="72"/>
      <c r="U708" s="72"/>
      <c r="V708" s="72"/>
      <c r="W708" s="72"/>
      <c r="X708" s="72"/>
      <c r="Y708" s="72"/>
    </row>
    <row r="709">
      <c r="A709" s="60"/>
      <c r="B709" s="61"/>
      <c r="C709" s="63"/>
      <c r="D709" s="79"/>
      <c r="E709" s="74" t="s">
        <v>56</v>
      </c>
      <c r="F709" s="63" t="s">
        <v>56</v>
      </c>
      <c r="G709" s="71"/>
      <c r="H709" s="71"/>
      <c r="I709" s="66"/>
      <c r="J709" s="68"/>
      <c r="K709" s="68"/>
      <c r="L709" s="68"/>
      <c r="M709" s="68"/>
      <c r="N709" s="67"/>
      <c r="O709" s="88"/>
      <c r="P709" s="88"/>
      <c r="Q709" s="90"/>
      <c r="R709" s="72"/>
      <c r="S709" s="72"/>
      <c r="T709" s="72"/>
      <c r="U709" s="72"/>
      <c r="V709" s="72"/>
      <c r="W709" s="72"/>
      <c r="X709" s="72"/>
      <c r="Y709" s="72"/>
    </row>
    <row r="710">
      <c r="A710" s="60"/>
      <c r="B710" s="61"/>
      <c r="C710" s="63"/>
      <c r="D710" s="79"/>
      <c r="E710" s="74" t="s">
        <v>56</v>
      </c>
      <c r="F710" s="63" t="s">
        <v>56</v>
      </c>
      <c r="G710" s="71"/>
      <c r="H710" s="71"/>
      <c r="I710" s="66"/>
      <c r="J710" s="68"/>
      <c r="K710" s="68"/>
      <c r="L710" s="68"/>
      <c r="M710" s="68"/>
      <c r="N710" s="67"/>
      <c r="O710" s="88"/>
      <c r="P710" s="88"/>
      <c r="Q710" s="90"/>
      <c r="R710" s="72"/>
      <c r="S710" s="72"/>
      <c r="T710" s="72"/>
      <c r="U710" s="72"/>
      <c r="V710" s="72"/>
      <c r="W710" s="72"/>
      <c r="X710" s="72"/>
      <c r="Y710" s="72"/>
    </row>
    <row r="711">
      <c r="A711" s="60"/>
      <c r="B711" s="61"/>
      <c r="C711" s="63"/>
      <c r="D711" s="79"/>
      <c r="E711" s="74" t="s">
        <v>56</v>
      </c>
      <c r="F711" s="63" t="s">
        <v>56</v>
      </c>
      <c r="G711" s="71"/>
      <c r="H711" s="71"/>
      <c r="I711" s="66"/>
      <c r="J711" s="68"/>
      <c r="K711" s="68"/>
      <c r="L711" s="68"/>
      <c r="M711" s="68"/>
      <c r="N711" s="67"/>
      <c r="O711" s="88"/>
      <c r="P711" s="88"/>
      <c r="Q711" s="90"/>
      <c r="R711" s="72"/>
      <c r="S711" s="72"/>
      <c r="T711" s="72"/>
      <c r="U711" s="72"/>
      <c r="V711" s="72"/>
      <c r="W711" s="72"/>
      <c r="X711" s="72"/>
      <c r="Y711" s="72"/>
    </row>
    <row r="712">
      <c r="A712" s="60"/>
      <c r="B712" s="61"/>
      <c r="C712" s="63"/>
      <c r="D712" s="79"/>
      <c r="E712" s="74" t="s">
        <v>56</v>
      </c>
      <c r="F712" s="63" t="s">
        <v>56</v>
      </c>
      <c r="G712" s="71"/>
      <c r="H712" s="71"/>
      <c r="I712" s="66"/>
      <c r="J712" s="68"/>
      <c r="K712" s="68"/>
      <c r="L712" s="68"/>
      <c r="M712" s="68"/>
      <c r="N712" s="67"/>
      <c r="O712" s="88"/>
      <c r="P712" s="88"/>
      <c r="Q712" s="90"/>
      <c r="R712" s="72"/>
      <c r="S712" s="72"/>
      <c r="T712" s="72"/>
      <c r="U712" s="72"/>
      <c r="V712" s="72"/>
      <c r="W712" s="72"/>
      <c r="X712" s="72"/>
      <c r="Y712" s="72"/>
    </row>
    <row r="713">
      <c r="A713" s="60"/>
      <c r="B713" s="61"/>
      <c r="C713" s="63"/>
      <c r="D713" s="79"/>
      <c r="E713" s="74" t="s">
        <v>56</v>
      </c>
      <c r="F713" s="63" t="s">
        <v>56</v>
      </c>
      <c r="G713" s="71"/>
      <c r="H713" s="71"/>
      <c r="I713" s="66"/>
      <c r="J713" s="68"/>
      <c r="K713" s="68"/>
      <c r="L713" s="68"/>
      <c r="M713" s="68"/>
      <c r="N713" s="67"/>
      <c r="O713" s="88"/>
      <c r="P713" s="88"/>
      <c r="Q713" s="90"/>
      <c r="R713" s="72"/>
      <c r="S713" s="72"/>
      <c r="T713" s="72"/>
      <c r="U713" s="72"/>
      <c r="V713" s="72"/>
      <c r="W713" s="72"/>
      <c r="X713" s="72"/>
      <c r="Y713" s="72"/>
    </row>
    <row r="714">
      <c r="A714" s="60"/>
      <c r="B714" s="61"/>
      <c r="C714" s="63"/>
      <c r="D714" s="79"/>
      <c r="E714" s="74" t="s">
        <v>56</v>
      </c>
      <c r="F714" s="63" t="s">
        <v>56</v>
      </c>
      <c r="G714" s="71"/>
      <c r="H714" s="71"/>
      <c r="I714" s="66"/>
      <c r="J714" s="68"/>
      <c r="K714" s="68"/>
      <c r="L714" s="68"/>
      <c r="M714" s="68"/>
      <c r="N714" s="67"/>
      <c r="O714" s="88"/>
      <c r="P714" s="88"/>
      <c r="Q714" s="90"/>
      <c r="R714" s="72"/>
      <c r="S714" s="72"/>
      <c r="T714" s="72"/>
      <c r="U714" s="72"/>
      <c r="V714" s="72"/>
      <c r="W714" s="72"/>
      <c r="X714" s="72"/>
      <c r="Y714" s="72"/>
    </row>
    <row r="715">
      <c r="A715" s="60"/>
      <c r="B715" s="61"/>
      <c r="C715" s="63"/>
      <c r="D715" s="79"/>
      <c r="E715" s="74" t="s">
        <v>56</v>
      </c>
      <c r="F715" s="63" t="s">
        <v>56</v>
      </c>
      <c r="G715" s="71"/>
      <c r="H715" s="71"/>
      <c r="I715" s="66"/>
      <c r="J715" s="68"/>
      <c r="K715" s="68"/>
      <c r="L715" s="68"/>
      <c r="M715" s="68"/>
      <c r="N715" s="67"/>
      <c r="O715" s="88"/>
      <c r="P715" s="88"/>
      <c r="Q715" s="90"/>
      <c r="R715" s="72"/>
      <c r="S715" s="72"/>
      <c r="T715" s="72"/>
      <c r="U715" s="72"/>
      <c r="V715" s="72"/>
      <c r="W715" s="72"/>
      <c r="X715" s="72"/>
      <c r="Y715" s="72"/>
    </row>
    <row r="716">
      <c r="A716" s="60"/>
      <c r="B716" s="61"/>
      <c r="C716" s="63"/>
      <c r="D716" s="79"/>
      <c r="E716" s="74" t="s">
        <v>56</v>
      </c>
      <c r="F716" s="63" t="s">
        <v>56</v>
      </c>
      <c r="G716" s="71"/>
      <c r="H716" s="71"/>
      <c r="I716" s="66"/>
      <c r="J716" s="68"/>
      <c r="K716" s="68"/>
      <c r="L716" s="68"/>
      <c r="M716" s="68"/>
      <c r="N716" s="67"/>
      <c r="O716" s="88"/>
      <c r="P716" s="88"/>
      <c r="Q716" s="90"/>
      <c r="R716" s="72"/>
      <c r="S716" s="72"/>
      <c r="T716" s="72"/>
      <c r="U716" s="72"/>
      <c r="V716" s="72"/>
      <c r="W716" s="72"/>
      <c r="X716" s="72"/>
      <c r="Y716" s="72"/>
    </row>
    <row r="717">
      <c r="A717" s="60"/>
      <c r="B717" s="61"/>
      <c r="C717" s="63"/>
      <c r="D717" s="79"/>
      <c r="E717" s="74" t="s">
        <v>56</v>
      </c>
      <c r="F717" s="63" t="s">
        <v>56</v>
      </c>
      <c r="G717" s="71"/>
      <c r="H717" s="71"/>
      <c r="I717" s="66"/>
      <c r="J717" s="68"/>
      <c r="K717" s="68"/>
      <c r="L717" s="68"/>
      <c r="M717" s="68"/>
      <c r="N717" s="67"/>
      <c r="O717" s="88"/>
      <c r="P717" s="88"/>
      <c r="Q717" s="90"/>
      <c r="R717" s="72"/>
      <c r="S717" s="72"/>
      <c r="T717" s="72"/>
      <c r="U717" s="72"/>
      <c r="V717" s="72"/>
      <c r="W717" s="72"/>
      <c r="X717" s="72"/>
      <c r="Y717" s="72"/>
    </row>
    <row r="718">
      <c r="A718" s="60"/>
      <c r="B718" s="61"/>
      <c r="C718" s="63"/>
      <c r="D718" s="79"/>
      <c r="E718" s="74" t="s">
        <v>56</v>
      </c>
      <c r="F718" s="63" t="s">
        <v>56</v>
      </c>
      <c r="G718" s="71"/>
      <c r="H718" s="71"/>
      <c r="I718" s="66"/>
      <c r="J718" s="68"/>
      <c r="K718" s="68"/>
      <c r="L718" s="68"/>
      <c r="M718" s="68"/>
      <c r="N718" s="67"/>
      <c r="O718" s="88"/>
      <c r="P718" s="88"/>
      <c r="Q718" s="90"/>
      <c r="R718" s="72"/>
      <c r="S718" s="72"/>
      <c r="T718" s="72"/>
      <c r="U718" s="72"/>
      <c r="V718" s="72"/>
      <c r="W718" s="72"/>
      <c r="X718" s="72"/>
      <c r="Y718" s="72"/>
    </row>
    <row r="719">
      <c r="A719" s="60"/>
      <c r="B719" s="61"/>
      <c r="C719" s="63"/>
      <c r="D719" s="79"/>
      <c r="E719" s="74" t="s">
        <v>56</v>
      </c>
      <c r="F719" s="63" t="s">
        <v>56</v>
      </c>
      <c r="G719" s="71"/>
      <c r="H719" s="71"/>
      <c r="I719" s="66"/>
      <c r="J719" s="68"/>
      <c r="K719" s="68"/>
      <c r="L719" s="68"/>
      <c r="M719" s="68"/>
      <c r="N719" s="67"/>
      <c r="O719" s="88"/>
      <c r="P719" s="88"/>
      <c r="Q719" s="90"/>
      <c r="R719" s="72"/>
      <c r="S719" s="72"/>
      <c r="T719" s="72"/>
      <c r="U719" s="72"/>
      <c r="V719" s="72"/>
      <c r="W719" s="72"/>
      <c r="X719" s="72"/>
      <c r="Y719" s="72"/>
    </row>
    <row r="720">
      <c r="A720" s="60"/>
      <c r="B720" s="61"/>
      <c r="C720" s="63"/>
      <c r="D720" s="79"/>
      <c r="E720" s="74" t="s">
        <v>56</v>
      </c>
      <c r="F720" s="63" t="s">
        <v>56</v>
      </c>
      <c r="G720" s="71"/>
      <c r="H720" s="71"/>
      <c r="I720" s="66"/>
      <c r="J720" s="68"/>
      <c r="K720" s="68"/>
      <c r="L720" s="68"/>
      <c r="M720" s="68"/>
      <c r="N720" s="67"/>
      <c r="O720" s="88"/>
      <c r="P720" s="88"/>
      <c r="Q720" s="90"/>
      <c r="R720" s="72"/>
      <c r="S720" s="72"/>
      <c r="T720" s="72"/>
      <c r="U720" s="72"/>
      <c r="V720" s="72"/>
      <c r="W720" s="72"/>
      <c r="X720" s="72"/>
      <c r="Y720" s="72"/>
    </row>
    <row r="721">
      <c r="A721" s="60"/>
      <c r="B721" s="61"/>
      <c r="C721" s="63"/>
      <c r="D721" s="79"/>
      <c r="E721" s="74" t="s">
        <v>56</v>
      </c>
      <c r="F721" s="63" t="s">
        <v>56</v>
      </c>
      <c r="G721" s="71"/>
      <c r="H721" s="71"/>
      <c r="I721" s="66"/>
      <c r="J721" s="68"/>
      <c r="K721" s="68"/>
      <c r="L721" s="68"/>
      <c r="M721" s="68"/>
      <c r="N721" s="67"/>
      <c r="O721" s="88"/>
      <c r="P721" s="88"/>
      <c r="Q721" s="90"/>
      <c r="R721" s="72"/>
      <c r="S721" s="72"/>
      <c r="T721" s="72"/>
      <c r="U721" s="72"/>
      <c r="V721" s="72"/>
      <c r="W721" s="72"/>
      <c r="X721" s="72"/>
      <c r="Y721" s="72"/>
    </row>
    <row r="722">
      <c r="A722" s="60"/>
      <c r="B722" s="61"/>
      <c r="C722" s="63"/>
      <c r="D722" s="79"/>
      <c r="E722" s="74" t="s">
        <v>56</v>
      </c>
      <c r="F722" s="63" t="s">
        <v>56</v>
      </c>
      <c r="G722" s="71"/>
      <c r="H722" s="71"/>
      <c r="I722" s="66"/>
      <c r="J722" s="68"/>
      <c r="K722" s="68"/>
      <c r="L722" s="68"/>
      <c r="M722" s="68"/>
      <c r="N722" s="67"/>
      <c r="O722" s="88"/>
      <c r="P722" s="88"/>
      <c r="Q722" s="90"/>
      <c r="R722" s="72"/>
      <c r="S722" s="72"/>
      <c r="T722" s="72"/>
      <c r="U722" s="72"/>
      <c r="V722" s="72"/>
      <c r="W722" s="72"/>
      <c r="X722" s="72"/>
      <c r="Y722" s="72"/>
    </row>
    <row r="723">
      <c r="A723" s="60"/>
      <c r="B723" s="61"/>
      <c r="C723" s="63"/>
      <c r="D723" s="79"/>
      <c r="E723" s="74" t="s">
        <v>56</v>
      </c>
      <c r="F723" s="63" t="s">
        <v>56</v>
      </c>
      <c r="G723" s="71"/>
      <c r="H723" s="71"/>
      <c r="I723" s="66"/>
      <c r="J723" s="68"/>
      <c r="K723" s="68"/>
      <c r="L723" s="68"/>
      <c r="M723" s="68"/>
      <c r="N723" s="67"/>
      <c r="O723" s="88"/>
      <c r="P723" s="88"/>
      <c r="Q723" s="90"/>
      <c r="R723" s="72"/>
      <c r="S723" s="72"/>
      <c r="T723" s="72"/>
      <c r="U723" s="72"/>
      <c r="V723" s="72"/>
      <c r="W723" s="72"/>
      <c r="X723" s="72"/>
      <c r="Y723" s="72"/>
    </row>
    <row r="724">
      <c r="A724" s="60"/>
      <c r="B724" s="61"/>
      <c r="C724" s="63"/>
      <c r="D724" s="79"/>
      <c r="E724" s="74" t="s">
        <v>56</v>
      </c>
      <c r="F724" s="63" t="s">
        <v>56</v>
      </c>
      <c r="G724" s="71"/>
      <c r="H724" s="71"/>
      <c r="I724" s="66"/>
      <c r="J724" s="68"/>
      <c r="K724" s="68"/>
      <c r="L724" s="68"/>
      <c r="M724" s="68"/>
      <c r="N724" s="67"/>
      <c r="O724" s="88"/>
      <c r="P724" s="88"/>
      <c r="Q724" s="90"/>
      <c r="R724" s="72"/>
      <c r="S724" s="72"/>
      <c r="T724" s="72"/>
      <c r="U724" s="72"/>
      <c r="V724" s="72"/>
      <c r="W724" s="72"/>
      <c r="X724" s="72"/>
      <c r="Y724" s="72"/>
    </row>
    <row r="725">
      <c r="A725" s="60"/>
      <c r="B725" s="61"/>
      <c r="C725" s="63"/>
      <c r="D725" s="79"/>
      <c r="E725" s="74" t="s">
        <v>56</v>
      </c>
      <c r="F725" s="63" t="s">
        <v>56</v>
      </c>
      <c r="G725" s="71"/>
      <c r="H725" s="71"/>
      <c r="I725" s="66"/>
      <c r="J725" s="68"/>
      <c r="K725" s="68"/>
      <c r="L725" s="68"/>
      <c r="M725" s="68"/>
      <c r="N725" s="67"/>
      <c r="O725" s="88"/>
      <c r="P725" s="88"/>
      <c r="Q725" s="90"/>
      <c r="R725" s="72"/>
      <c r="S725" s="72"/>
      <c r="T725" s="72"/>
      <c r="U725" s="72"/>
      <c r="V725" s="72"/>
      <c r="W725" s="72"/>
      <c r="X725" s="72"/>
      <c r="Y725" s="72"/>
    </row>
    <row r="726">
      <c r="A726" s="60"/>
      <c r="B726" s="61"/>
      <c r="C726" s="63"/>
      <c r="D726" s="79"/>
      <c r="E726" s="74" t="s">
        <v>56</v>
      </c>
      <c r="F726" s="63" t="s">
        <v>56</v>
      </c>
      <c r="G726" s="71"/>
      <c r="H726" s="71"/>
      <c r="I726" s="66"/>
      <c r="J726" s="68"/>
      <c r="K726" s="68"/>
      <c r="L726" s="68"/>
      <c r="M726" s="68"/>
      <c r="N726" s="67"/>
      <c r="O726" s="88"/>
      <c r="P726" s="88"/>
      <c r="Q726" s="90"/>
      <c r="R726" s="72"/>
      <c r="S726" s="72"/>
      <c r="T726" s="72"/>
      <c r="U726" s="72"/>
      <c r="V726" s="72"/>
      <c r="W726" s="72"/>
      <c r="X726" s="72"/>
      <c r="Y726" s="72"/>
    </row>
    <row r="727">
      <c r="A727" s="60"/>
      <c r="B727" s="61"/>
      <c r="C727" s="63"/>
      <c r="D727" s="79"/>
      <c r="E727" s="74" t="s">
        <v>56</v>
      </c>
      <c r="F727" s="63" t="s">
        <v>56</v>
      </c>
      <c r="G727" s="71"/>
      <c r="H727" s="71"/>
      <c r="I727" s="66"/>
      <c r="J727" s="68"/>
      <c r="K727" s="68"/>
      <c r="L727" s="68"/>
      <c r="M727" s="68"/>
      <c r="N727" s="67"/>
      <c r="O727" s="88"/>
      <c r="P727" s="88"/>
      <c r="Q727" s="90"/>
      <c r="R727" s="72"/>
      <c r="S727" s="72"/>
      <c r="T727" s="72"/>
      <c r="U727" s="72"/>
      <c r="V727" s="72"/>
      <c r="W727" s="72"/>
      <c r="X727" s="72"/>
      <c r="Y727" s="72"/>
    </row>
    <row r="728">
      <c r="A728" s="60"/>
      <c r="B728" s="61"/>
      <c r="C728" s="63"/>
      <c r="D728" s="79"/>
      <c r="E728" s="74" t="s">
        <v>56</v>
      </c>
      <c r="F728" s="63" t="s">
        <v>56</v>
      </c>
      <c r="G728" s="71"/>
      <c r="H728" s="71"/>
      <c r="I728" s="66"/>
      <c r="J728" s="68"/>
      <c r="K728" s="68"/>
      <c r="L728" s="68"/>
      <c r="M728" s="68"/>
      <c r="N728" s="67"/>
      <c r="O728" s="88"/>
      <c r="P728" s="88"/>
      <c r="Q728" s="90"/>
      <c r="R728" s="72"/>
      <c r="S728" s="72"/>
      <c r="T728" s="72"/>
      <c r="U728" s="72"/>
      <c r="V728" s="72"/>
      <c r="W728" s="72"/>
      <c r="X728" s="72"/>
      <c r="Y728" s="72"/>
    </row>
    <row r="729">
      <c r="A729" s="60"/>
      <c r="B729" s="61"/>
      <c r="C729" s="63"/>
      <c r="D729" s="79"/>
      <c r="E729" s="74" t="s">
        <v>56</v>
      </c>
      <c r="F729" s="63" t="s">
        <v>56</v>
      </c>
      <c r="G729" s="71"/>
      <c r="H729" s="71"/>
      <c r="I729" s="66"/>
      <c r="J729" s="68"/>
      <c r="K729" s="68"/>
      <c r="L729" s="68"/>
      <c r="M729" s="68"/>
      <c r="N729" s="67"/>
      <c r="O729" s="88"/>
      <c r="P729" s="88"/>
      <c r="Q729" s="90"/>
      <c r="R729" s="72"/>
      <c r="S729" s="72"/>
      <c r="T729" s="72"/>
      <c r="U729" s="72"/>
      <c r="V729" s="72"/>
      <c r="W729" s="72"/>
      <c r="X729" s="72"/>
      <c r="Y729" s="72"/>
    </row>
    <row r="730">
      <c r="A730" s="60"/>
      <c r="B730" s="61"/>
      <c r="C730" s="63"/>
      <c r="D730" s="79"/>
      <c r="E730" s="74" t="s">
        <v>56</v>
      </c>
      <c r="F730" s="63" t="s">
        <v>56</v>
      </c>
      <c r="G730" s="71"/>
      <c r="H730" s="71"/>
      <c r="I730" s="66"/>
      <c r="J730" s="68"/>
      <c r="K730" s="68"/>
      <c r="L730" s="68"/>
      <c r="M730" s="68"/>
      <c r="N730" s="67"/>
      <c r="O730" s="88"/>
      <c r="P730" s="88"/>
      <c r="Q730" s="90"/>
      <c r="R730" s="72"/>
      <c r="S730" s="72"/>
      <c r="T730" s="72"/>
      <c r="U730" s="72"/>
      <c r="V730" s="72"/>
      <c r="W730" s="72"/>
      <c r="X730" s="72"/>
      <c r="Y730" s="72"/>
    </row>
    <row r="731">
      <c r="A731" s="60"/>
      <c r="B731" s="61"/>
      <c r="C731" s="63"/>
      <c r="D731" s="79"/>
      <c r="E731" s="74" t="s">
        <v>56</v>
      </c>
      <c r="F731" s="63" t="s">
        <v>56</v>
      </c>
      <c r="G731" s="71"/>
      <c r="H731" s="71"/>
      <c r="I731" s="66"/>
      <c r="J731" s="68"/>
      <c r="K731" s="68"/>
      <c r="L731" s="68"/>
      <c r="M731" s="68"/>
      <c r="N731" s="67"/>
      <c r="O731" s="88"/>
      <c r="P731" s="88"/>
      <c r="Q731" s="90"/>
      <c r="R731" s="72"/>
      <c r="S731" s="72"/>
      <c r="T731" s="72"/>
      <c r="U731" s="72"/>
      <c r="V731" s="72"/>
      <c r="W731" s="72"/>
      <c r="X731" s="72"/>
      <c r="Y731" s="72"/>
    </row>
    <row r="732">
      <c r="A732" s="60"/>
      <c r="B732" s="61"/>
      <c r="C732" s="63"/>
      <c r="D732" s="79"/>
      <c r="E732" s="74" t="s">
        <v>56</v>
      </c>
      <c r="F732" s="63" t="s">
        <v>56</v>
      </c>
      <c r="G732" s="71"/>
      <c r="H732" s="71"/>
      <c r="I732" s="66"/>
      <c r="J732" s="68"/>
      <c r="K732" s="68"/>
      <c r="L732" s="68"/>
      <c r="M732" s="68"/>
      <c r="N732" s="67"/>
      <c r="O732" s="88"/>
      <c r="P732" s="88"/>
      <c r="Q732" s="90"/>
      <c r="R732" s="72"/>
      <c r="S732" s="72"/>
      <c r="T732" s="72"/>
      <c r="U732" s="72"/>
      <c r="V732" s="72"/>
      <c r="W732" s="72"/>
      <c r="X732" s="72"/>
      <c r="Y732" s="72"/>
    </row>
    <row r="733">
      <c r="A733" s="60"/>
      <c r="B733" s="61"/>
      <c r="C733" s="63"/>
      <c r="D733" s="79"/>
      <c r="E733" s="74" t="s">
        <v>56</v>
      </c>
      <c r="F733" s="63" t="s">
        <v>56</v>
      </c>
      <c r="G733" s="71"/>
      <c r="H733" s="71"/>
      <c r="I733" s="66"/>
      <c r="J733" s="68"/>
      <c r="K733" s="68"/>
      <c r="L733" s="68"/>
      <c r="M733" s="68"/>
      <c r="N733" s="67"/>
      <c r="O733" s="88"/>
      <c r="P733" s="88"/>
      <c r="Q733" s="90"/>
      <c r="R733" s="72"/>
      <c r="S733" s="72"/>
      <c r="T733" s="72"/>
      <c r="U733" s="72"/>
      <c r="V733" s="72"/>
      <c r="W733" s="72"/>
      <c r="X733" s="72"/>
      <c r="Y733" s="72"/>
    </row>
    <row r="734">
      <c r="A734" s="60"/>
      <c r="B734" s="61"/>
      <c r="C734" s="63"/>
      <c r="D734" s="79"/>
      <c r="E734" s="74" t="s">
        <v>56</v>
      </c>
      <c r="F734" s="63" t="s">
        <v>56</v>
      </c>
      <c r="G734" s="71"/>
      <c r="H734" s="71"/>
      <c r="I734" s="66"/>
      <c r="J734" s="68"/>
      <c r="K734" s="68"/>
      <c r="L734" s="68"/>
      <c r="M734" s="68"/>
      <c r="N734" s="67"/>
      <c r="O734" s="88"/>
      <c r="P734" s="88"/>
      <c r="Q734" s="90"/>
      <c r="R734" s="72"/>
      <c r="S734" s="72"/>
      <c r="T734" s="72"/>
      <c r="U734" s="72"/>
      <c r="V734" s="72"/>
      <c r="W734" s="72"/>
      <c r="X734" s="72"/>
      <c r="Y734" s="72"/>
    </row>
    <row r="735">
      <c r="A735" s="60"/>
      <c r="B735" s="61"/>
      <c r="C735" s="63"/>
      <c r="D735" s="79"/>
      <c r="E735" s="74" t="s">
        <v>56</v>
      </c>
      <c r="F735" s="63" t="s">
        <v>56</v>
      </c>
      <c r="G735" s="71"/>
      <c r="H735" s="71"/>
      <c r="I735" s="66"/>
      <c r="J735" s="68"/>
      <c r="K735" s="68"/>
      <c r="L735" s="68"/>
      <c r="M735" s="68"/>
      <c r="N735" s="67"/>
      <c r="O735" s="88"/>
      <c r="P735" s="88"/>
      <c r="Q735" s="90"/>
      <c r="R735" s="72"/>
      <c r="S735" s="72"/>
      <c r="T735" s="72"/>
      <c r="U735" s="72"/>
      <c r="V735" s="72"/>
      <c r="W735" s="72"/>
      <c r="X735" s="72"/>
      <c r="Y735" s="72"/>
    </row>
    <row r="736">
      <c r="A736" s="60"/>
      <c r="B736" s="61"/>
      <c r="C736" s="63"/>
      <c r="D736" s="79"/>
      <c r="E736" s="74" t="s">
        <v>56</v>
      </c>
      <c r="F736" s="63" t="s">
        <v>56</v>
      </c>
      <c r="G736" s="71"/>
      <c r="H736" s="71"/>
      <c r="I736" s="66"/>
      <c r="J736" s="68"/>
      <c r="K736" s="68"/>
      <c r="L736" s="68"/>
      <c r="M736" s="68"/>
      <c r="N736" s="67"/>
      <c r="O736" s="88"/>
      <c r="P736" s="88"/>
      <c r="Q736" s="90"/>
      <c r="R736" s="72"/>
      <c r="S736" s="72"/>
      <c r="T736" s="72"/>
      <c r="U736" s="72"/>
      <c r="V736" s="72"/>
      <c r="W736" s="72"/>
      <c r="X736" s="72"/>
      <c r="Y736" s="72"/>
    </row>
    <row r="737">
      <c r="A737" s="60"/>
      <c r="B737" s="61"/>
      <c r="C737" s="63"/>
      <c r="D737" s="79"/>
      <c r="E737" s="74" t="s">
        <v>56</v>
      </c>
      <c r="F737" s="63" t="s">
        <v>56</v>
      </c>
      <c r="G737" s="71"/>
      <c r="H737" s="71"/>
      <c r="I737" s="66"/>
      <c r="J737" s="68"/>
      <c r="K737" s="68"/>
      <c r="L737" s="68"/>
      <c r="M737" s="68"/>
      <c r="N737" s="67"/>
      <c r="O737" s="88"/>
      <c r="P737" s="88"/>
      <c r="Q737" s="90"/>
      <c r="R737" s="72"/>
      <c r="S737" s="72"/>
      <c r="T737" s="72"/>
      <c r="U737" s="72"/>
      <c r="V737" s="72"/>
      <c r="W737" s="72"/>
      <c r="X737" s="72"/>
      <c r="Y737" s="72"/>
    </row>
    <row r="738">
      <c r="A738" s="60"/>
      <c r="B738" s="61"/>
      <c r="C738" s="63"/>
      <c r="D738" s="79"/>
      <c r="E738" s="74" t="s">
        <v>56</v>
      </c>
      <c r="F738" s="63" t="s">
        <v>56</v>
      </c>
      <c r="G738" s="71"/>
      <c r="H738" s="71"/>
      <c r="I738" s="66"/>
      <c r="J738" s="68"/>
      <c r="K738" s="68"/>
      <c r="L738" s="68"/>
      <c r="M738" s="68"/>
      <c r="N738" s="67"/>
      <c r="O738" s="88"/>
      <c r="P738" s="88"/>
      <c r="Q738" s="90"/>
      <c r="R738" s="72"/>
      <c r="S738" s="72"/>
      <c r="T738" s="72"/>
      <c r="U738" s="72"/>
      <c r="V738" s="72"/>
      <c r="W738" s="72"/>
      <c r="X738" s="72"/>
      <c r="Y738" s="72"/>
    </row>
    <row r="739">
      <c r="A739" s="60"/>
      <c r="B739" s="61"/>
      <c r="C739" s="63"/>
      <c r="D739" s="79"/>
      <c r="E739" s="74" t="s">
        <v>56</v>
      </c>
      <c r="F739" s="63" t="s">
        <v>56</v>
      </c>
      <c r="G739" s="71"/>
      <c r="H739" s="71"/>
      <c r="I739" s="66"/>
      <c r="J739" s="68"/>
      <c r="K739" s="68"/>
      <c r="L739" s="68"/>
      <c r="M739" s="68"/>
      <c r="N739" s="67"/>
      <c r="O739" s="88"/>
      <c r="P739" s="88"/>
      <c r="Q739" s="90"/>
      <c r="R739" s="72"/>
      <c r="S739" s="72"/>
      <c r="T739" s="72"/>
      <c r="U739" s="72"/>
      <c r="V739" s="72"/>
      <c r="W739" s="72"/>
      <c r="X739" s="72"/>
      <c r="Y739" s="72"/>
    </row>
    <row r="740">
      <c r="A740" s="60"/>
      <c r="B740" s="61"/>
      <c r="C740" s="63"/>
      <c r="D740" s="79"/>
      <c r="E740" s="74" t="s">
        <v>56</v>
      </c>
      <c r="F740" s="63" t="s">
        <v>56</v>
      </c>
      <c r="G740" s="71"/>
      <c r="H740" s="71"/>
      <c r="I740" s="66"/>
      <c r="J740" s="68"/>
      <c r="K740" s="68"/>
      <c r="L740" s="68"/>
      <c r="M740" s="68"/>
      <c r="N740" s="67"/>
      <c r="O740" s="88"/>
      <c r="P740" s="88"/>
      <c r="Q740" s="90"/>
      <c r="R740" s="72"/>
      <c r="S740" s="72"/>
      <c r="T740" s="72"/>
      <c r="U740" s="72"/>
      <c r="V740" s="72"/>
      <c r="W740" s="72"/>
      <c r="X740" s="72"/>
      <c r="Y740" s="72"/>
    </row>
    <row r="741">
      <c r="A741" s="60"/>
      <c r="B741" s="61"/>
      <c r="C741" s="63"/>
      <c r="D741" s="79"/>
      <c r="E741" s="74" t="s">
        <v>56</v>
      </c>
      <c r="F741" s="63" t="s">
        <v>56</v>
      </c>
      <c r="G741" s="71"/>
      <c r="H741" s="71"/>
      <c r="I741" s="66"/>
      <c r="J741" s="68"/>
      <c r="K741" s="68"/>
      <c r="L741" s="68"/>
      <c r="M741" s="68"/>
      <c r="N741" s="67"/>
      <c r="O741" s="88"/>
      <c r="P741" s="88"/>
      <c r="Q741" s="90"/>
      <c r="R741" s="72"/>
      <c r="S741" s="72"/>
      <c r="T741" s="72"/>
      <c r="U741" s="72"/>
      <c r="V741" s="72"/>
      <c r="W741" s="72"/>
      <c r="X741" s="72"/>
      <c r="Y741" s="72"/>
    </row>
    <row r="742">
      <c r="A742" s="60"/>
      <c r="B742" s="61"/>
      <c r="C742" s="63"/>
      <c r="D742" s="79"/>
      <c r="E742" s="74" t="s">
        <v>56</v>
      </c>
      <c r="F742" s="63" t="s">
        <v>56</v>
      </c>
      <c r="G742" s="71"/>
      <c r="H742" s="71"/>
      <c r="I742" s="66"/>
      <c r="J742" s="68"/>
      <c r="K742" s="68"/>
      <c r="L742" s="68"/>
      <c r="M742" s="68"/>
      <c r="N742" s="67"/>
      <c r="O742" s="88"/>
      <c r="P742" s="88"/>
      <c r="Q742" s="90"/>
      <c r="R742" s="72"/>
      <c r="S742" s="72"/>
      <c r="T742" s="72"/>
      <c r="U742" s="72"/>
      <c r="V742" s="72"/>
      <c r="W742" s="72"/>
      <c r="X742" s="72"/>
      <c r="Y742" s="72"/>
    </row>
    <row r="743">
      <c r="A743" s="60"/>
      <c r="B743" s="61"/>
      <c r="C743" s="63"/>
      <c r="D743" s="79"/>
      <c r="E743" s="74" t="s">
        <v>56</v>
      </c>
      <c r="F743" s="63" t="s">
        <v>56</v>
      </c>
      <c r="G743" s="71"/>
      <c r="H743" s="71"/>
      <c r="I743" s="66"/>
      <c r="J743" s="68"/>
      <c r="K743" s="68"/>
      <c r="L743" s="68"/>
      <c r="M743" s="68"/>
      <c r="N743" s="67"/>
      <c r="O743" s="88"/>
      <c r="P743" s="88"/>
      <c r="Q743" s="90"/>
      <c r="R743" s="72"/>
      <c r="S743" s="72"/>
      <c r="T743" s="72"/>
      <c r="U743" s="72"/>
      <c r="V743" s="72"/>
      <c r="W743" s="72"/>
      <c r="X743" s="72"/>
      <c r="Y743" s="72"/>
    </row>
    <row r="744">
      <c r="A744" s="60"/>
      <c r="B744" s="61"/>
      <c r="C744" s="63"/>
      <c r="D744" s="79"/>
      <c r="E744" s="74" t="s">
        <v>56</v>
      </c>
      <c r="F744" s="63" t="s">
        <v>56</v>
      </c>
      <c r="G744" s="71"/>
      <c r="H744" s="71"/>
      <c r="I744" s="66"/>
      <c r="J744" s="68"/>
      <c r="K744" s="68"/>
      <c r="L744" s="68"/>
      <c r="M744" s="68"/>
      <c r="N744" s="67"/>
      <c r="O744" s="88"/>
      <c r="P744" s="88"/>
      <c r="Q744" s="90"/>
      <c r="R744" s="72"/>
      <c r="S744" s="72"/>
      <c r="T744" s="72"/>
      <c r="U744" s="72"/>
      <c r="V744" s="72"/>
      <c r="W744" s="72"/>
      <c r="X744" s="72"/>
      <c r="Y744" s="72"/>
    </row>
    <row r="745">
      <c r="A745" s="60"/>
      <c r="B745" s="61"/>
      <c r="C745" s="63"/>
      <c r="D745" s="79"/>
      <c r="E745" s="74" t="s">
        <v>56</v>
      </c>
      <c r="F745" s="63" t="s">
        <v>56</v>
      </c>
      <c r="G745" s="71"/>
      <c r="H745" s="71"/>
      <c r="I745" s="66"/>
      <c r="J745" s="68"/>
      <c r="K745" s="68"/>
      <c r="L745" s="68"/>
      <c r="M745" s="68"/>
      <c r="N745" s="67"/>
      <c r="O745" s="88"/>
      <c r="P745" s="88"/>
      <c r="Q745" s="90"/>
      <c r="R745" s="72"/>
      <c r="S745" s="72"/>
      <c r="T745" s="72"/>
      <c r="U745" s="72"/>
      <c r="V745" s="72"/>
      <c r="W745" s="72"/>
      <c r="X745" s="72"/>
      <c r="Y745" s="72"/>
    </row>
    <row r="746">
      <c r="A746" s="60"/>
      <c r="B746" s="61"/>
      <c r="C746" s="63"/>
      <c r="D746" s="79"/>
      <c r="E746" s="74" t="s">
        <v>56</v>
      </c>
      <c r="F746" s="63" t="s">
        <v>56</v>
      </c>
      <c r="G746" s="71"/>
      <c r="H746" s="71"/>
      <c r="I746" s="66"/>
      <c r="J746" s="68"/>
      <c r="K746" s="68"/>
      <c r="L746" s="68"/>
      <c r="M746" s="68"/>
      <c r="N746" s="67"/>
      <c r="O746" s="88"/>
      <c r="P746" s="88"/>
      <c r="Q746" s="90"/>
      <c r="R746" s="72"/>
      <c r="S746" s="72"/>
      <c r="T746" s="72"/>
      <c r="U746" s="72"/>
      <c r="V746" s="72"/>
      <c r="W746" s="72"/>
      <c r="X746" s="72"/>
      <c r="Y746" s="72"/>
    </row>
    <row r="747">
      <c r="A747" s="60"/>
      <c r="B747" s="61"/>
      <c r="C747" s="63"/>
      <c r="D747" s="79"/>
      <c r="E747" s="74" t="s">
        <v>56</v>
      </c>
      <c r="F747" s="63" t="s">
        <v>56</v>
      </c>
      <c r="G747" s="71"/>
      <c r="H747" s="71"/>
      <c r="I747" s="66"/>
      <c r="J747" s="68"/>
      <c r="K747" s="68"/>
      <c r="L747" s="68"/>
      <c r="M747" s="68"/>
      <c r="N747" s="67"/>
      <c r="O747" s="88"/>
      <c r="P747" s="88"/>
      <c r="Q747" s="90"/>
      <c r="R747" s="72"/>
      <c r="S747" s="72"/>
      <c r="T747" s="72"/>
      <c r="U747" s="72"/>
      <c r="V747" s="72"/>
      <c r="W747" s="72"/>
      <c r="X747" s="72"/>
      <c r="Y747" s="72"/>
    </row>
    <row r="748">
      <c r="A748" s="60"/>
      <c r="B748" s="61"/>
      <c r="C748" s="63"/>
      <c r="D748" s="79"/>
      <c r="E748" s="74" t="s">
        <v>56</v>
      </c>
      <c r="F748" s="63" t="s">
        <v>56</v>
      </c>
      <c r="G748" s="71"/>
      <c r="H748" s="71"/>
      <c r="I748" s="66"/>
      <c r="J748" s="68"/>
      <c r="K748" s="68"/>
      <c r="L748" s="68"/>
      <c r="M748" s="68"/>
      <c r="N748" s="67"/>
      <c r="O748" s="88"/>
      <c r="P748" s="88"/>
      <c r="Q748" s="90"/>
      <c r="R748" s="72"/>
      <c r="S748" s="72"/>
      <c r="T748" s="72"/>
      <c r="U748" s="72"/>
      <c r="V748" s="72"/>
      <c r="W748" s="72"/>
      <c r="X748" s="72"/>
      <c r="Y748" s="72"/>
    </row>
    <row r="749">
      <c r="A749" s="60"/>
      <c r="B749" s="61"/>
      <c r="C749" s="63"/>
      <c r="D749" s="79"/>
      <c r="E749" s="74" t="s">
        <v>56</v>
      </c>
      <c r="F749" s="63" t="s">
        <v>56</v>
      </c>
      <c r="G749" s="71"/>
      <c r="H749" s="71"/>
      <c r="I749" s="66"/>
      <c r="J749" s="68"/>
      <c r="K749" s="68"/>
      <c r="L749" s="68"/>
      <c r="M749" s="68"/>
      <c r="N749" s="67"/>
      <c r="O749" s="88"/>
      <c r="P749" s="88"/>
      <c r="Q749" s="90"/>
      <c r="R749" s="72"/>
      <c r="S749" s="72"/>
      <c r="T749" s="72"/>
      <c r="U749" s="72"/>
      <c r="V749" s="72"/>
      <c r="W749" s="72"/>
      <c r="X749" s="72"/>
      <c r="Y749" s="72"/>
    </row>
    <row r="750">
      <c r="A750" s="60"/>
      <c r="B750" s="61"/>
      <c r="C750" s="63"/>
      <c r="D750" s="79"/>
      <c r="E750" s="74" t="s">
        <v>56</v>
      </c>
      <c r="F750" s="63" t="s">
        <v>56</v>
      </c>
      <c r="G750" s="71"/>
      <c r="H750" s="71"/>
      <c r="I750" s="66"/>
      <c r="J750" s="68"/>
      <c r="K750" s="68"/>
      <c r="L750" s="68"/>
      <c r="M750" s="68"/>
      <c r="N750" s="67"/>
      <c r="O750" s="88"/>
      <c r="P750" s="88"/>
      <c r="Q750" s="90"/>
      <c r="R750" s="72"/>
      <c r="S750" s="72"/>
      <c r="T750" s="72"/>
      <c r="U750" s="72"/>
      <c r="V750" s="72"/>
      <c r="W750" s="72"/>
      <c r="X750" s="72"/>
      <c r="Y750" s="72"/>
    </row>
    <row r="751">
      <c r="A751" s="60"/>
      <c r="B751" s="61"/>
      <c r="C751" s="63"/>
      <c r="D751" s="79"/>
      <c r="E751" s="74" t="s">
        <v>56</v>
      </c>
      <c r="F751" s="63" t="s">
        <v>56</v>
      </c>
      <c r="G751" s="71"/>
      <c r="H751" s="71"/>
      <c r="I751" s="66"/>
      <c r="J751" s="68"/>
      <c r="K751" s="68"/>
      <c r="L751" s="68"/>
      <c r="M751" s="68"/>
      <c r="N751" s="67"/>
      <c r="O751" s="88"/>
      <c r="P751" s="88"/>
      <c r="Q751" s="90"/>
      <c r="R751" s="72"/>
      <c r="S751" s="72"/>
      <c r="T751" s="72"/>
      <c r="U751" s="72"/>
      <c r="V751" s="72"/>
      <c r="W751" s="72"/>
      <c r="X751" s="72"/>
      <c r="Y751" s="72"/>
    </row>
    <row r="752">
      <c r="A752" s="60"/>
      <c r="B752" s="61"/>
      <c r="C752" s="63"/>
      <c r="D752" s="79"/>
      <c r="E752" s="74" t="s">
        <v>56</v>
      </c>
      <c r="F752" s="63" t="s">
        <v>56</v>
      </c>
      <c r="G752" s="71"/>
      <c r="H752" s="71"/>
      <c r="I752" s="66"/>
      <c r="J752" s="68"/>
      <c r="K752" s="68"/>
      <c r="L752" s="68"/>
      <c r="M752" s="68"/>
      <c r="N752" s="67"/>
      <c r="O752" s="88"/>
      <c r="P752" s="88"/>
      <c r="Q752" s="90"/>
      <c r="R752" s="72"/>
      <c r="S752" s="72"/>
      <c r="T752" s="72"/>
      <c r="U752" s="72"/>
      <c r="V752" s="72"/>
      <c r="W752" s="72"/>
      <c r="X752" s="72"/>
      <c r="Y752" s="72"/>
    </row>
    <row r="753">
      <c r="A753" s="60"/>
      <c r="B753" s="61"/>
      <c r="C753" s="63"/>
      <c r="D753" s="79"/>
      <c r="E753" s="74" t="s">
        <v>56</v>
      </c>
      <c r="F753" s="63" t="s">
        <v>56</v>
      </c>
      <c r="G753" s="71"/>
      <c r="H753" s="71"/>
      <c r="I753" s="66"/>
      <c r="J753" s="68"/>
      <c r="K753" s="68"/>
      <c r="L753" s="68"/>
      <c r="M753" s="68"/>
      <c r="N753" s="67"/>
      <c r="O753" s="88"/>
      <c r="P753" s="88"/>
      <c r="Q753" s="90"/>
      <c r="R753" s="72"/>
      <c r="S753" s="72"/>
      <c r="T753" s="72"/>
      <c r="U753" s="72"/>
      <c r="V753" s="72"/>
      <c r="W753" s="72"/>
      <c r="X753" s="72"/>
      <c r="Y753" s="72"/>
    </row>
    <row r="754">
      <c r="A754" s="60"/>
      <c r="B754" s="61"/>
      <c r="C754" s="63"/>
      <c r="D754" s="79"/>
      <c r="E754" s="74" t="s">
        <v>56</v>
      </c>
      <c r="F754" s="63" t="s">
        <v>56</v>
      </c>
      <c r="G754" s="71"/>
      <c r="H754" s="71"/>
      <c r="I754" s="66"/>
      <c r="J754" s="68"/>
      <c r="K754" s="68"/>
      <c r="L754" s="68"/>
      <c r="M754" s="68"/>
      <c r="N754" s="67"/>
      <c r="O754" s="88"/>
      <c r="P754" s="88"/>
      <c r="Q754" s="90"/>
      <c r="R754" s="72"/>
      <c r="S754" s="72"/>
      <c r="T754" s="72"/>
      <c r="U754" s="72"/>
      <c r="V754" s="72"/>
      <c r="W754" s="72"/>
      <c r="X754" s="72"/>
      <c r="Y754" s="72"/>
    </row>
    <row r="755">
      <c r="A755" s="60"/>
      <c r="B755" s="61"/>
      <c r="C755" s="63"/>
      <c r="D755" s="79"/>
      <c r="E755" s="74" t="s">
        <v>56</v>
      </c>
      <c r="F755" s="63" t="s">
        <v>56</v>
      </c>
      <c r="G755" s="71"/>
      <c r="H755" s="71"/>
      <c r="I755" s="66"/>
      <c r="J755" s="68"/>
      <c r="K755" s="68"/>
      <c r="L755" s="68"/>
      <c r="M755" s="68"/>
      <c r="N755" s="67"/>
      <c r="O755" s="88"/>
      <c r="P755" s="88"/>
      <c r="Q755" s="90"/>
      <c r="R755" s="72"/>
      <c r="S755" s="72"/>
      <c r="T755" s="72"/>
      <c r="U755" s="72"/>
      <c r="V755" s="72"/>
      <c r="W755" s="72"/>
      <c r="X755" s="72"/>
      <c r="Y755" s="72"/>
    </row>
    <row r="756">
      <c r="A756" s="60"/>
      <c r="B756" s="61"/>
      <c r="C756" s="63"/>
      <c r="D756" s="79"/>
      <c r="E756" s="74" t="s">
        <v>56</v>
      </c>
      <c r="F756" s="63" t="s">
        <v>56</v>
      </c>
      <c r="G756" s="71"/>
      <c r="H756" s="71"/>
      <c r="I756" s="66"/>
      <c r="J756" s="68"/>
      <c r="K756" s="68"/>
      <c r="L756" s="68"/>
      <c r="M756" s="68"/>
      <c r="N756" s="67"/>
      <c r="O756" s="88"/>
      <c r="P756" s="88"/>
      <c r="Q756" s="90"/>
      <c r="R756" s="72"/>
      <c r="S756" s="72"/>
      <c r="T756" s="72"/>
      <c r="U756" s="72"/>
      <c r="V756" s="72"/>
      <c r="W756" s="72"/>
      <c r="X756" s="72"/>
      <c r="Y756" s="72"/>
    </row>
    <row r="757">
      <c r="A757" s="60"/>
      <c r="B757" s="61"/>
      <c r="C757" s="63"/>
      <c r="D757" s="79"/>
      <c r="E757" s="74" t="s">
        <v>56</v>
      </c>
      <c r="F757" s="63" t="s">
        <v>56</v>
      </c>
      <c r="G757" s="71"/>
      <c r="H757" s="71"/>
      <c r="I757" s="66"/>
      <c r="J757" s="68"/>
      <c r="K757" s="68"/>
      <c r="L757" s="68"/>
      <c r="M757" s="68"/>
      <c r="N757" s="67"/>
      <c r="O757" s="88"/>
      <c r="P757" s="88"/>
      <c r="Q757" s="90"/>
      <c r="R757" s="72"/>
      <c r="S757" s="72"/>
      <c r="T757" s="72"/>
      <c r="U757" s="72"/>
      <c r="V757" s="72"/>
      <c r="W757" s="72"/>
      <c r="X757" s="72"/>
      <c r="Y757" s="72"/>
    </row>
    <row r="758">
      <c r="A758" s="60"/>
      <c r="B758" s="61"/>
      <c r="C758" s="63"/>
      <c r="D758" s="79"/>
      <c r="E758" s="74" t="s">
        <v>56</v>
      </c>
      <c r="F758" s="63" t="s">
        <v>56</v>
      </c>
      <c r="G758" s="71"/>
      <c r="H758" s="71"/>
      <c r="I758" s="66"/>
      <c r="J758" s="68"/>
      <c r="K758" s="68"/>
      <c r="L758" s="68"/>
      <c r="M758" s="68"/>
      <c r="N758" s="67"/>
      <c r="O758" s="88"/>
      <c r="P758" s="88"/>
      <c r="Q758" s="90"/>
      <c r="R758" s="72"/>
      <c r="S758" s="72"/>
      <c r="T758" s="72"/>
      <c r="U758" s="72"/>
      <c r="V758" s="72"/>
      <c r="W758" s="72"/>
      <c r="X758" s="72"/>
      <c r="Y758" s="72"/>
    </row>
    <row r="759">
      <c r="A759" s="60"/>
      <c r="B759" s="61"/>
      <c r="C759" s="63"/>
      <c r="D759" s="79"/>
      <c r="E759" s="74" t="s">
        <v>56</v>
      </c>
      <c r="F759" s="63" t="s">
        <v>56</v>
      </c>
      <c r="G759" s="71"/>
      <c r="H759" s="71"/>
      <c r="I759" s="66"/>
      <c r="J759" s="68"/>
      <c r="K759" s="68"/>
      <c r="L759" s="68"/>
      <c r="M759" s="68"/>
      <c r="N759" s="67"/>
      <c r="O759" s="88"/>
      <c r="P759" s="88"/>
      <c r="Q759" s="90"/>
      <c r="R759" s="72"/>
      <c r="S759" s="72"/>
      <c r="T759" s="72"/>
      <c r="U759" s="72"/>
      <c r="V759" s="72"/>
      <c r="W759" s="72"/>
      <c r="X759" s="72"/>
      <c r="Y759" s="72"/>
    </row>
    <row r="760">
      <c r="A760" s="60"/>
      <c r="B760" s="61"/>
      <c r="C760" s="63"/>
      <c r="D760" s="79"/>
      <c r="E760" s="74" t="s">
        <v>56</v>
      </c>
      <c r="F760" s="63" t="s">
        <v>56</v>
      </c>
      <c r="G760" s="71"/>
      <c r="H760" s="71"/>
      <c r="I760" s="66"/>
      <c r="J760" s="68"/>
      <c r="K760" s="68"/>
      <c r="L760" s="68"/>
      <c r="M760" s="68"/>
      <c r="N760" s="67"/>
      <c r="O760" s="88"/>
      <c r="P760" s="88"/>
      <c r="Q760" s="90"/>
      <c r="R760" s="72"/>
      <c r="S760" s="72"/>
      <c r="T760" s="72"/>
      <c r="U760" s="72"/>
      <c r="V760" s="72"/>
      <c r="W760" s="72"/>
      <c r="X760" s="72"/>
      <c r="Y760" s="72"/>
    </row>
    <row r="761">
      <c r="A761" s="60"/>
      <c r="B761" s="61"/>
      <c r="C761" s="63"/>
      <c r="D761" s="79"/>
      <c r="E761" s="74" t="s">
        <v>56</v>
      </c>
      <c r="F761" s="63" t="s">
        <v>56</v>
      </c>
      <c r="G761" s="71"/>
      <c r="H761" s="71"/>
      <c r="I761" s="66"/>
      <c r="J761" s="68"/>
      <c r="K761" s="68"/>
      <c r="L761" s="68"/>
      <c r="M761" s="68"/>
      <c r="N761" s="67"/>
      <c r="O761" s="88"/>
      <c r="P761" s="88"/>
      <c r="Q761" s="90"/>
      <c r="R761" s="72"/>
      <c r="S761" s="72"/>
      <c r="T761" s="72"/>
      <c r="U761" s="72"/>
      <c r="V761" s="72"/>
      <c r="W761" s="72"/>
      <c r="X761" s="72"/>
      <c r="Y761" s="72"/>
    </row>
    <row r="762">
      <c r="A762" s="60"/>
      <c r="B762" s="61"/>
      <c r="C762" s="63"/>
      <c r="D762" s="79"/>
      <c r="E762" s="74" t="s">
        <v>56</v>
      </c>
      <c r="F762" s="63" t="s">
        <v>56</v>
      </c>
      <c r="G762" s="71"/>
      <c r="H762" s="71"/>
      <c r="I762" s="66"/>
      <c r="J762" s="68"/>
      <c r="K762" s="68"/>
      <c r="L762" s="68"/>
      <c r="M762" s="68"/>
      <c r="N762" s="67"/>
      <c r="O762" s="88"/>
      <c r="P762" s="88"/>
      <c r="Q762" s="90"/>
      <c r="R762" s="72"/>
      <c r="S762" s="72"/>
      <c r="T762" s="72"/>
      <c r="U762" s="72"/>
      <c r="V762" s="72"/>
      <c r="W762" s="72"/>
      <c r="X762" s="72"/>
      <c r="Y762" s="72"/>
    </row>
    <row r="763">
      <c r="A763" s="60"/>
      <c r="B763" s="61"/>
      <c r="C763" s="63"/>
      <c r="D763" s="79"/>
      <c r="E763" s="74" t="s">
        <v>56</v>
      </c>
      <c r="F763" s="63" t="s">
        <v>56</v>
      </c>
      <c r="G763" s="71"/>
      <c r="H763" s="71"/>
      <c r="I763" s="66"/>
      <c r="J763" s="68"/>
      <c r="K763" s="68"/>
      <c r="L763" s="68"/>
      <c r="M763" s="68"/>
      <c r="N763" s="67"/>
      <c r="O763" s="88"/>
      <c r="P763" s="88"/>
      <c r="Q763" s="90"/>
      <c r="R763" s="72"/>
      <c r="S763" s="72"/>
      <c r="T763" s="72"/>
      <c r="U763" s="72"/>
      <c r="V763" s="72"/>
      <c r="W763" s="72"/>
      <c r="X763" s="72"/>
      <c r="Y763" s="72"/>
    </row>
    <row r="764">
      <c r="A764" s="60"/>
      <c r="B764" s="61"/>
      <c r="C764" s="63"/>
      <c r="D764" s="79"/>
      <c r="E764" s="74" t="s">
        <v>56</v>
      </c>
      <c r="F764" s="63" t="s">
        <v>56</v>
      </c>
      <c r="G764" s="71"/>
      <c r="H764" s="71"/>
      <c r="I764" s="66"/>
      <c r="J764" s="68"/>
      <c r="K764" s="68"/>
      <c r="L764" s="68"/>
      <c r="M764" s="68"/>
      <c r="N764" s="67"/>
      <c r="O764" s="88"/>
      <c r="P764" s="88"/>
      <c r="Q764" s="90"/>
      <c r="R764" s="72"/>
      <c r="S764" s="72"/>
      <c r="T764" s="72"/>
      <c r="U764" s="72"/>
      <c r="V764" s="72"/>
      <c r="W764" s="72"/>
      <c r="X764" s="72"/>
      <c r="Y764" s="72"/>
    </row>
    <row r="765">
      <c r="A765" s="60"/>
      <c r="B765" s="61"/>
      <c r="C765" s="63"/>
      <c r="D765" s="79"/>
      <c r="E765" s="74" t="s">
        <v>56</v>
      </c>
      <c r="F765" s="63" t="s">
        <v>56</v>
      </c>
      <c r="G765" s="71"/>
      <c r="H765" s="71"/>
      <c r="I765" s="66"/>
      <c r="J765" s="68"/>
      <c r="K765" s="68"/>
      <c r="L765" s="68"/>
      <c r="M765" s="68"/>
      <c r="N765" s="67"/>
      <c r="O765" s="88"/>
      <c r="P765" s="88"/>
      <c r="Q765" s="90"/>
      <c r="R765" s="72"/>
      <c r="S765" s="72"/>
      <c r="T765" s="72"/>
      <c r="U765" s="72"/>
      <c r="V765" s="72"/>
      <c r="W765" s="72"/>
      <c r="X765" s="72"/>
      <c r="Y765" s="72"/>
    </row>
    <row r="766">
      <c r="A766" s="60"/>
      <c r="B766" s="61"/>
      <c r="C766" s="63"/>
      <c r="D766" s="79"/>
      <c r="E766" s="74" t="s">
        <v>56</v>
      </c>
      <c r="F766" s="63" t="s">
        <v>56</v>
      </c>
      <c r="G766" s="71"/>
      <c r="H766" s="71"/>
      <c r="I766" s="66"/>
      <c r="J766" s="68"/>
      <c r="K766" s="68"/>
      <c r="L766" s="68"/>
      <c r="M766" s="68"/>
      <c r="N766" s="67"/>
      <c r="O766" s="88"/>
      <c r="P766" s="88"/>
      <c r="Q766" s="90"/>
      <c r="R766" s="72"/>
      <c r="S766" s="72"/>
      <c r="T766" s="72"/>
      <c r="U766" s="72"/>
      <c r="V766" s="72"/>
      <c r="W766" s="72"/>
      <c r="X766" s="72"/>
      <c r="Y766" s="72"/>
    </row>
    <row r="767">
      <c r="A767" s="60"/>
      <c r="B767" s="61"/>
      <c r="C767" s="63"/>
      <c r="D767" s="79"/>
      <c r="E767" s="74" t="s">
        <v>56</v>
      </c>
      <c r="F767" s="63" t="s">
        <v>56</v>
      </c>
      <c r="G767" s="71"/>
      <c r="H767" s="71"/>
      <c r="I767" s="66"/>
      <c r="J767" s="68"/>
      <c r="K767" s="68"/>
      <c r="L767" s="68"/>
      <c r="M767" s="68"/>
      <c r="N767" s="67"/>
      <c r="O767" s="88"/>
      <c r="P767" s="88"/>
      <c r="Q767" s="90"/>
      <c r="R767" s="72"/>
      <c r="S767" s="72"/>
      <c r="T767" s="72"/>
      <c r="U767" s="72"/>
      <c r="V767" s="72"/>
      <c r="W767" s="72"/>
      <c r="X767" s="72"/>
      <c r="Y767" s="72"/>
    </row>
    <row r="768">
      <c r="A768" s="60"/>
      <c r="B768" s="61"/>
      <c r="C768" s="63"/>
      <c r="D768" s="79"/>
      <c r="E768" s="74" t="s">
        <v>56</v>
      </c>
      <c r="F768" s="63" t="s">
        <v>56</v>
      </c>
      <c r="G768" s="71"/>
      <c r="H768" s="71"/>
      <c r="I768" s="66"/>
      <c r="J768" s="68"/>
      <c r="K768" s="68"/>
      <c r="L768" s="68"/>
      <c r="M768" s="68"/>
      <c r="N768" s="67"/>
      <c r="O768" s="88"/>
      <c r="P768" s="88"/>
      <c r="Q768" s="90"/>
      <c r="R768" s="72"/>
      <c r="S768" s="72"/>
      <c r="T768" s="72"/>
      <c r="U768" s="72"/>
      <c r="V768" s="72"/>
      <c r="W768" s="72"/>
      <c r="X768" s="72"/>
      <c r="Y768" s="72"/>
    </row>
    <row r="769">
      <c r="A769" s="60"/>
      <c r="B769" s="61"/>
      <c r="C769" s="63"/>
      <c r="D769" s="79"/>
      <c r="E769" s="74" t="s">
        <v>56</v>
      </c>
      <c r="F769" s="63" t="s">
        <v>56</v>
      </c>
      <c r="G769" s="71"/>
      <c r="H769" s="71"/>
      <c r="I769" s="66"/>
      <c r="J769" s="68"/>
      <c r="K769" s="68"/>
      <c r="L769" s="68"/>
      <c r="M769" s="68"/>
      <c r="N769" s="67"/>
      <c r="O769" s="88"/>
      <c r="P769" s="88"/>
      <c r="Q769" s="90"/>
      <c r="R769" s="72"/>
      <c r="S769" s="72"/>
      <c r="T769" s="72"/>
      <c r="U769" s="72"/>
      <c r="V769" s="72"/>
      <c r="W769" s="72"/>
      <c r="X769" s="72"/>
      <c r="Y769" s="72"/>
    </row>
    <row r="770">
      <c r="A770" s="60"/>
      <c r="B770" s="61"/>
      <c r="C770" s="63"/>
      <c r="D770" s="79"/>
      <c r="E770" s="74" t="s">
        <v>56</v>
      </c>
      <c r="F770" s="63" t="s">
        <v>56</v>
      </c>
      <c r="G770" s="71"/>
      <c r="H770" s="71"/>
      <c r="I770" s="66"/>
      <c r="J770" s="68"/>
      <c r="K770" s="68"/>
      <c r="L770" s="68"/>
      <c r="M770" s="68"/>
      <c r="N770" s="67"/>
      <c r="O770" s="88"/>
      <c r="P770" s="88"/>
      <c r="Q770" s="90"/>
      <c r="R770" s="72"/>
      <c r="S770" s="72"/>
      <c r="T770" s="72"/>
      <c r="U770" s="72"/>
      <c r="V770" s="72"/>
      <c r="W770" s="72"/>
      <c r="X770" s="72"/>
      <c r="Y770" s="72"/>
    </row>
    <row r="771">
      <c r="A771" s="60"/>
      <c r="B771" s="61"/>
      <c r="C771" s="63"/>
      <c r="D771" s="79"/>
      <c r="E771" s="74" t="s">
        <v>56</v>
      </c>
      <c r="F771" s="63" t="s">
        <v>56</v>
      </c>
      <c r="G771" s="71"/>
      <c r="H771" s="71"/>
      <c r="I771" s="66"/>
      <c r="J771" s="68"/>
      <c r="K771" s="68"/>
      <c r="L771" s="68"/>
      <c r="M771" s="68"/>
      <c r="N771" s="67"/>
      <c r="O771" s="88"/>
      <c r="P771" s="88"/>
      <c r="Q771" s="90"/>
      <c r="R771" s="72"/>
      <c r="S771" s="72"/>
      <c r="T771" s="72"/>
      <c r="U771" s="72"/>
      <c r="V771" s="72"/>
      <c r="W771" s="72"/>
      <c r="X771" s="72"/>
      <c r="Y771" s="72"/>
    </row>
    <row r="772">
      <c r="A772" s="60"/>
      <c r="B772" s="61"/>
      <c r="C772" s="63"/>
      <c r="D772" s="79"/>
      <c r="E772" s="74" t="s">
        <v>56</v>
      </c>
      <c r="F772" s="63" t="s">
        <v>56</v>
      </c>
      <c r="G772" s="71"/>
      <c r="H772" s="71"/>
      <c r="I772" s="66"/>
      <c r="J772" s="68"/>
      <c r="K772" s="68"/>
      <c r="L772" s="68"/>
      <c r="M772" s="68"/>
      <c r="N772" s="67"/>
      <c r="O772" s="88"/>
      <c r="P772" s="88"/>
      <c r="Q772" s="90"/>
      <c r="R772" s="72"/>
      <c r="S772" s="72"/>
      <c r="T772" s="72"/>
      <c r="U772" s="72"/>
      <c r="V772" s="72"/>
      <c r="W772" s="72"/>
      <c r="X772" s="72"/>
      <c r="Y772" s="72"/>
    </row>
    <row r="773">
      <c r="A773" s="60"/>
      <c r="B773" s="61"/>
      <c r="C773" s="63"/>
      <c r="D773" s="79"/>
      <c r="E773" s="74" t="s">
        <v>56</v>
      </c>
      <c r="F773" s="63" t="s">
        <v>56</v>
      </c>
      <c r="G773" s="71"/>
      <c r="H773" s="71"/>
      <c r="I773" s="66"/>
      <c r="J773" s="68"/>
      <c r="K773" s="68"/>
      <c r="L773" s="68"/>
      <c r="M773" s="68"/>
      <c r="N773" s="67"/>
      <c r="O773" s="88"/>
      <c r="P773" s="88"/>
      <c r="Q773" s="90"/>
      <c r="R773" s="72"/>
      <c r="S773" s="72"/>
      <c r="T773" s="72"/>
      <c r="U773" s="72"/>
      <c r="V773" s="72"/>
      <c r="W773" s="72"/>
      <c r="X773" s="72"/>
      <c r="Y773" s="72"/>
    </row>
    <row r="774">
      <c r="A774" s="60"/>
      <c r="B774" s="61"/>
      <c r="C774" s="63"/>
      <c r="D774" s="79"/>
      <c r="E774" s="74" t="s">
        <v>56</v>
      </c>
      <c r="F774" s="63" t="s">
        <v>56</v>
      </c>
      <c r="G774" s="71"/>
      <c r="H774" s="71"/>
      <c r="I774" s="66"/>
      <c r="J774" s="68"/>
      <c r="K774" s="68"/>
      <c r="L774" s="68"/>
      <c r="M774" s="68"/>
      <c r="N774" s="67"/>
      <c r="O774" s="88"/>
      <c r="P774" s="88"/>
      <c r="Q774" s="90"/>
      <c r="R774" s="72"/>
      <c r="S774" s="72"/>
      <c r="T774" s="72"/>
      <c r="U774" s="72"/>
      <c r="V774" s="72"/>
      <c r="W774" s="72"/>
      <c r="X774" s="72"/>
      <c r="Y774" s="72"/>
    </row>
    <row r="775">
      <c r="A775" s="60"/>
      <c r="B775" s="61"/>
      <c r="C775" s="63"/>
      <c r="D775" s="79"/>
      <c r="E775" s="74" t="s">
        <v>56</v>
      </c>
      <c r="F775" s="63" t="s">
        <v>56</v>
      </c>
      <c r="G775" s="71"/>
      <c r="H775" s="71"/>
      <c r="I775" s="66"/>
      <c r="J775" s="68"/>
      <c r="K775" s="68"/>
      <c r="L775" s="68"/>
      <c r="M775" s="68"/>
      <c r="N775" s="67"/>
      <c r="O775" s="88"/>
      <c r="P775" s="88"/>
      <c r="Q775" s="90"/>
      <c r="R775" s="72"/>
      <c r="S775" s="72"/>
      <c r="T775" s="72"/>
      <c r="U775" s="72"/>
      <c r="V775" s="72"/>
      <c r="W775" s="72"/>
      <c r="X775" s="72"/>
      <c r="Y775" s="72"/>
    </row>
    <row r="776">
      <c r="A776" s="60"/>
      <c r="B776" s="61"/>
      <c r="C776" s="63"/>
      <c r="D776" s="79"/>
      <c r="E776" s="74" t="s">
        <v>56</v>
      </c>
      <c r="F776" s="63" t="s">
        <v>56</v>
      </c>
      <c r="G776" s="71"/>
      <c r="H776" s="71"/>
      <c r="I776" s="66"/>
      <c r="J776" s="68"/>
      <c r="K776" s="68"/>
      <c r="L776" s="68"/>
      <c r="M776" s="68"/>
      <c r="N776" s="67"/>
      <c r="O776" s="88"/>
      <c r="P776" s="88"/>
      <c r="Q776" s="90"/>
      <c r="R776" s="72"/>
      <c r="S776" s="72"/>
      <c r="T776" s="72"/>
      <c r="U776" s="72"/>
      <c r="V776" s="72"/>
      <c r="W776" s="72"/>
      <c r="X776" s="72"/>
      <c r="Y776" s="72"/>
    </row>
    <row r="777">
      <c r="A777" s="60"/>
      <c r="B777" s="61"/>
      <c r="C777" s="63"/>
      <c r="D777" s="79"/>
      <c r="E777" s="74" t="s">
        <v>56</v>
      </c>
      <c r="F777" s="63" t="s">
        <v>56</v>
      </c>
      <c r="G777" s="71"/>
      <c r="H777" s="71"/>
      <c r="I777" s="66"/>
      <c r="J777" s="68"/>
      <c r="K777" s="68"/>
      <c r="L777" s="68"/>
      <c r="M777" s="68"/>
      <c r="N777" s="67"/>
      <c r="O777" s="88"/>
      <c r="P777" s="88"/>
      <c r="Q777" s="90"/>
      <c r="R777" s="72"/>
      <c r="S777" s="72"/>
      <c r="T777" s="72"/>
      <c r="U777" s="72"/>
      <c r="V777" s="72"/>
      <c r="W777" s="72"/>
      <c r="X777" s="72"/>
      <c r="Y777" s="72"/>
    </row>
    <row r="778">
      <c r="A778" s="60"/>
      <c r="B778" s="61"/>
      <c r="C778" s="63"/>
      <c r="D778" s="79"/>
      <c r="E778" s="74" t="s">
        <v>56</v>
      </c>
      <c r="F778" s="63" t="s">
        <v>56</v>
      </c>
      <c r="G778" s="71"/>
      <c r="H778" s="71"/>
      <c r="I778" s="66"/>
      <c r="J778" s="68"/>
      <c r="K778" s="68"/>
      <c r="L778" s="68"/>
      <c r="M778" s="68"/>
      <c r="N778" s="67"/>
      <c r="O778" s="88"/>
      <c r="P778" s="88"/>
      <c r="Q778" s="90"/>
      <c r="R778" s="72"/>
      <c r="S778" s="72"/>
      <c r="T778" s="72"/>
      <c r="U778" s="72"/>
      <c r="V778" s="72"/>
      <c r="W778" s="72"/>
      <c r="X778" s="72"/>
      <c r="Y778" s="72"/>
    </row>
    <row r="779">
      <c r="A779" s="60"/>
      <c r="B779" s="61"/>
      <c r="C779" s="63"/>
      <c r="D779" s="79"/>
      <c r="E779" s="74" t="s">
        <v>56</v>
      </c>
      <c r="F779" s="63" t="s">
        <v>56</v>
      </c>
      <c r="G779" s="71"/>
      <c r="H779" s="71"/>
      <c r="I779" s="66"/>
      <c r="J779" s="68"/>
      <c r="K779" s="68"/>
      <c r="L779" s="68"/>
      <c r="M779" s="68"/>
      <c r="N779" s="67"/>
      <c r="O779" s="88"/>
      <c r="P779" s="88"/>
      <c r="Q779" s="90"/>
      <c r="R779" s="72"/>
      <c r="S779" s="72"/>
      <c r="T779" s="72"/>
      <c r="U779" s="72"/>
      <c r="V779" s="72"/>
      <c r="W779" s="72"/>
      <c r="X779" s="72"/>
      <c r="Y779" s="72"/>
    </row>
    <row r="780">
      <c r="A780" s="60"/>
      <c r="B780" s="61"/>
      <c r="C780" s="63"/>
      <c r="D780" s="79"/>
      <c r="E780" s="74" t="s">
        <v>56</v>
      </c>
      <c r="F780" s="63" t="s">
        <v>56</v>
      </c>
      <c r="G780" s="71"/>
      <c r="H780" s="71"/>
      <c r="I780" s="66"/>
      <c r="J780" s="68"/>
      <c r="K780" s="68"/>
      <c r="L780" s="68"/>
      <c r="M780" s="68"/>
      <c r="N780" s="67"/>
      <c r="O780" s="88"/>
      <c r="P780" s="88"/>
      <c r="Q780" s="90"/>
      <c r="R780" s="72"/>
      <c r="S780" s="72"/>
      <c r="T780" s="72"/>
      <c r="U780" s="72"/>
      <c r="V780" s="72"/>
      <c r="W780" s="72"/>
      <c r="X780" s="72"/>
      <c r="Y780" s="72"/>
    </row>
    <row r="781">
      <c r="A781" s="60"/>
      <c r="B781" s="61"/>
      <c r="C781" s="63"/>
      <c r="D781" s="79"/>
      <c r="E781" s="74" t="s">
        <v>56</v>
      </c>
      <c r="F781" s="63" t="s">
        <v>56</v>
      </c>
      <c r="G781" s="71"/>
      <c r="H781" s="71"/>
      <c r="I781" s="66"/>
      <c r="J781" s="68"/>
      <c r="K781" s="68"/>
      <c r="L781" s="68"/>
      <c r="M781" s="68"/>
      <c r="N781" s="67"/>
      <c r="O781" s="88"/>
      <c r="P781" s="88"/>
      <c r="Q781" s="90"/>
      <c r="R781" s="72"/>
      <c r="S781" s="72"/>
      <c r="T781" s="72"/>
      <c r="U781" s="72"/>
      <c r="V781" s="72"/>
      <c r="W781" s="72"/>
      <c r="X781" s="72"/>
      <c r="Y781" s="72"/>
    </row>
    <row r="782">
      <c r="A782" s="60"/>
      <c r="B782" s="61"/>
      <c r="C782" s="63"/>
      <c r="D782" s="79"/>
      <c r="E782" s="74" t="s">
        <v>56</v>
      </c>
      <c r="F782" s="63" t="s">
        <v>56</v>
      </c>
      <c r="G782" s="71"/>
      <c r="H782" s="71"/>
      <c r="I782" s="66"/>
      <c r="J782" s="68"/>
      <c r="K782" s="68"/>
      <c r="L782" s="68"/>
      <c r="M782" s="68"/>
      <c r="N782" s="67"/>
      <c r="O782" s="88"/>
      <c r="P782" s="88"/>
      <c r="Q782" s="90"/>
      <c r="R782" s="72"/>
      <c r="S782" s="72"/>
      <c r="T782" s="72"/>
      <c r="U782" s="72"/>
      <c r="V782" s="72"/>
      <c r="W782" s="72"/>
      <c r="X782" s="72"/>
      <c r="Y782" s="72"/>
    </row>
    <row r="783">
      <c r="A783" s="60"/>
      <c r="B783" s="61"/>
      <c r="C783" s="63"/>
      <c r="D783" s="79"/>
      <c r="E783" s="74" t="s">
        <v>56</v>
      </c>
      <c r="F783" s="63" t="s">
        <v>56</v>
      </c>
      <c r="G783" s="71"/>
      <c r="H783" s="71"/>
      <c r="I783" s="66"/>
      <c r="J783" s="68"/>
      <c r="K783" s="68"/>
      <c r="L783" s="68"/>
      <c r="M783" s="68"/>
      <c r="N783" s="67"/>
      <c r="O783" s="88"/>
      <c r="P783" s="88"/>
      <c r="Q783" s="90"/>
      <c r="R783" s="72"/>
      <c r="S783" s="72"/>
      <c r="T783" s="72"/>
      <c r="U783" s="72"/>
      <c r="V783" s="72"/>
      <c r="W783" s="72"/>
      <c r="X783" s="72"/>
      <c r="Y783" s="72"/>
    </row>
    <row r="784">
      <c r="A784" s="60"/>
      <c r="B784" s="61"/>
      <c r="C784" s="63"/>
      <c r="D784" s="79"/>
      <c r="E784" s="74" t="s">
        <v>56</v>
      </c>
      <c r="F784" s="63" t="s">
        <v>56</v>
      </c>
      <c r="G784" s="71"/>
      <c r="H784" s="71"/>
      <c r="I784" s="66"/>
      <c r="J784" s="68"/>
      <c r="K784" s="68"/>
      <c r="L784" s="68"/>
      <c r="M784" s="68"/>
      <c r="N784" s="67"/>
      <c r="O784" s="88"/>
      <c r="P784" s="88"/>
      <c r="Q784" s="90"/>
      <c r="R784" s="72"/>
      <c r="S784" s="72"/>
      <c r="T784" s="72"/>
      <c r="U784" s="72"/>
      <c r="V784" s="72"/>
      <c r="W784" s="72"/>
      <c r="X784" s="72"/>
      <c r="Y784" s="72"/>
    </row>
    <row r="785">
      <c r="A785" s="60"/>
      <c r="B785" s="61"/>
      <c r="C785" s="63"/>
      <c r="D785" s="79"/>
      <c r="E785" s="74" t="s">
        <v>56</v>
      </c>
      <c r="F785" s="63" t="s">
        <v>56</v>
      </c>
      <c r="G785" s="71"/>
      <c r="H785" s="71"/>
      <c r="I785" s="66"/>
      <c r="J785" s="68"/>
      <c r="K785" s="68"/>
      <c r="L785" s="68"/>
      <c r="M785" s="68"/>
      <c r="N785" s="67"/>
      <c r="O785" s="88"/>
      <c r="P785" s="88"/>
      <c r="Q785" s="90"/>
      <c r="R785" s="72"/>
      <c r="S785" s="72"/>
      <c r="T785" s="72"/>
      <c r="U785" s="72"/>
      <c r="V785" s="72"/>
      <c r="W785" s="72"/>
      <c r="X785" s="72"/>
      <c r="Y785" s="72"/>
    </row>
    <row r="786">
      <c r="A786" s="60"/>
      <c r="B786" s="61"/>
      <c r="C786" s="63"/>
      <c r="D786" s="79"/>
      <c r="E786" s="74" t="s">
        <v>56</v>
      </c>
      <c r="F786" s="63" t="s">
        <v>56</v>
      </c>
      <c r="G786" s="71"/>
      <c r="H786" s="71"/>
      <c r="I786" s="66"/>
      <c r="J786" s="68"/>
      <c r="K786" s="68"/>
      <c r="L786" s="68"/>
      <c r="M786" s="68"/>
      <c r="N786" s="67"/>
      <c r="O786" s="88"/>
      <c r="P786" s="88"/>
      <c r="Q786" s="90"/>
      <c r="R786" s="72"/>
      <c r="S786" s="72"/>
      <c r="T786" s="72"/>
      <c r="U786" s="72"/>
      <c r="V786" s="72"/>
      <c r="W786" s="72"/>
      <c r="X786" s="72"/>
      <c r="Y786" s="72"/>
    </row>
    <row r="787">
      <c r="A787" s="60"/>
      <c r="B787" s="61"/>
      <c r="C787" s="63"/>
      <c r="D787" s="79"/>
      <c r="E787" s="74" t="s">
        <v>56</v>
      </c>
      <c r="F787" s="63" t="s">
        <v>56</v>
      </c>
      <c r="G787" s="71"/>
      <c r="H787" s="71"/>
      <c r="I787" s="66"/>
      <c r="J787" s="68"/>
      <c r="K787" s="68"/>
      <c r="L787" s="68"/>
      <c r="M787" s="68"/>
      <c r="N787" s="67"/>
      <c r="O787" s="88"/>
      <c r="P787" s="88"/>
      <c r="Q787" s="90"/>
      <c r="R787" s="72"/>
      <c r="S787" s="72"/>
      <c r="T787" s="72"/>
      <c r="U787" s="72"/>
      <c r="V787" s="72"/>
      <c r="W787" s="72"/>
      <c r="X787" s="72"/>
      <c r="Y787" s="72"/>
    </row>
    <row r="788">
      <c r="A788" s="60"/>
      <c r="B788" s="61"/>
      <c r="C788" s="63"/>
      <c r="D788" s="79"/>
      <c r="E788" s="74" t="s">
        <v>56</v>
      </c>
      <c r="F788" s="63" t="s">
        <v>56</v>
      </c>
      <c r="G788" s="71"/>
      <c r="H788" s="71"/>
      <c r="I788" s="66"/>
      <c r="J788" s="68"/>
      <c r="K788" s="68"/>
      <c r="L788" s="68"/>
      <c r="M788" s="68"/>
      <c r="N788" s="67"/>
      <c r="O788" s="88"/>
      <c r="P788" s="88"/>
      <c r="Q788" s="90"/>
      <c r="R788" s="72"/>
      <c r="S788" s="72"/>
      <c r="T788" s="72"/>
      <c r="U788" s="72"/>
      <c r="V788" s="72"/>
      <c r="W788" s="72"/>
      <c r="X788" s="72"/>
      <c r="Y788" s="72"/>
    </row>
    <row r="789">
      <c r="A789" s="60"/>
      <c r="B789" s="61"/>
      <c r="C789" s="63"/>
      <c r="D789" s="79"/>
      <c r="E789" s="74" t="s">
        <v>56</v>
      </c>
      <c r="F789" s="63" t="s">
        <v>56</v>
      </c>
      <c r="G789" s="71"/>
      <c r="H789" s="71"/>
      <c r="I789" s="66"/>
      <c r="J789" s="68"/>
      <c r="K789" s="68"/>
      <c r="L789" s="68"/>
      <c r="M789" s="68"/>
      <c r="N789" s="67"/>
      <c r="O789" s="88"/>
      <c r="P789" s="88"/>
      <c r="Q789" s="90"/>
      <c r="R789" s="72"/>
      <c r="S789" s="72"/>
      <c r="T789" s="72"/>
      <c r="U789" s="72"/>
      <c r="V789" s="72"/>
      <c r="W789" s="72"/>
      <c r="X789" s="72"/>
      <c r="Y789" s="72"/>
    </row>
    <row r="790">
      <c r="A790" s="60"/>
      <c r="B790" s="61"/>
      <c r="C790" s="63"/>
      <c r="D790" s="79"/>
      <c r="E790" s="74" t="s">
        <v>56</v>
      </c>
      <c r="F790" s="63" t="s">
        <v>56</v>
      </c>
      <c r="G790" s="71"/>
      <c r="H790" s="71"/>
      <c r="I790" s="66"/>
      <c r="J790" s="68"/>
      <c r="K790" s="68"/>
      <c r="L790" s="68"/>
      <c r="M790" s="68"/>
      <c r="N790" s="67"/>
      <c r="O790" s="88"/>
      <c r="P790" s="88"/>
      <c r="Q790" s="90"/>
      <c r="R790" s="72"/>
      <c r="S790" s="72"/>
      <c r="T790" s="72"/>
      <c r="U790" s="72"/>
      <c r="V790" s="72"/>
      <c r="W790" s="72"/>
      <c r="X790" s="72"/>
      <c r="Y790" s="72"/>
    </row>
    <row r="791">
      <c r="A791" s="60"/>
      <c r="B791" s="61"/>
      <c r="C791" s="63"/>
      <c r="D791" s="79"/>
      <c r="E791" s="74" t="s">
        <v>56</v>
      </c>
      <c r="F791" s="63" t="s">
        <v>56</v>
      </c>
      <c r="G791" s="71"/>
      <c r="H791" s="71"/>
      <c r="I791" s="66"/>
      <c r="J791" s="68"/>
      <c r="K791" s="68"/>
      <c r="L791" s="68"/>
      <c r="M791" s="68"/>
      <c r="N791" s="67"/>
      <c r="O791" s="88"/>
      <c r="P791" s="88"/>
      <c r="Q791" s="90"/>
      <c r="R791" s="72"/>
      <c r="S791" s="72"/>
      <c r="T791" s="72"/>
      <c r="U791" s="72"/>
      <c r="V791" s="72"/>
      <c r="W791" s="72"/>
      <c r="X791" s="72"/>
      <c r="Y791" s="72"/>
    </row>
    <row r="792">
      <c r="A792" s="60"/>
      <c r="B792" s="61"/>
      <c r="C792" s="63"/>
      <c r="D792" s="79"/>
      <c r="E792" s="74" t="s">
        <v>56</v>
      </c>
      <c r="F792" s="63" t="s">
        <v>56</v>
      </c>
      <c r="G792" s="71"/>
      <c r="H792" s="71"/>
      <c r="I792" s="66"/>
      <c r="J792" s="68"/>
      <c r="K792" s="68"/>
      <c r="L792" s="68"/>
      <c r="M792" s="68"/>
      <c r="N792" s="67"/>
      <c r="O792" s="88"/>
      <c r="P792" s="88"/>
      <c r="Q792" s="90"/>
      <c r="R792" s="72"/>
      <c r="S792" s="72"/>
      <c r="T792" s="72"/>
      <c r="U792" s="72"/>
      <c r="V792" s="72"/>
      <c r="W792" s="72"/>
      <c r="X792" s="72"/>
      <c r="Y792" s="72"/>
    </row>
    <row r="793">
      <c r="A793" s="60"/>
      <c r="B793" s="61"/>
      <c r="C793" s="63"/>
      <c r="D793" s="79"/>
      <c r="E793" s="74" t="s">
        <v>56</v>
      </c>
      <c r="F793" s="63" t="s">
        <v>56</v>
      </c>
      <c r="G793" s="71"/>
      <c r="H793" s="71"/>
      <c r="I793" s="66"/>
      <c r="J793" s="68"/>
      <c r="K793" s="68"/>
      <c r="L793" s="68"/>
      <c r="M793" s="68"/>
      <c r="N793" s="67"/>
      <c r="O793" s="88"/>
      <c r="P793" s="88"/>
      <c r="Q793" s="90"/>
      <c r="R793" s="72"/>
      <c r="S793" s="72"/>
      <c r="T793" s="72"/>
      <c r="U793" s="72"/>
      <c r="V793" s="72"/>
      <c r="W793" s="72"/>
      <c r="X793" s="72"/>
      <c r="Y793" s="72"/>
    </row>
    <row r="794">
      <c r="A794" s="60"/>
      <c r="B794" s="61"/>
      <c r="C794" s="63"/>
      <c r="D794" s="79"/>
      <c r="E794" s="74" t="s">
        <v>56</v>
      </c>
      <c r="F794" s="63" t="s">
        <v>56</v>
      </c>
      <c r="G794" s="71"/>
      <c r="H794" s="71"/>
      <c r="I794" s="66"/>
      <c r="J794" s="68"/>
      <c r="K794" s="68"/>
      <c r="L794" s="68"/>
      <c r="M794" s="68"/>
      <c r="N794" s="67"/>
      <c r="O794" s="88"/>
      <c r="P794" s="88"/>
      <c r="Q794" s="90"/>
      <c r="R794" s="72"/>
      <c r="S794" s="72"/>
      <c r="T794" s="72"/>
      <c r="U794" s="72"/>
      <c r="V794" s="72"/>
      <c r="W794" s="72"/>
      <c r="X794" s="72"/>
      <c r="Y794" s="72"/>
    </row>
    <row r="795">
      <c r="A795" s="60"/>
      <c r="B795" s="61"/>
      <c r="C795" s="63"/>
      <c r="D795" s="79"/>
      <c r="E795" s="74" t="s">
        <v>56</v>
      </c>
      <c r="F795" s="63" t="s">
        <v>56</v>
      </c>
      <c r="G795" s="71"/>
      <c r="H795" s="71"/>
      <c r="I795" s="66"/>
      <c r="J795" s="68"/>
      <c r="K795" s="68"/>
      <c r="L795" s="68"/>
      <c r="M795" s="68"/>
      <c r="N795" s="67"/>
      <c r="O795" s="88"/>
      <c r="P795" s="88"/>
      <c r="Q795" s="90"/>
      <c r="R795" s="72"/>
      <c r="S795" s="72"/>
      <c r="T795" s="72"/>
      <c r="U795" s="72"/>
      <c r="V795" s="72"/>
      <c r="W795" s="72"/>
      <c r="X795" s="72"/>
      <c r="Y795" s="72"/>
    </row>
    <row r="796">
      <c r="A796" s="60"/>
      <c r="B796" s="61"/>
      <c r="C796" s="63"/>
      <c r="D796" s="79"/>
      <c r="E796" s="74" t="s">
        <v>56</v>
      </c>
      <c r="F796" s="63" t="s">
        <v>56</v>
      </c>
      <c r="G796" s="71"/>
      <c r="H796" s="71"/>
      <c r="I796" s="66"/>
      <c r="J796" s="68"/>
      <c r="K796" s="68"/>
      <c r="L796" s="68"/>
      <c r="M796" s="68"/>
      <c r="N796" s="67"/>
      <c r="O796" s="88"/>
      <c r="P796" s="88"/>
      <c r="Q796" s="90"/>
      <c r="R796" s="72"/>
      <c r="S796" s="72"/>
      <c r="T796" s="72"/>
      <c r="U796" s="72"/>
      <c r="V796" s="72"/>
      <c r="W796" s="72"/>
      <c r="X796" s="72"/>
      <c r="Y796" s="72"/>
    </row>
    <row r="797">
      <c r="A797" s="60"/>
      <c r="B797" s="61"/>
      <c r="C797" s="63"/>
      <c r="D797" s="79"/>
      <c r="E797" s="74" t="s">
        <v>56</v>
      </c>
      <c r="F797" s="63" t="s">
        <v>56</v>
      </c>
      <c r="G797" s="71"/>
      <c r="H797" s="71"/>
      <c r="I797" s="66"/>
      <c r="J797" s="68"/>
      <c r="K797" s="68"/>
      <c r="L797" s="68"/>
      <c r="M797" s="68"/>
      <c r="N797" s="67"/>
      <c r="O797" s="88"/>
      <c r="P797" s="88"/>
      <c r="Q797" s="90"/>
      <c r="R797" s="72"/>
      <c r="S797" s="72"/>
      <c r="T797" s="72"/>
      <c r="U797" s="72"/>
      <c r="V797" s="72"/>
      <c r="W797" s="72"/>
      <c r="X797" s="72"/>
      <c r="Y797" s="72"/>
    </row>
    <row r="798">
      <c r="A798" s="60"/>
      <c r="B798" s="61"/>
      <c r="C798" s="63"/>
      <c r="D798" s="79"/>
      <c r="E798" s="74" t="s">
        <v>56</v>
      </c>
      <c r="F798" s="63" t="s">
        <v>56</v>
      </c>
      <c r="G798" s="71"/>
      <c r="H798" s="71"/>
      <c r="I798" s="66"/>
      <c r="J798" s="68"/>
      <c r="K798" s="68"/>
      <c r="L798" s="68"/>
      <c r="M798" s="68"/>
      <c r="N798" s="67"/>
      <c r="O798" s="88"/>
      <c r="P798" s="88"/>
      <c r="Q798" s="90"/>
      <c r="R798" s="72"/>
      <c r="S798" s="72"/>
      <c r="T798" s="72"/>
      <c r="U798" s="72"/>
      <c r="V798" s="72"/>
      <c r="W798" s="72"/>
      <c r="X798" s="72"/>
      <c r="Y798" s="72"/>
    </row>
    <row r="799">
      <c r="A799" s="60"/>
      <c r="B799" s="61"/>
      <c r="C799" s="63"/>
      <c r="D799" s="79"/>
      <c r="E799" s="74" t="s">
        <v>56</v>
      </c>
      <c r="F799" s="63" t="s">
        <v>56</v>
      </c>
      <c r="G799" s="71"/>
      <c r="H799" s="71"/>
      <c r="I799" s="66"/>
      <c r="J799" s="68"/>
      <c r="K799" s="68"/>
      <c r="L799" s="68"/>
      <c r="M799" s="68"/>
      <c r="N799" s="67"/>
      <c r="O799" s="88"/>
      <c r="P799" s="88"/>
      <c r="Q799" s="90"/>
      <c r="R799" s="72"/>
      <c r="S799" s="72"/>
      <c r="T799" s="72"/>
      <c r="U799" s="72"/>
      <c r="V799" s="72"/>
      <c r="W799" s="72"/>
      <c r="X799" s="72"/>
      <c r="Y799" s="72"/>
    </row>
    <row r="800">
      <c r="A800" s="60"/>
      <c r="B800" s="61"/>
      <c r="C800" s="63"/>
      <c r="D800" s="79"/>
      <c r="E800" s="74" t="s">
        <v>56</v>
      </c>
      <c r="F800" s="63" t="s">
        <v>56</v>
      </c>
      <c r="G800" s="71"/>
      <c r="H800" s="71"/>
      <c r="I800" s="66"/>
      <c r="J800" s="68"/>
      <c r="K800" s="68"/>
      <c r="L800" s="68"/>
      <c r="M800" s="68"/>
      <c r="N800" s="67"/>
      <c r="O800" s="88"/>
      <c r="P800" s="88"/>
      <c r="Q800" s="90"/>
      <c r="R800" s="72"/>
      <c r="S800" s="72"/>
      <c r="T800" s="72"/>
      <c r="U800" s="72"/>
      <c r="V800" s="72"/>
      <c r="W800" s="72"/>
      <c r="X800" s="72"/>
      <c r="Y800" s="72"/>
    </row>
    <row r="801">
      <c r="A801" s="60"/>
      <c r="B801" s="61"/>
      <c r="C801" s="63"/>
      <c r="D801" s="79"/>
      <c r="E801" s="74" t="s">
        <v>56</v>
      </c>
      <c r="F801" s="63" t="s">
        <v>56</v>
      </c>
      <c r="G801" s="71"/>
      <c r="H801" s="71"/>
      <c r="I801" s="66"/>
      <c r="J801" s="68"/>
      <c r="K801" s="68"/>
      <c r="L801" s="68"/>
      <c r="M801" s="68"/>
      <c r="N801" s="67"/>
      <c r="O801" s="88"/>
      <c r="P801" s="88"/>
      <c r="Q801" s="90"/>
      <c r="R801" s="72"/>
      <c r="S801" s="72"/>
      <c r="T801" s="72"/>
      <c r="U801" s="72"/>
      <c r="V801" s="72"/>
      <c r="W801" s="72"/>
      <c r="X801" s="72"/>
      <c r="Y801" s="72"/>
    </row>
    <row r="802">
      <c r="A802" s="60"/>
      <c r="B802" s="61"/>
      <c r="C802" s="63"/>
      <c r="D802" s="79"/>
      <c r="E802" s="74" t="s">
        <v>56</v>
      </c>
      <c r="F802" s="63" t="s">
        <v>56</v>
      </c>
      <c r="G802" s="71"/>
      <c r="H802" s="71"/>
      <c r="I802" s="66"/>
      <c r="J802" s="68"/>
      <c r="K802" s="68"/>
      <c r="L802" s="68"/>
      <c r="M802" s="68"/>
      <c r="N802" s="67"/>
      <c r="O802" s="88"/>
      <c r="P802" s="88"/>
      <c r="Q802" s="90"/>
      <c r="R802" s="72"/>
      <c r="S802" s="72"/>
      <c r="T802" s="72"/>
      <c r="U802" s="72"/>
      <c r="V802" s="72"/>
      <c r="W802" s="72"/>
      <c r="X802" s="72"/>
      <c r="Y802" s="72"/>
    </row>
    <row r="803">
      <c r="A803" s="60"/>
      <c r="B803" s="61"/>
      <c r="C803" s="63"/>
      <c r="D803" s="79"/>
      <c r="E803" s="74" t="s">
        <v>56</v>
      </c>
      <c r="F803" s="63" t="s">
        <v>56</v>
      </c>
      <c r="G803" s="71"/>
      <c r="H803" s="71"/>
      <c r="I803" s="66"/>
      <c r="J803" s="68"/>
      <c r="K803" s="68"/>
      <c r="L803" s="68"/>
      <c r="M803" s="68"/>
      <c r="N803" s="67"/>
      <c r="O803" s="88"/>
      <c r="P803" s="88"/>
      <c r="Q803" s="90"/>
      <c r="R803" s="72"/>
      <c r="S803" s="72"/>
      <c r="T803" s="72"/>
      <c r="U803" s="72"/>
      <c r="V803" s="72"/>
      <c r="W803" s="72"/>
      <c r="X803" s="72"/>
      <c r="Y803" s="72"/>
    </row>
    <row r="804">
      <c r="A804" s="60"/>
      <c r="B804" s="61"/>
      <c r="C804" s="63"/>
      <c r="D804" s="79"/>
      <c r="E804" s="74" t="s">
        <v>56</v>
      </c>
      <c r="F804" s="63" t="s">
        <v>56</v>
      </c>
      <c r="G804" s="71"/>
      <c r="H804" s="71"/>
      <c r="I804" s="66"/>
      <c r="J804" s="68"/>
      <c r="K804" s="68"/>
      <c r="L804" s="68"/>
      <c r="M804" s="68"/>
      <c r="N804" s="67"/>
      <c r="O804" s="88"/>
      <c r="P804" s="88"/>
      <c r="Q804" s="90"/>
      <c r="R804" s="72"/>
      <c r="S804" s="72"/>
      <c r="T804" s="72"/>
      <c r="U804" s="72"/>
      <c r="V804" s="72"/>
      <c r="W804" s="72"/>
      <c r="X804" s="72"/>
      <c r="Y804" s="72"/>
    </row>
    <row r="805">
      <c r="A805" s="60"/>
      <c r="B805" s="61"/>
      <c r="C805" s="63"/>
      <c r="D805" s="79"/>
      <c r="E805" s="74" t="s">
        <v>56</v>
      </c>
      <c r="F805" s="63" t="s">
        <v>56</v>
      </c>
      <c r="G805" s="71"/>
      <c r="H805" s="71"/>
      <c r="I805" s="66"/>
      <c r="J805" s="68"/>
      <c r="K805" s="68"/>
      <c r="L805" s="68"/>
      <c r="M805" s="68"/>
      <c r="N805" s="67"/>
      <c r="O805" s="88"/>
      <c r="P805" s="88"/>
      <c r="Q805" s="90"/>
      <c r="R805" s="72"/>
      <c r="S805" s="72"/>
      <c r="T805" s="72"/>
      <c r="U805" s="72"/>
      <c r="V805" s="72"/>
      <c r="W805" s="72"/>
      <c r="X805" s="72"/>
      <c r="Y805" s="72"/>
    </row>
    <row r="806">
      <c r="A806" s="60"/>
      <c r="B806" s="61"/>
      <c r="C806" s="63"/>
      <c r="D806" s="79"/>
      <c r="E806" s="74" t="s">
        <v>56</v>
      </c>
      <c r="F806" s="63" t="s">
        <v>56</v>
      </c>
      <c r="G806" s="71"/>
      <c r="H806" s="71"/>
      <c r="I806" s="66"/>
      <c r="J806" s="68"/>
      <c r="K806" s="68"/>
      <c r="L806" s="68"/>
      <c r="M806" s="68"/>
      <c r="N806" s="67"/>
      <c r="O806" s="88"/>
      <c r="P806" s="88"/>
      <c r="Q806" s="90"/>
      <c r="R806" s="72"/>
      <c r="S806" s="72"/>
      <c r="T806" s="72"/>
      <c r="U806" s="72"/>
      <c r="V806" s="72"/>
      <c r="W806" s="72"/>
      <c r="X806" s="72"/>
      <c r="Y806" s="72"/>
    </row>
    <row r="807">
      <c r="A807" s="60"/>
      <c r="B807" s="61"/>
      <c r="C807" s="63"/>
      <c r="D807" s="79"/>
      <c r="E807" s="74" t="s">
        <v>56</v>
      </c>
      <c r="F807" s="63" t="s">
        <v>56</v>
      </c>
      <c r="G807" s="71"/>
      <c r="H807" s="71"/>
      <c r="I807" s="66"/>
      <c r="J807" s="68"/>
      <c r="K807" s="68"/>
      <c r="L807" s="68"/>
      <c r="M807" s="68"/>
      <c r="N807" s="67"/>
      <c r="O807" s="88"/>
      <c r="P807" s="88"/>
      <c r="Q807" s="90"/>
      <c r="R807" s="72"/>
      <c r="S807" s="72"/>
      <c r="T807" s="72"/>
      <c r="U807" s="72"/>
      <c r="V807" s="72"/>
      <c r="W807" s="72"/>
      <c r="X807" s="72"/>
      <c r="Y807" s="72"/>
    </row>
    <row r="808">
      <c r="A808" s="60"/>
      <c r="B808" s="61"/>
      <c r="C808" s="63"/>
      <c r="D808" s="79"/>
      <c r="E808" s="74" t="s">
        <v>56</v>
      </c>
      <c r="F808" s="63" t="s">
        <v>56</v>
      </c>
      <c r="G808" s="71"/>
      <c r="H808" s="71"/>
      <c r="I808" s="66"/>
      <c r="J808" s="68"/>
      <c r="K808" s="68"/>
      <c r="L808" s="68"/>
      <c r="M808" s="68"/>
      <c r="N808" s="67"/>
      <c r="O808" s="88"/>
      <c r="P808" s="88"/>
      <c r="Q808" s="90"/>
      <c r="R808" s="72"/>
      <c r="S808" s="72"/>
      <c r="T808" s="72"/>
      <c r="U808" s="72"/>
      <c r="V808" s="72"/>
      <c r="W808" s="72"/>
      <c r="X808" s="72"/>
      <c r="Y808" s="72"/>
    </row>
    <row r="809">
      <c r="A809" s="60"/>
      <c r="B809" s="61"/>
      <c r="C809" s="63"/>
      <c r="D809" s="79"/>
      <c r="E809" s="74" t="s">
        <v>56</v>
      </c>
      <c r="F809" s="63" t="s">
        <v>56</v>
      </c>
      <c r="G809" s="71"/>
      <c r="H809" s="71"/>
      <c r="I809" s="66"/>
      <c r="J809" s="68"/>
      <c r="K809" s="68"/>
      <c r="L809" s="68"/>
      <c r="M809" s="68"/>
      <c r="N809" s="67"/>
      <c r="O809" s="88"/>
      <c r="P809" s="88"/>
      <c r="Q809" s="90"/>
      <c r="R809" s="72"/>
      <c r="S809" s="72"/>
      <c r="T809" s="72"/>
      <c r="U809" s="72"/>
      <c r="V809" s="72"/>
      <c r="W809" s="72"/>
      <c r="X809" s="72"/>
      <c r="Y809" s="72"/>
    </row>
    <row r="810">
      <c r="A810" s="60"/>
      <c r="B810" s="61"/>
      <c r="C810" s="63"/>
      <c r="D810" s="79"/>
      <c r="E810" s="74" t="s">
        <v>56</v>
      </c>
      <c r="F810" s="63" t="s">
        <v>56</v>
      </c>
      <c r="G810" s="71"/>
      <c r="H810" s="71"/>
      <c r="I810" s="66"/>
      <c r="J810" s="68"/>
      <c r="K810" s="68"/>
      <c r="L810" s="68"/>
      <c r="M810" s="68"/>
      <c r="N810" s="67"/>
      <c r="O810" s="88"/>
      <c r="P810" s="88"/>
      <c r="Q810" s="90"/>
      <c r="R810" s="72"/>
      <c r="S810" s="72"/>
      <c r="T810" s="72"/>
      <c r="U810" s="72"/>
      <c r="V810" s="72"/>
      <c r="W810" s="72"/>
      <c r="X810" s="72"/>
      <c r="Y810" s="72"/>
    </row>
    <row r="811">
      <c r="A811" s="60"/>
      <c r="B811" s="61"/>
      <c r="C811" s="63"/>
      <c r="D811" s="79"/>
      <c r="E811" s="74" t="s">
        <v>56</v>
      </c>
      <c r="F811" s="63" t="s">
        <v>56</v>
      </c>
      <c r="G811" s="71"/>
      <c r="H811" s="71"/>
      <c r="I811" s="66"/>
      <c r="J811" s="68"/>
      <c r="K811" s="68"/>
      <c r="L811" s="68"/>
      <c r="M811" s="68"/>
      <c r="N811" s="67"/>
      <c r="O811" s="88"/>
      <c r="P811" s="88"/>
      <c r="Q811" s="90"/>
      <c r="R811" s="72"/>
      <c r="S811" s="72"/>
      <c r="T811" s="72"/>
      <c r="U811" s="72"/>
      <c r="V811" s="72"/>
      <c r="W811" s="72"/>
      <c r="X811" s="72"/>
      <c r="Y811" s="72"/>
    </row>
    <row r="812">
      <c r="A812" s="60"/>
      <c r="B812" s="61"/>
      <c r="C812" s="63"/>
      <c r="D812" s="79"/>
      <c r="E812" s="74" t="s">
        <v>56</v>
      </c>
      <c r="F812" s="63" t="s">
        <v>56</v>
      </c>
      <c r="G812" s="71"/>
      <c r="H812" s="71"/>
      <c r="I812" s="66"/>
      <c r="J812" s="68"/>
      <c r="K812" s="68"/>
      <c r="L812" s="68"/>
      <c r="M812" s="68"/>
      <c r="N812" s="67"/>
      <c r="O812" s="88"/>
      <c r="P812" s="88"/>
      <c r="Q812" s="90"/>
      <c r="R812" s="72"/>
      <c r="S812" s="72"/>
      <c r="T812" s="72"/>
      <c r="U812" s="72"/>
      <c r="V812" s="72"/>
      <c r="W812" s="72"/>
      <c r="X812" s="72"/>
      <c r="Y812" s="72"/>
    </row>
    <row r="813">
      <c r="A813" s="60"/>
      <c r="B813" s="61"/>
      <c r="C813" s="63"/>
      <c r="D813" s="79"/>
      <c r="E813" s="74" t="s">
        <v>56</v>
      </c>
      <c r="F813" s="63" t="s">
        <v>56</v>
      </c>
      <c r="G813" s="71"/>
      <c r="H813" s="71"/>
      <c r="I813" s="66"/>
      <c r="J813" s="68"/>
      <c r="K813" s="68"/>
      <c r="L813" s="68"/>
      <c r="M813" s="68"/>
      <c r="N813" s="67"/>
      <c r="O813" s="88"/>
      <c r="P813" s="88"/>
      <c r="Q813" s="90"/>
      <c r="R813" s="72"/>
      <c r="S813" s="72"/>
      <c r="T813" s="72"/>
      <c r="U813" s="72"/>
      <c r="V813" s="72"/>
      <c r="W813" s="72"/>
      <c r="X813" s="72"/>
      <c r="Y813" s="72"/>
    </row>
    <row r="814">
      <c r="A814" s="60"/>
      <c r="B814" s="61"/>
      <c r="C814" s="63"/>
      <c r="D814" s="79"/>
      <c r="E814" s="74" t="s">
        <v>56</v>
      </c>
      <c r="F814" s="63" t="s">
        <v>56</v>
      </c>
      <c r="G814" s="71"/>
      <c r="H814" s="71"/>
      <c r="I814" s="66"/>
      <c r="J814" s="68"/>
      <c r="K814" s="68"/>
      <c r="L814" s="68"/>
      <c r="M814" s="68"/>
      <c r="N814" s="67"/>
      <c r="O814" s="88"/>
      <c r="P814" s="88"/>
      <c r="Q814" s="90"/>
      <c r="R814" s="72"/>
      <c r="S814" s="72"/>
      <c r="T814" s="72"/>
      <c r="U814" s="72"/>
      <c r="V814" s="72"/>
      <c r="W814" s="72"/>
      <c r="X814" s="72"/>
      <c r="Y814" s="72"/>
    </row>
    <row r="815">
      <c r="A815" s="60"/>
      <c r="B815" s="61"/>
      <c r="C815" s="63"/>
      <c r="D815" s="79"/>
      <c r="E815" s="74" t="s">
        <v>56</v>
      </c>
      <c r="F815" s="63" t="s">
        <v>56</v>
      </c>
      <c r="G815" s="71"/>
      <c r="H815" s="71"/>
      <c r="I815" s="66"/>
      <c r="J815" s="68"/>
      <c r="K815" s="68"/>
      <c r="L815" s="68"/>
      <c r="M815" s="68"/>
      <c r="N815" s="67"/>
      <c r="O815" s="88"/>
      <c r="P815" s="88"/>
      <c r="Q815" s="90"/>
      <c r="R815" s="72"/>
      <c r="S815" s="72"/>
      <c r="T815" s="72"/>
      <c r="U815" s="72"/>
      <c r="V815" s="72"/>
      <c r="W815" s="72"/>
      <c r="X815" s="72"/>
      <c r="Y815" s="72"/>
    </row>
    <row r="816">
      <c r="A816" s="60"/>
      <c r="B816" s="61"/>
      <c r="C816" s="63"/>
      <c r="D816" s="79"/>
      <c r="E816" s="74" t="s">
        <v>56</v>
      </c>
      <c r="F816" s="63" t="s">
        <v>56</v>
      </c>
      <c r="G816" s="71"/>
      <c r="H816" s="71"/>
      <c r="I816" s="66"/>
      <c r="J816" s="68"/>
      <c r="K816" s="68"/>
      <c r="L816" s="68"/>
      <c r="M816" s="68"/>
      <c r="N816" s="67"/>
      <c r="O816" s="88"/>
      <c r="P816" s="88"/>
      <c r="Q816" s="90"/>
      <c r="R816" s="72"/>
      <c r="S816" s="72"/>
      <c r="T816" s="72"/>
      <c r="U816" s="72"/>
      <c r="V816" s="72"/>
      <c r="W816" s="72"/>
      <c r="X816" s="72"/>
      <c r="Y816" s="72"/>
    </row>
    <row r="817">
      <c r="A817" s="60"/>
      <c r="B817" s="61"/>
      <c r="C817" s="63"/>
      <c r="D817" s="79"/>
      <c r="E817" s="74" t="s">
        <v>56</v>
      </c>
      <c r="F817" s="63" t="s">
        <v>56</v>
      </c>
      <c r="G817" s="71"/>
      <c r="H817" s="71"/>
      <c r="I817" s="66"/>
      <c r="J817" s="68"/>
      <c r="K817" s="68"/>
      <c r="L817" s="68"/>
      <c r="M817" s="68"/>
      <c r="N817" s="67"/>
      <c r="O817" s="88"/>
      <c r="P817" s="88"/>
      <c r="Q817" s="90"/>
      <c r="R817" s="72"/>
      <c r="S817" s="72"/>
      <c r="T817" s="72"/>
      <c r="U817" s="72"/>
      <c r="V817" s="72"/>
      <c r="W817" s="72"/>
      <c r="X817" s="72"/>
      <c r="Y817" s="72"/>
    </row>
    <row r="818">
      <c r="A818" s="60"/>
      <c r="B818" s="61"/>
      <c r="C818" s="63"/>
      <c r="D818" s="79"/>
      <c r="E818" s="74" t="s">
        <v>56</v>
      </c>
      <c r="F818" s="63" t="s">
        <v>56</v>
      </c>
      <c r="G818" s="71"/>
      <c r="H818" s="71"/>
      <c r="I818" s="66"/>
      <c r="J818" s="68"/>
      <c r="K818" s="68"/>
      <c r="L818" s="68"/>
      <c r="M818" s="68"/>
      <c r="N818" s="67"/>
      <c r="O818" s="88"/>
      <c r="P818" s="88"/>
      <c r="Q818" s="90"/>
      <c r="R818" s="72"/>
      <c r="S818" s="72"/>
      <c r="T818" s="72"/>
      <c r="U818" s="72"/>
      <c r="V818" s="72"/>
      <c r="W818" s="72"/>
      <c r="X818" s="72"/>
      <c r="Y818" s="72"/>
    </row>
    <row r="819">
      <c r="A819" s="60"/>
      <c r="B819" s="61"/>
      <c r="C819" s="63"/>
      <c r="D819" s="79"/>
      <c r="E819" s="74" t="s">
        <v>56</v>
      </c>
      <c r="F819" s="63" t="s">
        <v>56</v>
      </c>
      <c r="G819" s="71"/>
      <c r="H819" s="71"/>
      <c r="I819" s="66"/>
      <c r="J819" s="68"/>
      <c r="K819" s="68"/>
      <c r="L819" s="68"/>
      <c r="M819" s="68"/>
      <c r="N819" s="67"/>
      <c r="O819" s="88"/>
      <c r="P819" s="88"/>
      <c r="Q819" s="90"/>
      <c r="R819" s="72"/>
      <c r="S819" s="72"/>
      <c r="T819" s="72"/>
      <c r="U819" s="72"/>
      <c r="V819" s="72"/>
      <c r="W819" s="72"/>
      <c r="X819" s="72"/>
      <c r="Y819" s="72"/>
    </row>
    <row r="820">
      <c r="A820" s="60"/>
      <c r="B820" s="61"/>
      <c r="C820" s="63"/>
      <c r="D820" s="79"/>
      <c r="E820" s="74" t="s">
        <v>56</v>
      </c>
      <c r="F820" s="63" t="s">
        <v>56</v>
      </c>
      <c r="G820" s="71"/>
      <c r="H820" s="71"/>
      <c r="I820" s="66"/>
      <c r="J820" s="68"/>
      <c r="K820" s="68"/>
      <c r="L820" s="68"/>
      <c r="M820" s="68"/>
      <c r="N820" s="67"/>
      <c r="O820" s="88"/>
      <c r="P820" s="88"/>
      <c r="Q820" s="90"/>
      <c r="R820" s="72"/>
      <c r="S820" s="72"/>
      <c r="T820" s="72"/>
      <c r="U820" s="72"/>
      <c r="V820" s="72"/>
      <c r="W820" s="72"/>
      <c r="X820" s="72"/>
      <c r="Y820" s="72"/>
    </row>
    <row r="821">
      <c r="A821" s="60"/>
      <c r="B821" s="61"/>
      <c r="C821" s="63"/>
      <c r="D821" s="79"/>
      <c r="E821" s="74" t="s">
        <v>56</v>
      </c>
      <c r="F821" s="63" t="s">
        <v>56</v>
      </c>
      <c r="G821" s="71"/>
      <c r="H821" s="71"/>
      <c r="I821" s="66"/>
      <c r="J821" s="68"/>
      <c r="K821" s="68"/>
      <c r="L821" s="68"/>
      <c r="M821" s="68"/>
      <c r="N821" s="67"/>
      <c r="O821" s="88"/>
      <c r="P821" s="88"/>
      <c r="Q821" s="90"/>
      <c r="R821" s="72"/>
      <c r="S821" s="72"/>
      <c r="T821" s="72"/>
      <c r="U821" s="72"/>
      <c r="V821" s="72"/>
      <c r="W821" s="72"/>
      <c r="X821" s="72"/>
      <c r="Y821" s="72"/>
    </row>
    <row r="822">
      <c r="A822" s="60"/>
      <c r="B822" s="61"/>
      <c r="C822" s="63"/>
      <c r="D822" s="79"/>
      <c r="E822" s="74" t="s">
        <v>56</v>
      </c>
      <c r="F822" s="63" t="s">
        <v>56</v>
      </c>
      <c r="G822" s="71"/>
      <c r="H822" s="71"/>
      <c r="I822" s="66"/>
      <c r="J822" s="68"/>
      <c r="K822" s="68"/>
      <c r="L822" s="68"/>
      <c r="M822" s="68"/>
      <c r="N822" s="67"/>
      <c r="O822" s="88"/>
      <c r="P822" s="88"/>
      <c r="Q822" s="90"/>
      <c r="R822" s="72"/>
      <c r="S822" s="72"/>
      <c r="T822" s="72"/>
      <c r="U822" s="72"/>
      <c r="V822" s="72"/>
      <c r="W822" s="72"/>
      <c r="X822" s="72"/>
      <c r="Y822" s="72"/>
    </row>
    <row r="823">
      <c r="A823" s="60"/>
      <c r="B823" s="61"/>
      <c r="C823" s="63"/>
      <c r="D823" s="79"/>
      <c r="E823" s="74" t="s">
        <v>56</v>
      </c>
      <c r="F823" s="63" t="s">
        <v>56</v>
      </c>
      <c r="G823" s="71"/>
      <c r="H823" s="71"/>
      <c r="I823" s="66"/>
      <c r="J823" s="68"/>
      <c r="K823" s="68"/>
      <c r="L823" s="68"/>
      <c r="M823" s="68"/>
      <c r="N823" s="67"/>
      <c r="O823" s="88"/>
      <c r="P823" s="88"/>
      <c r="Q823" s="90"/>
      <c r="R823" s="72"/>
      <c r="S823" s="72"/>
      <c r="T823" s="72"/>
      <c r="U823" s="72"/>
      <c r="V823" s="72"/>
      <c r="W823" s="72"/>
      <c r="X823" s="72"/>
      <c r="Y823" s="72"/>
    </row>
    <row r="824">
      <c r="A824" s="60"/>
      <c r="B824" s="61"/>
      <c r="C824" s="63"/>
      <c r="D824" s="79"/>
      <c r="E824" s="74" t="s">
        <v>56</v>
      </c>
      <c r="F824" s="63" t="s">
        <v>56</v>
      </c>
      <c r="G824" s="71"/>
      <c r="H824" s="71"/>
      <c r="I824" s="66"/>
      <c r="J824" s="68"/>
      <c r="K824" s="68"/>
      <c r="L824" s="68"/>
      <c r="M824" s="68"/>
      <c r="N824" s="67"/>
      <c r="O824" s="88"/>
      <c r="P824" s="88"/>
      <c r="Q824" s="90"/>
      <c r="R824" s="72"/>
      <c r="S824" s="72"/>
      <c r="T824" s="72"/>
      <c r="U824" s="72"/>
      <c r="V824" s="72"/>
      <c r="W824" s="72"/>
      <c r="X824" s="72"/>
      <c r="Y824" s="72"/>
    </row>
    <row r="825">
      <c r="A825" s="60"/>
      <c r="B825" s="61"/>
      <c r="C825" s="63"/>
      <c r="D825" s="79"/>
      <c r="E825" s="74" t="s">
        <v>56</v>
      </c>
      <c r="F825" s="63" t="s">
        <v>56</v>
      </c>
      <c r="G825" s="71"/>
      <c r="H825" s="71"/>
      <c r="I825" s="66"/>
      <c r="J825" s="68"/>
      <c r="K825" s="68"/>
      <c r="L825" s="68"/>
      <c r="M825" s="68"/>
      <c r="N825" s="67"/>
      <c r="O825" s="88"/>
      <c r="P825" s="88"/>
      <c r="Q825" s="90"/>
      <c r="R825" s="72"/>
      <c r="S825" s="72"/>
      <c r="T825" s="72"/>
      <c r="U825" s="72"/>
      <c r="V825" s="72"/>
      <c r="W825" s="72"/>
      <c r="X825" s="72"/>
      <c r="Y825" s="72"/>
    </row>
    <row r="826">
      <c r="A826" s="60"/>
      <c r="B826" s="61"/>
      <c r="C826" s="63"/>
      <c r="D826" s="79"/>
      <c r="E826" s="74" t="s">
        <v>56</v>
      </c>
      <c r="F826" s="63" t="s">
        <v>56</v>
      </c>
      <c r="G826" s="71"/>
      <c r="H826" s="71"/>
      <c r="I826" s="66"/>
      <c r="J826" s="68"/>
      <c r="K826" s="68"/>
      <c r="L826" s="68"/>
      <c r="M826" s="68"/>
      <c r="N826" s="67"/>
      <c r="O826" s="88"/>
      <c r="P826" s="88"/>
      <c r="Q826" s="90"/>
      <c r="R826" s="72"/>
      <c r="S826" s="72"/>
      <c r="T826" s="72"/>
      <c r="U826" s="72"/>
      <c r="V826" s="72"/>
      <c r="W826" s="72"/>
      <c r="X826" s="72"/>
      <c r="Y826" s="72"/>
    </row>
    <row r="827">
      <c r="A827" s="60"/>
      <c r="B827" s="61"/>
      <c r="C827" s="63"/>
      <c r="D827" s="79"/>
      <c r="E827" s="74" t="s">
        <v>56</v>
      </c>
      <c r="F827" s="63" t="s">
        <v>56</v>
      </c>
      <c r="G827" s="71"/>
      <c r="H827" s="71"/>
      <c r="I827" s="66"/>
      <c r="J827" s="68"/>
      <c r="K827" s="68"/>
      <c r="L827" s="68"/>
      <c r="M827" s="68"/>
      <c r="N827" s="67"/>
      <c r="O827" s="88"/>
      <c r="P827" s="88"/>
      <c r="Q827" s="90"/>
      <c r="R827" s="72"/>
      <c r="S827" s="72"/>
      <c r="T827" s="72"/>
      <c r="U827" s="72"/>
      <c r="V827" s="72"/>
      <c r="W827" s="72"/>
      <c r="X827" s="72"/>
      <c r="Y827" s="72"/>
    </row>
    <row r="828">
      <c r="A828" s="60"/>
      <c r="B828" s="61"/>
      <c r="C828" s="63"/>
      <c r="D828" s="79"/>
      <c r="E828" s="74" t="s">
        <v>56</v>
      </c>
      <c r="F828" s="63" t="s">
        <v>56</v>
      </c>
      <c r="G828" s="71"/>
      <c r="H828" s="71"/>
      <c r="I828" s="66"/>
      <c r="J828" s="68"/>
      <c r="K828" s="68"/>
      <c r="L828" s="68"/>
      <c r="M828" s="68"/>
      <c r="N828" s="67"/>
      <c r="O828" s="88"/>
      <c r="P828" s="88"/>
      <c r="Q828" s="90"/>
      <c r="R828" s="72"/>
      <c r="S828" s="72"/>
      <c r="T828" s="72"/>
      <c r="U828" s="72"/>
      <c r="V828" s="72"/>
      <c r="W828" s="72"/>
      <c r="X828" s="72"/>
      <c r="Y828" s="72"/>
    </row>
    <row r="829">
      <c r="A829" s="60"/>
      <c r="B829" s="61"/>
      <c r="C829" s="63"/>
      <c r="D829" s="79"/>
      <c r="E829" s="74" t="s">
        <v>56</v>
      </c>
      <c r="F829" s="63" t="s">
        <v>56</v>
      </c>
      <c r="G829" s="71"/>
      <c r="H829" s="71"/>
      <c r="I829" s="66"/>
      <c r="J829" s="68"/>
      <c r="K829" s="68"/>
      <c r="L829" s="68"/>
      <c r="M829" s="68"/>
      <c r="N829" s="67"/>
      <c r="O829" s="88"/>
      <c r="P829" s="88"/>
      <c r="Q829" s="90"/>
      <c r="R829" s="72"/>
      <c r="S829" s="72"/>
      <c r="T829" s="72"/>
      <c r="U829" s="72"/>
      <c r="V829" s="72"/>
      <c r="W829" s="72"/>
      <c r="X829" s="72"/>
      <c r="Y829" s="72"/>
    </row>
    <row r="830">
      <c r="A830" s="60"/>
      <c r="B830" s="61"/>
      <c r="C830" s="63"/>
      <c r="D830" s="79"/>
      <c r="E830" s="74" t="s">
        <v>56</v>
      </c>
      <c r="F830" s="63" t="s">
        <v>56</v>
      </c>
      <c r="G830" s="71"/>
      <c r="H830" s="71"/>
      <c r="I830" s="66"/>
      <c r="J830" s="68"/>
      <c r="K830" s="68"/>
      <c r="L830" s="68"/>
      <c r="M830" s="68"/>
      <c r="N830" s="67"/>
      <c r="O830" s="88"/>
      <c r="P830" s="88"/>
      <c r="Q830" s="90"/>
      <c r="R830" s="72"/>
      <c r="S830" s="72"/>
      <c r="T830" s="72"/>
      <c r="U830" s="72"/>
      <c r="V830" s="72"/>
      <c r="W830" s="72"/>
      <c r="X830" s="72"/>
      <c r="Y830" s="72"/>
    </row>
    <row r="831">
      <c r="A831" s="60"/>
      <c r="B831" s="61"/>
      <c r="C831" s="63"/>
      <c r="D831" s="79"/>
      <c r="E831" s="74" t="s">
        <v>56</v>
      </c>
      <c r="F831" s="63" t="s">
        <v>56</v>
      </c>
      <c r="G831" s="71"/>
      <c r="H831" s="71"/>
      <c r="I831" s="66"/>
      <c r="J831" s="68"/>
      <c r="K831" s="68"/>
      <c r="L831" s="68"/>
      <c r="M831" s="68"/>
      <c r="N831" s="67"/>
      <c r="O831" s="88"/>
      <c r="P831" s="88"/>
      <c r="Q831" s="90"/>
      <c r="R831" s="72"/>
      <c r="S831" s="72"/>
      <c r="T831" s="72"/>
      <c r="U831" s="72"/>
      <c r="V831" s="72"/>
      <c r="W831" s="72"/>
      <c r="X831" s="72"/>
      <c r="Y831" s="72"/>
    </row>
    <row r="832">
      <c r="A832" s="60"/>
      <c r="B832" s="61"/>
      <c r="C832" s="63"/>
      <c r="D832" s="79"/>
      <c r="E832" s="74" t="s">
        <v>56</v>
      </c>
      <c r="F832" s="63" t="s">
        <v>56</v>
      </c>
      <c r="G832" s="71"/>
      <c r="H832" s="71"/>
      <c r="I832" s="66"/>
      <c r="J832" s="68"/>
      <c r="K832" s="68"/>
      <c r="L832" s="68"/>
      <c r="M832" s="68"/>
      <c r="N832" s="67"/>
      <c r="O832" s="88"/>
      <c r="P832" s="88"/>
      <c r="Q832" s="90"/>
      <c r="R832" s="72"/>
      <c r="S832" s="72"/>
      <c r="T832" s="72"/>
      <c r="U832" s="72"/>
      <c r="V832" s="72"/>
      <c r="W832" s="72"/>
      <c r="X832" s="72"/>
      <c r="Y832" s="72"/>
    </row>
    <row r="833">
      <c r="A833" s="60"/>
      <c r="B833" s="61"/>
      <c r="C833" s="63"/>
      <c r="D833" s="79"/>
      <c r="E833" s="74" t="s">
        <v>56</v>
      </c>
      <c r="F833" s="63" t="s">
        <v>56</v>
      </c>
      <c r="G833" s="71"/>
      <c r="H833" s="71"/>
      <c r="I833" s="66"/>
      <c r="J833" s="68"/>
      <c r="K833" s="68"/>
      <c r="L833" s="68"/>
      <c r="M833" s="68"/>
      <c r="N833" s="67"/>
      <c r="O833" s="88"/>
      <c r="P833" s="88"/>
      <c r="Q833" s="90"/>
      <c r="R833" s="72"/>
      <c r="S833" s="72"/>
      <c r="T833" s="72"/>
      <c r="U833" s="72"/>
      <c r="V833" s="72"/>
      <c r="W833" s="72"/>
      <c r="X833" s="72"/>
      <c r="Y833" s="72"/>
    </row>
    <row r="834">
      <c r="A834" s="60"/>
      <c r="B834" s="61"/>
      <c r="C834" s="63"/>
      <c r="D834" s="79"/>
      <c r="E834" s="74" t="s">
        <v>56</v>
      </c>
      <c r="F834" s="63" t="s">
        <v>56</v>
      </c>
      <c r="G834" s="71"/>
      <c r="H834" s="71"/>
      <c r="I834" s="66"/>
      <c r="J834" s="68"/>
      <c r="K834" s="68"/>
      <c r="L834" s="68"/>
      <c r="M834" s="68"/>
      <c r="N834" s="67"/>
      <c r="O834" s="88"/>
      <c r="P834" s="88"/>
      <c r="Q834" s="90"/>
      <c r="R834" s="72"/>
      <c r="S834" s="72"/>
      <c r="T834" s="72"/>
      <c r="U834" s="72"/>
      <c r="V834" s="72"/>
      <c r="W834" s="72"/>
      <c r="X834" s="72"/>
      <c r="Y834" s="72"/>
    </row>
    <row r="835">
      <c r="A835" s="60"/>
      <c r="B835" s="61"/>
      <c r="C835" s="63"/>
      <c r="D835" s="79"/>
      <c r="E835" s="74" t="s">
        <v>56</v>
      </c>
      <c r="F835" s="63" t="s">
        <v>56</v>
      </c>
      <c r="G835" s="71"/>
      <c r="H835" s="71"/>
      <c r="I835" s="66"/>
      <c r="J835" s="68"/>
      <c r="K835" s="68"/>
      <c r="L835" s="68"/>
      <c r="M835" s="68"/>
      <c r="N835" s="67"/>
      <c r="O835" s="88"/>
      <c r="P835" s="88"/>
      <c r="Q835" s="90"/>
      <c r="R835" s="72"/>
      <c r="S835" s="72"/>
      <c r="T835" s="72"/>
      <c r="U835" s="72"/>
      <c r="V835" s="72"/>
      <c r="W835" s="72"/>
      <c r="X835" s="72"/>
      <c r="Y835" s="72"/>
    </row>
    <row r="836">
      <c r="A836" s="60"/>
      <c r="B836" s="61"/>
      <c r="C836" s="63"/>
      <c r="D836" s="79"/>
      <c r="E836" s="74" t="s">
        <v>56</v>
      </c>
      <c r="F836" s="63" t="s">
        <v>56</v>
      </c>
      <c r="G836" s="71"/>
      <c r="H836" s="71"/>
      <c r="I836" s="66"/>
      <c r="J836" s="68"/>
      <c r="K836" s="68"/>
      <c r="L836" s="68"/>
      <c r="M836" s="68"/>
      <c r="N836" s="67"/>
      <c r="O836" s="88"/>
      <c r="P836" s="88"/>
      <c r="Q836" s="90"/>
      <c r="R836" s="72"/>
      <c r="S836" s="72"/>
      <c r="T836" s="72"/>
      <c r="U836" s="72"/>
      <c r="V836" s="72"/>
      <c r="W836" s="72"/>
      <c r="X836" s="72"/>
      <c r="Y836" s="72"/>
    </row>
    <row r="837">
      <c r="A837" s="60"/>
      <c r="B837" s="61"/>
      <c r="C837" s="63"/>
      <c r="D837" s="79"/>
      <c r="E837" s="74" t="s">
        <v>56</v>
      </c>
      <c r="F837" s="63" t="s">
        <v>56</v>
      </c>
      <c r="G837" s="71"/>
      <c r="H837" s="71"/>
      <c r="I837" s="66"/>
      <c r="J837" s="68"/>
      <c r="K837" s="68"/>
      <c r="L837" s="68"/>
      <c r="M837" s="68"/>
      <c r="N837" s="67"/>
      <c r="O837" s="88"/>
      <c r="P837" s="88"/>
      <c r="Q837" s="90"/>
      <c r="R837" s="72"/>
      <c r="S837" s="72"/>
      <c r="T837" s="72"/>
      <c r="U837" s="72"/>
      <c r="V837" s="72"/>
      <c r="W837" s="72"/>
      <c r="X837" s="72"/>
      <c r="Y837" s="72"/>
    </row>
    <row r="838">
      <c r="A838" s="60"/>
      <c r="B838" s="61"/>
      <c r="C838" s="63"/>
      <c r="D838" s="79"/>
      <c r="E838" s="74" t="s">
        <v>56</v>
      </c>
      <c r="F838" s="63" t="s">
        <v>56</v>
      </c>
      <c r="G838" s="71"/>
      <c r="H838" s="71"/>
      <c r="I838" s="66"/>
      <c r="J838" s="68"/>
      <c r="K838" s="68"/>
      <c r="L838" s="68"/>
      <c r="M838" s="68"/>
      <c r="N838" s="67"/>
      <c r="O838" s="88"/>
      <c r="P838" s="88"/>
      <c r="Q838" s="90"/>
      <c r="R838" s="72"/>
      <c r="S838" s="72"/>
      <c r="T838" s="72"/>
      <c r="U838" s="72"/>
      <c r="V838" s="72"/>
      <c r="W838" s="72"/>
      <c r="X838" s="72"/>
      <c r="Y838" s="72"/>
    </row>
    <row r="839">
      <c r="A839" s="60"/>
      <c r="B839" s="61"/>
      <c r="C839" s="63"/>
      <c r="D839" s="79"/>
      <c r="E839" s="74" t="s">
        <v>56</v>
      </c>
      <c r="F839" s="63" t="s">
        <v>56</v>
      </c>
      <c r="G839" s="71"/>
      <c r="H839" s="71"/>
      <c r="I839" s="66"/>
      <c r="J839" s="68"/>
      <c r="K839" s="68"/>
      <c r="L839" s="68"/>
      <c r="M839" s="68"/>
      <c r="N839" s="67"/>
      <c r="O839" s="88"/>
      <c r="P839" s="88"/>
      <c r="Q839" s="90"/>
      <c r="R839" s="72"/>
      <c r="S839" s="72"/>
      <c r="T839" s="72"/>
      <c r="U839" s="72"/>
      <c r="V839" s="72"/>
      <c r="W839" s="72"/>
      <c r="X839" s="72"/>
      <c r="Y839" s="72"/>
    </row>
    <row r="840">
      <c r="A840" s="60"/>
      <c r="B840" s="61"/>
      <c r="C840" s="63"/>
      <c r="D840" s="79"/>
      <c r="E840" s="74" t="s">
        <v>56</v>
      </c>
      <c r="F840" s="63" t="s">
        <v>56</v>
      </c>
      <c r="G840" s="71"/>
      <c r="H840" s="71"/>
      <c r="I840" s="66"/>
      <c r="J840" s="68"/>
      <c r="K840" s="68"/>
      <c r="L840" s="68"/>
      <c r="M840" s="68"/>
      <c r="N840" s="67"/>
      <c r="O840" s="88"/>
      <c r="P840" s="88"/>
      <c r="Q840" s="90"/>
      <c r="R840" s="72"/>
      <c r="S840" s="72"/>
      <c r="T840" s="72"/>
      <c r="U840" s="72"/>
      <c r="V840" s="72"/>
      <c r="W840" s="72"/>
      <c r="X840" s="72"/>
      <c r="Y840" s="72"/>
    </row>
    <row r="841">
      <c r="A841" s="60"/>
      <c r="B841" s="61"/>
      <c r="C841" s="63"/>
      <c r="D841" s="79"/>
      <c r="E841" s="74" t="s">
        <v>56</v>
      </c>
      <c r="F841" s="63" t="s">
        <v>56</v>
      </c>
      <c r="G841" s="71"/>
      <c r="H841" s="71"/>
      <c r="I841" s="66"/>
      <c r="J841" s="68"/>
      <c r="K841" s="68"/>
      <c r="L841" s="68"/>
      <c r="M841" s="68"/>
      <c r="N841" s="67"/>
      <c r="O841" s="88"/>
      <c r="P841" s="88"/>
      <c r="Q841" s="90"/>
      <c r="R841" s="72"/>
      <c r="S841" s="72"/>
      <c r="T841" s="72"/>
      <c r="U841" s="72"/>
      <c r="V841" s="72"/>
      <c r="W841" s="72"/>
      <c r="X841" s="72"/>
      <c r="Y841" s="72"/>
    </row>
    <row r="842">
      <c r="A842" s="60"/>
      <c r="B842" s="61"/>
      <c r="C842" s="63"/>
      <c r="D842" s="79"/>
      <c r="E842" s="74" t="s">
        <v>56</v>
      </c>
      <c r="F842" s="63" t="s">
        <v>56</v>
      </c>
      <c r="G842" s="71"/>
      <c r="H842" s="71"/>
      <c r="I842" s="66"/>
      <c r="J842" s="68"/>
      <c r="K842" s="68"/>
      <c r="L842" s="68"/>
      <c r="M842" s="68"/>
      <c r="N842" s="67"/>
      <c r="O842" s="88"/>
      <c r="P842" s="88"/>
      <c r="Q842" s="90"/>
      <c r="R842" s="72"/>
      <c r="S842" s="72"/>
      <c r="T842" s="72"/>
      <c r="U842" s="72"/>
      <c r="V842" s="72"/>
      <c r="W842" s="72"/>
      <c r="X842" s="72"/>
      <c r="Y842" s="72"/>
    </row>
    <row r="843">
      <c r="A843" s="60"/>
      <c r="B843" s="61"/>
      <c r="C843" s="63"/>
      <c r="D843" s="79"/>
      <c r="E843" s="74" t="s">
        <v>56</v>
      </c>
      <c r="F843" s="63" t="s">
        <v>56</v>
      </c>
      <c r="G843" s="71"/>
      <c r="H843" s="71"/>
      <c r="I843" s="66"/>
      <c r="J843" s="68"/>
      <c r="K843" s="68"/>
      <c r="L843" s="68"/>
      <c r="M843" s="68"/>
      <c r="N843" s="67"/>
      <c r="O843" s="88"/>
      <c r="P843" s="88"/>
      <c r="Q843" s="90"/>
      <c r="R843" s="72"/>
      <c r="S843" s="72"/>
      <c r="T843" s="72"/>
      <c r="U843" s="72"/>
      <c r="V843" s="72"/>
      <c r="W843" s="72"/>
      <c r="X843" s="72"/>
      <c r="Y843" s="72"/>
    </row>
    <row r="844">
      <c r="A844" s="60"/>
      <c r="B844" s="61"/>
      <c r="C844" s="63"/>
      <c r="D844" s="79"/>
      <c r="E844" s="74" t="s">
        <v>56</v>
      </c>
      <c r="F844" s="63" t="s">
        <v>56</v>
      </c>
      <c r="G844" s="71"/>
      <c r="H844" s="71"/>
      <c r="I844" s="66"/>
      <c r="J844" s="68"/>
      <c r="K844" s="68"/>
      <c r="L844" s="68"/>
      <c r="M844" s="68"/>
      <c r="N844" s="67"/>
      <c r="O844" s="88"/>
      <c r="P844" s="88"/>
      <c r="Q844" s="90"/>
      <c r="R844" s="72"/>
      <c r="S844" s="72"/>
      <c r="T844" s="72"/>
      <c r="U844" s="72"/>
      <c r="V844" s="72"/>
      <c r="W844" s="72"/>
      <c r="X844" s="72"/>
      <c r="Y844" s="72"/>
    </row>
    <row r="845">
      <c r="A845" s="60"/>
      <c r="B845" s="61"/>
      <c r="C845" s="63"/>
      <c r="D845" s="79"/>
      <c r="E845" s="74" t="s">
        <v>56</v>
      </c>
      <c r="F845" s="63" t="s">
        <v>56</v>
      </c>
      <c r="G845" s="71"/>
      <c r="H845" s="71"/>
      <c r="I845" s="66"/>
      <c r="J845" s="68"/>
      <c r="K845" s="68"/>
      <c r="L845" s="68"/>
      <c r="M845" s="68"/>
      <c r="N845" s="67"/>
      <c r="O845" s="88"/>
      <c r="P845" s="88"/>
      <c r="Q845" s="90"/>
      <c r="R845" s="72"/>
      <c r="S845" s="72"/>
      <c r="T845" s="72"/>
      <c r="U845" s="72"/>
      <c r="V845" s="72"/>
      <c r="W845" s="72"/>
      <c r="X845" s="72"/>
      <c r="Y845" s="72"/>
    </row>
    <row r="846">
      <c r="A846" s="60"/>
      <c r="B846" s="61"/>
      <c r="C846" s="63"/>
      <c r="D846" s="79"/>
      <c r="E846" s="74" t="s">
        <v>56</v>
      </c>
      <c r="F846" s="63" t="s">
        <v>56</v>
      </c>
      <c r="G846" s="71"/>
      <c r="H846" s="71"/>
      <c r="I846" s="66"/>
      <c r="J846" s="68"/>
      <c r="K846" s="68"/>
      <c r="L846" s="68"/>
      <c r="M846" s="68"/>
      <c r="N846" s="67"/>
      <c r="O846" s="88"/>
      <c r="P846" s="88"/>
      <c r="Q846" s="90"/>
      <c r="R846" s="72"/>
      <c r="S846" s="72"/>
      <c r="T846" s="72"/>
      <c r="U846" s="72"/>
      <c r="V846" s="72"/>
      <c r="W846" s="72"/>
      <c r="X846" s="72"/>
      <c r="Y846" s="72"/>
    </row>
    <row r="847">
      <c r="A847" s="60"/>
      <c r="B847" s="61"/>
      <c r="C847" s="63"/>
      <c r="D847" s="79"/>
      <c r="E847" s="74" t="s">
        <v>56</v>
      </c>
      <c r="F847" s="63" t="s">
        <v>56</v>
      </c>
      <c r="G847" s="71"/>
      <c r="H847" s="71"/>
      <c r="I847" s="66"/>
      <c r="J847" s="68"/>
      <c r="K847" s="68"/>
      <c r="L847" s="68"/>
      <c r="M847" s="68"/>
      <c r="N847" s="67"/>
      <c r="O847" s="88"/>
      <c r="P847" s="88"/>
      <c r="Q847" s="90"/>
      <c r="R847" s="72"/>
      <c r="S847" s="72"/>
      <c r="T847" s="72"/>
      <c r="U847" s="72"/>
      <c r="V847" s="72"/>
      <c r="W847" s="72"/>
      <c r="X847" s="72"/>
      <c r="Y847" s="72"/>
    </row>
    <row r="848">
      <c r="A848" s="60"/>
      <c r="B848" s="61"/>
      <c r="C848" s="63"/>
      <c r="D848" s="79"/>
      <c r="E848" s="74" t="s">
        <v>56</v>
      </c>
      <c r="F848" s="63" t="s">
        <v>56</v>
      </c>
      <c r="G848" s="71"/>
      <c r="H848" s="71"/>
      <c r="I848" s="66"/>
      <c r="J848" s="68"/>
      <c r="K848" s="68"/>
      <c r="L848" s="68"/>
      <c r="M848" s="68"/>
      <c r="N848" s="67"/>
      <c r="O848" s="88"/>
      <c r="P848" s="88"/>
      <c r="Q848" s="90"/>
      <c r="R848" s="72"/>
      <c r="S848" s="72"/>
      <c r="T848" s="72"/>
      <c r="U848" s="72"/>
      <c r="V848" s="72"/>
      <c r="W848" s="72"/>
      <c r="X848" s="72"/>
      <c r="Y848" s="72"/>
    </row>
    <row r="849">
      <c r="A849" s="60"/>
      <c r="B849" s="61"/>
      <c r="C849" s="63"/>
      <c r="D849" s="79"/>
      <c r="E849" s="74" t="s">
        <v>56</v>
      </c>
      <c r="F849" s="63" t="s">
        <v>56</v>
      </c>
      <c r="G849" s="71"/>
      <c r="H849" s="71"/>
      <c r="I849" s="66"/>
      <c r="J849" s="68"/>
      <c r="K849" s="68"/>
      <c r="L849" s="68"/>
      <c r="M849" s="68"/>
      <c r="N849" s="67"/>
      <c r="O849" s="88"/>
      <c r="P849" s="88"/>
      <c r="Q849" s="90"/>
      <c r="R849" s="72"/>
      <c r="S849" s="72"/>
      <c r="T849" s="72"/>
      <c r="U849" s="72"/>
      <c r="V849" s="72"/>
      <c r="W849" s="72"/>
      <c r="X849" s="72"/>
      <c r="Y849" s="72"/>
    </row>
    <row r="850">
      <c r="A850" s="60"/>
      <c r="B850" s="61"/>
      <c r="C850" s="63"/>
      <c r="D850" s="79"/>
      <c r="E850" s="74" t="s">
        <v>56</v>
      </c>
      <c r="F850" s="63" t="s">
        <v>56</v>
      </c>
      <c r="G850" s="71"/>
      <c r="H850" s="71"/>
      <c r="I850" s="66"/>
      <c r="J850" s="68"/>
      <c r="K850" s="68"/>
      <c r="L850" s="68"/>
      <c r="M850" s="68"/>
      <c r="N850" s="67"/>
      <c r="O850" s="88"/>
      <c r="P850" s="88"/>
      <c r="Q850" s="90"/>
      <c r="R850" s="72"/>
      <c r="S850" s="72"/>
      <c r="T850" s="72"/>
      <c r="U850" s="72"/>
      <c r="V850" s="72"/>
      <c r="W850" s="72"/>
      <c r="X850" s="72"/>
      <c r="Y850" s="72"/>
    </row>
    <row r="851">
      <c r="A851" s="60"/>
      <c r="B851" s="61"/>
      <c r="C851" s="63"/>
      <c r="D851" s="79"/>
      <c r="E851" s="74" t="s">
        <v>56</v>
      </c>
      <c r="F851" s="63" t="s">
        <v>56</v>
      </c>
      <c r="G851" s="71"/>
      <c r="H851" s="71"/>
      <c r="I851" s="66"/>
      <c r="J851" s="68"/>
      <c r="K851" s="68"/>
      <c r="L851" s="68"/>
      <c r="M851" s="68"/>
      <c r="N851" s="67"/>
      <c r="O851" s="88"/>
      <c r="P851" s="88"/>
      <c r="Q851" s="90"/>
      <c r="R851" s="72"/>
      <c r="S851" s="72"/>
      <c r="T851" s="72"/>
      <c r="U851" s="72"/>
      <c r="V851" s="72"/>
      <c r="W851" s="72"/>
      <c r="X851" s="72"/>
      <c r="Y851" s="72"/>
    </row>
    <row r="852">
      <c r="A852" s="60"/>
      <c r="B852" s="61"/>
      <c r="C852" s="63"/>
      <c r="D852" s="79"/>
      <c r="E852" s="74" t="s">
        <v>56</v>
      </c>
      <c r="F852" s="63" t="s">
        <v>56</v>
      </c>
      <c r="G852" s="71"/>
      <c r="H852" s="71"/>
      <c r="I852" s="66"/>
      <c r="J852" s="68"/>
      <c r="K852" s="68"/>
      <c r="L852" s="68"/>
      <c r="M852" s="68"/>
      <c r="N852" s="67"/>
      <c r="O852" s="88"/>
      <c r="P852" s="88"/>
      <c r="Q852" s="90"/>
      <c r="R852" s="72"/>
      <c r="S852" s="72"/>
      <c r="T852" s="72"/>
      <c r="U852" s="72"/>
      <c r="V852" s="72"/>
      <c r="W852" s="72"/>
      <c r="X852" s="72"/>
      <c r="Y852" s="72"/>
    </row>
    <row r="853">
      <c r="A853" s="60"/>
      <c r="B853" s="61"/>
      <c r="C853" s="63"/>
      <c r="D853" s="79"/>
      <c r="E853" s="74" t="s">
        <v>56</v>
      </c>
      <c r="F853" s="63" t="s">
        <v>56</v>
      </c>
      <c r="G853" s="71"/>
      <c r="H853" s="71"/>
      <c r="I853" s="66"/>
      <c r="J853" s="68"/>
      <c r="K853" s="68"/>
      <c r="L853" s="68"/>
      <c r="M853" s="68"/>
      <c r="N853" s="67"/>
      <c r="O853" s="88"/>
      <c r="P853" s="88"/>
      <c r="Q853" s="90"/>
      <c r="R853" s="72"/>
      <c r="S853" s="72"/>
      <c r="T853" s="72"/>
      <c r="U853" s="72"/>
      <c r="V853" s="72"/>
      <c r="W853" s="72"/>
      <c r="X853" s="72"/>
      <c r="Y853" s="72"/>
    </row>
    <row r="854">
      <c r="A854" s="60"/>
      <c r="B854" s="61"/>
      <c r="C854" s="63"/>
      <c r="D854" s="79"/>
      <c r="E854" s="74" t="s">
        <v>56</v>
      </c>
      <c r="F854" s="63" t="s">
        <v>56</v>
      </c>
      <c r="G854" s="71"/>
      <c r="H854" s="71"/>
      <c r="I854" s="66"/>
      <c r="J854" s="68"/>
      <c r="K854" s="68"/>
      <c r="L854" s="68"/>
      <c r="M854" s="68"/>
      <c r="N854" s="67"/>
      <c r="O854" s="88"/>
      <c r="P854" s="88"/>
      <c r="Q854" s="90"/>
      <c r="R854" s="72"/>
      <c r="S854" s="72"/>
      <c r="T854" s="72"/>
      <c r="U854" s="72"/>
      <c r="V854" s="72"/>
      <c r="W854" s="72"/>
      <c r="X854" s="72"/>
      <c r="Y854" s="72"/>
    </row>
    <row r="855">
      <c r="A855" s="60"/>
      <c r="B855" s="61"/>
      <c r="C855" s="63"/>
      <c r="D855" s="79"/>
      <c r="E855" s="74" t="s">
        <v>56</v>
      </c>
      <c r="F855" s="63" t="s">
        <v>56</v>
      </c>
      <c r="G855" s="71"/>
      <c r="H855" s="71"/>
      <c r="I855" s="66"/>
      <c r="J855" s="68"/>
      <c r="K855" s="68"/>
      <c r="L855" s="68"/>
      <c r="M855" s="68"/>
      <c r="N855" s="67"/>
      <c r="O855" s="88"/>
      <c r="P855" s="88"/>
      <c r="Q855" s="90"/>
      <c r="R855" s="72"/>
      <c r="S855" s="72"/>
      <c r="T855" s="72"/>
      <c r="U855" s="72"/>
      <c r="V855" s="72"/>
      <c r="W855" s="72"/>
      <c r="X855" s="72"/>
      <c r="Y855" s="72"/>
    </row>
    <row r="856">
      <c r="A856" s="60"/>
      <c r="B856" s="61"/>
      <c r="C856" s="63"/>
      <c r="D856" s="79"/>
      <c r="E856" s="74" t="s">
        <v>56</v>
      </c>
      <c r="F856" s="63" t="s">
        <v>56</v>
      </c>
      <c r="G856" s="71"/>
      <c r="H856" s="71"/>
      <c r="I856" s="66"/>
      <c r="J856" s="68"/>
      <c r="K856" s="68"/>
      <c r="L856" s="68"/>
      <c r="M856" s="68"/>
      <c r="N856" s="67"/>
      <c r="O856" s="88"/>
      <c r="P856" s="88"/>
      <c r="Q856" s="90"/>
      <c r="R856" s="72"/>
      <c r="S856" s="72"/>
      <c r="T856" s="72"/>
      <c r="U856" s="72"/>
      <c r="V856" s="72"/>
      <c r="W856" s="72"/>
      <c r="X856" s="72"/>
      <c r="Y856" s="72"/>
    </row>
    <row r="857">
      <c r="A857" s="60"/>
      <c r="B857" s="61"/>
      <c r="C857" s="63"/>
      <c r="D857" s="79"/>
      <c r="E857" s="74" t="s">
        <v>56</v>
      </c>
      <c r="F857" s="63" t="s">
        <v>56</v>
      </c>
      <c r="G857" s="71"/>
      <c r="H857" s="71"/>
      <c r="I857" s="66"/>
      <c r="J857" s="68"/>
      <c r="K857" s="68"/>
      <c r="L857" s="68"/>
      <c r="M857" s="68"/>
      <c r="N857" s="67"/>
      <c r="O857" s="88"/>
      <c r="P857" s="88"/>
      <c r="Q857" s="90"/>
      <c r="R857" s="72"/>
      <c r="S857" s="72"/>
      <c r="T857" s="72"/>
      <c r="U857" s="72"/>
      <c r="V857" s="72"/>
      <c r="W857" s="72"/>
      <c r="X857" s="72"/>
      <c r="Y857" s="72"/>
    </row>
    <row r="858">
      <c r="A858" s="60"/>
      <c r="B858" s="61"/>
      <c r="C858" s="63"/>
      <c r="D858" s="79"/>
      <c r="E858" s="74" t="s">
        <v>56</v>
      </c>
      <c r="F858" s="63" t="s">
        <v>56</v>
      </c>
      <c r="G858" s="71"/>
      <c r="H858" s="71"/>
      <c r="I858" s="66"/>
      <c r="J858" s="68"/>
      <c r="K858" s="68"/>
      <c r="L858" s="68"/>
      <c r="M858" s="68"/>
      <c r="N858" s="67"/>
      <c r="O858" s="88"/>
      <c r="P858" s="88"/>
      <c r="Q858" s="90"/>
      <c r="R858" s="72"/>
      <c r="S858" s="72"/>
      <c r="T858" s="72"/>
      <c r="U858" s="72"/>
      <c r="V858" s="72"/>
      <c r="W858" s="72"/>
      <c r="X858" s="72"/>
      <c r="Y858" s="72"/>
    </row>
    <row r="859">
      <c r="A859" s="60"/>
      <c r="B859" s="61"/>
      <c r="C859" s="63"/>
      <c r="D859" s="79"/>
      <c r="E859" s="74" t="s">
        <v>56</v>
      </c>
      <c r="F859" s="63" t="s">
        <v>56</v>
      </c>
      <c r="G859" s="71"/>
      <c r="H859" s="71"/>
      <c r="I859" s="66"/>
      <c r="J859" s="68"/>
      <c r="K859" s="68"/>
      <c r="L859" s="68"/>
      <c r="M859" s="68"/>
      <c r="N859" s="67"/>
      <c r="O859" s="88"/>
      <c r="P859" s="88"/>
      <c r="Q859" s="90"/>
      <c r="R859" s="72"/>
      <c r="S859" s="72"/>
      <c r="T859" s="72"/>
      <c r="U859" s="72"/>
      <c r="V859" s="72"/>
      <c r="W859" s="72"/>
      <c r="X859" s="72"/>
      <c r="Y859" s="72"/>
    </row>
    <row r="860">
      <c r="A860" s="60"/>
      <c r="B860" s="61"/>
      <c r="C860" s="63"/>
      <c r="D860" s="79"/>
      <c r="E860" s="74" t="s">
        <v>56</v>
      </c>
      <c r="F860" s="63" t="s">
        <v>56</v>
      </c>
      <c r="G860" s="71"/>
      <c r="H860" s="71"/>
      <c r="I860" s="66"/>
      <c r="J860" s="68"/>
      <c r="K860" s="68"/>
      <c r="L860" s="68"/>
      <c r="M860" s="68"/>
      <c r="N860" s="67"/>
      <c r="O860" s="88"/>
      <c r="P860" s="88"/>
      <c r="Q860" s="90"/>
      <c r="R860" s="72"/>
      <c r="S860" s="72"/>
      <c r="T860" s="72"/>
      <c r="U860" s="72"/>
      <c r="V860" s="72"/>
      <c r="W860" s="72"/>
      <c r="X860" s="72"/>
      <c r="Y860" s="72"/>
    </row>
    <row r="861">
      <c r="A861" s="60"/>
      <c r="B861" s="61"/>
      <c r="C861" s="63"/>
      <c r="D861" s="79"/>
      <c r="E861" s="74" t="s">
        <v>56</v>
      </c>
      <c r="F861" s="63" t="s">
        <v>56</v>
      </c>
      <c r="G861" s="71"/>
      <c r="H861" s="71"/>
      <c r="I861" s="66"/>
      <c r="J861" s="68"/>
      <c r="K861" s="68"/>
      <c r="L861" s="68"/>
      <c r="M861" s="68"/>
      <c r="N861" s="67"/>
      <c r="O861" s="88"/>
      <c r="P861" s="88"/>
      <c r="Q861" s="90"/>
      <c r="R861" s="72"/>
      <c r="S861" s="72"/>
      <c r="T861" s="72"/>
      <c r="U861" s="72"/>
      <c r="V861" s="72"/>
      <c r="W861" s="72"/>
      <c r="X861" s="72"/>
      <c r="Y861" s="72"/>
    </row>
    <row r="862">
      <c r="A862" s="60"/>
      <c r="B862" s="61"/>
      <c r="C862" s="63"/>
      <c r="D862" s="79"/>
      <c r="E862" s="74" t="s">
        <v>56</v>
      </c>
      <c r="F862" s="63" t="s">
        <v>56</v>
      </c>
      <c r="G862" s="71"/>
      <c r="H862" s="71"/>
      <c r="I862" s="66"/>
      <c r="J862" s="68"/>
      <c r="K862" s="68"/>
      <c r="L862" s="68"/>
      <c r="M862" s="68"/>
      <c r="N862" s="67"/>
      <c r="O862" s="88"/>
      <c r="P862" s="88"/>
      <c r="Q862" s="90"/>
      <c r="R862" s="72"/>
      <c r="S862" s="72"/>
      <c r="T862" s="72"/>
      <c r="U862" s="72"/>
      <c r="V862" s="72"/>
      <c r="W862" s="72"/>
      <c r="X862" s="72"/>
      <c r="Y862" s="72"/>
    </row>
    <row r="863">
      <c r="A863" s="60"/>
      <c r="B863" s="61"/>
      <c r="C863" s="63"/>
      <c r="D863" s="79"/>
      <c r="E863" s="74" t="s">
        <v>56</v>
      </c>
      <c r="F863" s="63" t="s">
        <v>56</v>
      </c>
      <c r="G863" s="71"/>
      <c r="H863" s="71"/>
      <c r="I863" s="66"/>
      <c r="J863" s="68"/>
      <c r="K863" s="68"/>
      <c r="L863" s="68"/>
      <c r="M863" s="68"/>
      <c r="N863" s="67"/>
      <c r="O863" s="88"/>
      <c r="P863" s="88"/>
      <c r="Q863" s="90"/>
      <c r="R863" s="72"/>
      <c r="S863" s="72"/>
      <c r="T863" s="72"/>
      <c r="U863" s="72"/>
      <c r="V863" s="72"/>
      <c r="W863" s="72"/>
      <c r="X863" s="72"/>
      <c r="Y863" s="72"/>
    </row>
    <row r="864">
      <c r="A864" s="60"/>
      <c r="B864" s="61"/>
      <c r="C864" s="63"/>
      <c r="D864" s="79"/>
      <c r="E864" s="74" t="s">
        <v>56</v>
      </c>
      <c r="F864" s="63" t="s">
        <v>56</v>
      </c>
      <c r="G864" s="71"/>
      <c r="H864" s="71"/>
      <c r="I864" s="66"/>
      <c r="J864" s="68"/>
      <c r="K864" s="68"/>
      <c r="L864" s="68"/>
      <c r="M864" s="68"/>
      <c r="N864" s="67"/>
      <c r="O864" s="88"/>
      <c r="P864" s="88"/>
      <c r="Q864" s="90"/>
      <c r="R864" s="72"/>
      <c r="S864" s="72"/>
      <c r="T864" s="72"/>
      <c r="U864" s="72"/>
      <c r="V864" s="72"/>
      <c r="W864" s="72"/>
      <c r="X864" s="72"/>
      <c r="Y864" s="72"/>
    </row>
    <row r="865">
      <c r="A865" s="60"/>
      <c r="B865" s="61"/>
      <c r="C865" s="63"/>
      <c r="D865" s="79"/>
      <c r="E865" s="74" t="s">
        <v>56</v>
      </c>
      <c r="F865" s="63" t="s">
        <v>56</v>
      </c>
      <c r="G865" s="71"/>
      <c r="H865" s="71"/>
      <c r="I865" s="66"/>
      <c r="J865" s="68"/>
      <c r="K865" s="68"/>
      <c r="L865" s="68"/>
      <c r="M865" s="68"/>
      <c r="N865" s="67"/>
      <c r="O865" s="88"/>
      <c r="P865" s="88"/>
      <c r="Q865" s="90"/>
      <c r="R865" s="72"/>
      <c r="S865" s="72"/>
      <c r="T865" s="72"/>
      <c r="U865" s="72"/>
      <c r="V865" s="72"/>
      <c r="W865" s="72"/>
      <c r="X865" s="72"/>
      <c r="Y865" s="72"/>
    </row>
    <row r="866">
      <c r="A866" s="60"/>
      <c r="B866" s="61"/>
      <c r="C866" s="63"/>
      <c r="D866" s="79"/>
      <c r="E866" s="74" t="s">
        <v>56</v>
      </c>
      <c r="F866" s="63" t="s">
        <v>56</v>
      </c>
      <c r="G866" s="71"/>
      <c r="H866" s="71"/>
      <c r="I866" s="66"/>
      <c r="J866" s="68"/>
      <c r="K866" s="68"/>
      <c r="L866" s="68"/>
      <c r="M866" s="68"/>
      <c r="N866" s="67"/>
      <c r="O866" s="88"/>
      <c r="P866" s="88"/>
      <c r="Q866" s="90"/>
      <c r="R866" s="72"/>
      <c r="S866" s="72"/>
      <c r="T866" s="72"/>
      <c r="U866" s="72"/>
      <c r="V866" s="72"/>
      <c r="W866" s="72"/>
      <c r="X866" s="72"/>
      <c r="Y866" s="72"/>
    </row>
    <row r="867">
      <c r="A867" s="60"/>
      <c r="B867" s="61"/>
      <c r="C867" s="63"/>
      <c r="D867" s="79"/>
      <c r="E867" s="74" t="s">
        <v>56</v>
      </c>
      <c r="F867" s="63" t="s">
        <v>56</v>
      </c>
      <c r="G867" s="71"/>
      <c r="H867" s="71"/>
      <c r="I867" s="66"/>
      <c r="J867" s="68"/>
      <c r="K867" s="68"/>
      <c r="L867" s="68"/>
      <c r="M867" s="68"/>
      <c r="N867" s="67"/>
      <c r="O867" s="88"/>
      <c r="P867" s="88"/>
      <c r="Q867" s="90"/>
      <c r="R867" s="72"/>
      <c r="S867" s="72"/>
      <c r="T867" s="72"/>
      <c r="U867" s="72"/>
      <c r="V867" s="72"/>
      <c r="W867" s="72"/>
      <c r="X867" s="72"/>
      <c r="Y867" s="72"/>
    </row>
    <row r="868">
      <c r="A868" s="60"/>
      <c r="B868" s="61"/>
      <c r="C868" s="63"/>
      <c r="D868" s="79"/>
      <c r="E868" s="74" t="s">
        <v>56</v>
      </c>
      <c r="F868" s="63" t="s">
        <v>56</v>
      </c>
      <c r="G868" s="71"/>
      <c r="H868" s="71"/>
      <c r="I868" s="66"/>
      <c r="J868" s="68"/>
      <c r="K868" s="68"/>
      <c r="L868" s="68"/>
      <c r="M868" s="68"/>
      <c r="N868" s="67"/>
      <c r="O868" s="88"/>
      <c r="P868" s="88"/>
      <c r="Q868" s="90"/>
      <c r="R868" s="72"/>
      <c r="S868" s="72"/>
      <c r="T868" s="72"/>
      <c r="U868" s="72"/>
      <c r="V868" s="72"/>
      <c r="W868" s="72"/>
      <c r="X868" s="72"/>
      <c r="Y868" s="72"/>
    </row>
    <row r="869">
      <c r="A869" s="60"/>
      <c r="B869" s="61"/>
      <c r="C869" s="63"/>
      <c r="D869" s="79"/>
      <c r="E869" s="74" t="s">
        <v>56</v>
      </c>
      <c r="F869" s="63" t="s">
        <v>56</v>
      </c>
      <c r="G869" s="71"/>
      <c r="H869" s="71"/>
      <c r="I869" s="66"/>
      <c r="J869" s="68"/>
      <c r="K869" s="68"/>
      <c r="L869" s="68"/>
      <c r="M869" s="68"/>
      <c r="N869" s="67"/>
      <c r="O869" s="88"/>
      <c r="P869" s="88"/>
      <c r="Q869" s="90"/>
      <c r="R869" s="72"/>
      <c r="S869" s="72"/>
      <c r="T869" s="72"/>
      <c r="U869" s="72"/>
      <c r="V869" s="72"/>
      <c r="W869" s="72"/>
      <c r="X869" s="72"/>
      <c r="Y869" s="72"/>
    </row>
    <row r="870">
      <c r="A870" s="60"/>
      <c r="B870" s="61"/>
      <c r="C870" s="63"/>
      <c r="D870" s="79"/>
      <c r="E870" s="74" t="s">
        <v>56</v>
      </c>
      <c r="F870" s="63" t="s">
        <v>56</v>
      </c>
      <c r="G870" s="71"/>
      <c r="H870" s="71"/>
      <c r="I870" s="66"/>
      <c r="J870" s="68"/>
      <c r="K870" s="68"/>
      <c r="L870" s="68"/>
      <c r="M870" s="68"/>
      <c r="N870" s="67"/>
      <c r="O870" s="88"/>
      <c r="P870" s="88"/>
      <c r="Q870" s="90"/>
      <c r="R870" s="72"/>
      <c r="S870" s="72"/>
      <c r="T870" s="72"/>
      <c r="U870" s="72"/>
      <c r="V870" s="72"/>
      <c r="W870" s="72"/>
      <c r="X870" s="72"/>
      <c r="Y870" s="72"/>
    </row>
    <row r="871">
      <c r="A871" s="60"/>
      <c r="B871" s="61"/>
      <c r="C871" s="63"/>
      <c r="D871" s="79"/>
      <c r="E871" s="74" t="s">
        <v>56</v>
      </c>
      <c r="F871" s="63" t="s">
        <v>56</v>
      </c>
      <c r="G871" s="71"/>
      <c r="H871" s="71"/>
      <c r="I871" s="66"/>
      <c r="J871" s="68"/>
      <c r="K871" s="68"/>
      <c r="L871" s="68"/>
      <c r="M871" s="68"/>
      <c r="N871" s="67"/>
      <c r="O871" s="88"/>
      <c r="P871" s="88"/>
      <c r="Q871" s="90"/>
      <c r="R871" s="72"/>
      <c r="S871" s="72"/>
      <c r="T871" s="72"/>
      <c r="U871" s="72"/>
      <c r="V871" s="72"/>
      <c r="W871" s="72"/>
      <c r="X871" s="72"/>
      <c r="Y871" s="72"/>
    </row>
    <row r="872">
      <c r="A872" s="60"/>
      <c r="B872" s="61"/>
      <c r="C872" s="63"/>
      <c r="D872" s="79"/>
      <c r="E872" s="74" t="s">
        <v>56</v>
      </c>
      <c r="F872" s="63" t="s">
        <v>56</v>
      </c>
      <c r="G872" s="71"/>
      <c r="H872" s="71"/>
      <c r="I872" s="66"/>
      <c r="J872" s="68"/>
      <c r="K872" s="68"/>
      <c r="L872" s="68"/>
      <c r="M872" s="68"/>
      <c r="N872" s="67"/>
      <c r="O872" s="88"/>
      <c r="P872" s="88"/>
      <c r="Q872" s="90"/>
      <c r="R872" s="72"/>
      <c r="S872" s="72"/>
      <c r="T872" s="72"/>
      <c r="U872" s="72"/>
      <c r="V872" s="72"/>
      <c r="W872" s="72"/>
      <c r="X872" s="72"/>
      <c r="Y872" s="72"/>
    </row>
    <row r="873">
      <c r="A873" s="60"/>
      <c r="B873" s="61"/>
      <c r="C873" s="63"/>
      <c r="D873" s="79"/>
      <c r="E873" s="74" t="s">
        <v>56</v>
      </c>
      <c r="F873" s="63" t="s">
        <v>56</v>
      </c>
      <c r="G873" s="71"/>
      <c r="H873" s="71"/>
      <c r="I873" s="66"/>
      <c r="J873" s="68"/>
      <c r="K873" s="68"/>
      <c r="L873" s="68"/>
      <c r="M873" s="68"/>
      <c r="N873" s="67"/>
      <c r="O873" s="88"/>
      <c r="P873" s="88"/>
      <c r="Q873" s="90"/>
      <c r="R873" s="72"/>
      <c r="S873" s="72"/>
      <c r="T873" s="72"/>
      <c r="U873" s="72"/>
      <c r="V873" s="72"/>
      <c r="W873" s="72"/>
      <c r="X873" s="72"/>
      <c r="Y873" s="72"/>
    </row>
    <row r="874">
      <c r="A874" s="60"/>
      <c r="B874" s="61"/>
      <c r="C874" s="63"/>
      <c r="D874" s="79"/>
      <c r="E874" s="74" t="s">
        <v>56</v>
      </c>
      <c r="F874" s="63" t="s">
        <v>56</v>
      </c>
      <c r="G874" s="71"/>
      <c r="H874" s="71"/>
      <c r="I874" s="66"/>
      <c r="J874" s="68"/>
      <c r="K874" s="68"/>
      <c r="L874" s="68"/>
      <c r="M874" s="68"/>
      <c r="N874" s="67"/>
      <c r="O874" s="88"/>
      <c r="P874" s="88"/>
      <c r="Q874" s="90"/>
      <c r="R874" s="72"/>
      <c r="S874" s="72"/>
      <c r="T874" s="72"/>
      <c r="U874" s="72"/>
      <c r="V874" s="72"/>
      <c r="W874" s="72"/>
      <c r="X874" s="72"/>
      <c r="Y874" s="72"/>
    </row>
    <row r="875">
      <c r="A875" s="60"/>
      <c r="B875" s="61"/>
      <c r="C875" s="63"/>
      <c r="D875" s="79"/>
      <c r="E875" s="74" t="s">
        <v>56</v>
      </c>
      <c r="F875" s="63" t="s">
        <v>56</v>
      </c>
      <c r="G875" s="71"/>
      <c r="H875" s="71"/>
      <c r="I875" s="66"/>
      <c r="J875" s="68"/>
      <c r="K875" s="68"/>
      <c r="L875" s="68"/>
      <c r="M875" s="68"/>
      <c r="N875" s="67"/>
      <c r="O875" s="88"/>
      <c r="P875" s="88"/>
      <c r="Q875" s="90"/>
      <c r="R875" s="72"/>
      <c r="S875" s="72"/>
      <c r="T875" s="72"/>
      <c r="U875" s="72"/>
      <c r="V875" s="72"/>
      <c r="W875" s="72"/>
      <c r="X875" s="72"/>
      <c r="Y875" s="72"/>
    </row>
    <row r="876">
      <c r="A876" s="60"/>
      <c r="B876" s="61"/>
      <c r="C876" s="63"/>
      <c r="D876" s="79"/>
      <c r="E876" s="74" t="s">
        <v>56</v>
      </c>
      <c r="F876" s="63" t="s">
        <v>56</v>
      </c>
      <c r="G876" s="71"/>
      <c r="H876" s="71"/>
      <c r="I876" s="66"/>
      <c r="J876" s="68"/>
      <c r="K876" s="68"/>
      <c r="L876" s="68"/>
      <c r="M876" s="68"/>
      <c r="N876" s="67"/>
      <c r="O876" s="88"/>
      <c r="P876" s="88"/>
      <c r="Q876" s="90"/>
      <c r="R876" s="72"/>
      <c r="S876" s="72"/>
      <c r="T876" s="72"/>
      <c r="U876" s="72"/>
      <c r="V876" s="72"/>
      <c r="W876" s="72"/>
      <c r="X876" s="72"/>
      <c r="Y876" s="72"/>
    </row>
    <row r="877">
      <c r="A877" s="60"/>
      <c r="B877" s="61"/>
      <c r="C877" s="63"/>
      <c r="D877" s="79"/>
      <c r="E877" s="74" t="s">
        <v>56</v>
      </c>
      <c r="F877" s="63" t="s">
        <v>56</v>
      </c>
      <c r="G877" s="71"/>
      <c r="H877" s="71"/>
      <c r="I877" s="66"/>
      <c r="J877" s="68"/>
      <c r="K877" s="68"/>
      <c r="L877" s="68"/>
      <c r="M877" s="68"/>
      <c r="N877" s="67"/>
      <c r="O877" s="88"/>
      <c r="P877" s="88"/>
      <c r="Q877" s="90"/>
      <c r="R877" s="72"/>
      <c r="S877" s="72"/>
      <c r="T877" s="72"/>
      <c r="U877" s="72"/>
      <c r="V877" s="72"/>
      <c r="W877" s="72"/>
      <c r="X877" s="72"/>
      <c r="Y877" s="72"/>
    </row>
    <row r="878">
      <c r="A878" s="60"/>
      <c r="B878" s="61"/>
      <c r="C878" s="63"/>
      <c r="D878" s="79"/>
      <c r="E878" s="74" t="s">
        <v>56</v>
      </c>
      <c r="F878" s="63" t="s">
        <v>56</v>
      </c>
      <c r="G878" s="71"/>
      <c r="H878" s="71"/>
      <c r="I878" s="66"/>
      <c r="J878" s="68"/>
      <c r="K878" s="68"/>
      <c r="L878" s="68"/>
      <c r="M878" s="68"/>
      <c r="N878" s="67"/>
      <c r="O878" s="88"/>
      <c r="P878" s="88"/>
      <c r="Q878" s="90"/>
      <c r="R878" s="72"/>
      <c r="S878" s="72"/>
      <c r="T878" s="72"/>
      <c r="U878" s="72"/>
      <c r="V878" s="72"/>
      <c r="W878" s="72"/>
      <c r="X878" s="72"/>
      <c r="Y878" s="72"/>
    </row>
    <row r="879">
      <c r="A879" s="60"/>
      <c r="B879" s="61"/>
      <c r="C879" s="63"/>
      <c r="D879" s="79"/>
      <c r="E879" s="74" t="s">
        <v>56</v>
      </c>
      <c r="F879" s="63" t="s">
        <v>56</v>
      </c>
      <c r="G879" s="71"/>
      <c r="H879" s="71"/>
      <c r="I879" s="66"/>
      <c r="J879" s="68"/>
      <c r="K879" s="68"/>
      <c r="L879" s="68"/>
      <c r="M879" s="68"/>
      <c r="N879" s="67"/>
      <c r="O879" s="88"/>
      <c r="P879" s="88"/>
      <c r="Q879" s="90"/>
      <c r="R879" s="72"/>
      <c r="S879" s="72"/>
      <c r="T879" s="72"/>
      <c r="U879" s="72"/>
      <c r="V879" s="72"/>
      <c r="W879" s="72"/>
      <c r="X879" s="72"/>
      <c r="Y879" s="72"/>
    </row>
    <row r="880">
      <c r="A880" s="60"/>
      <c r="B880" s="61"/>
      <c r="C880" s="63"/>
      <c r="D880" s="79"/>
      <c r="E880" s="74" t="s">
        <v>56</v>
      </c>
      <c r="F880" s="63" t="s">
        <v>56</v>
      </c>
      <c r="G880" s="71"/>
      <c r="H880" s="71"/>
      <c r="I880" s="66"/>
      <c r="J880" s="68"/>
      <c r="K880" s="68"/>
      <c r="L880" s="68"/>
      <c r="M880" s="68"/>
      <c r="N880" s="67"/>
      <c r="O880" s="88"/>
      <c r="P880" s="88"/>
      <c r="Q880" s="90"/>
      <c r="R880" s="72"/>
      <c r="S880" s="72"/>
      <c r="T880" s="72"/>
      <c r="U880" s="72"/>
      <c r="V880" s="72"/>
      <c r="W880" s="72"/>
      <c r="X880" s="72"/>
      <c r="Y880" s="72"/>
    </row>
    <row r="881">
      <c r="A881" s="60"/>
      <c r="B881" s="61"/>
      <c r="C881" s="63"/>
      <c r="D881" s="79"/>
      <c r="E881" s="74" t="s">
        <v>56</v>
      </c>
      <c r="F881" s="63" t="s">
        <v>56</v>
      </c>
      <c r="G881" s="71"/>
      <c r="H881" s="71"/>
      <c r="I881" s="66"/>
      <c r="J881" s="68"/>
      <c r="K881" s="68"/>
      <c r="L881" s="68"/>
      <c r="M881" s="68"/>
      <c r="N881" s="67"/>
      <c r="O881" s="88"/>
      <c r="P881" s="88"/>
      <c r="Q881" s="90"/>
      <c r="R881" s="72"/>
      <c r="S881" s="72"/>
      <c r="T881" s="72"/>
      <c r="U881" s="72"/>
      <c r="V881" s="72"/>
      <c r="W881" s="72"/>
      <c r="X881" s="72"/>
      <c r="Y881" s="72"/>
    </row>
    <row r="882">
      <c r="A882" s="60"/>
      <c r="B882" s="61"/>
      <c r="C882" s="63"/>
      <c r="D882" s="79"/>
      <c r="E882" s="74" t="s">
        <v>56</v>
      </c>
      <c r="F882" s="63" t="s">
        <v>56</v>
      </c>
      <c r="G882" s="71"/>
      <c r="H882" s="71"/>
      <c r="I882" s="66"/>
      <c r="J882" s="68"/>
      <c r="K882" s="68"/>
      <c r="L882" s="68"/>
      <c r="M882" s="68"/>
      <c r="N882" s="67"/>
      <c r="O882" s="88"/>
      <c r="P882" s="88"/>
      <c r="Q882" s="90"/>
      <c r="R882" s="72"/>
      <c r="S882" s="72"/>
      <c r="T882" s="72"/>
      <c r="U882" s="72"/>
      <c r="V882" s="72"/>
      <c r="W882" s="72"/>
      <c r="X882" s="72"/>
      <c r="Y882" s="72"/>
    </row>
    <row r="883">
      <c r="A883" s="60"/>
      <c r="B883" s="61"/>
      <c r="C883" s="63"/>
      <c r="D883" s="79"/>
      <c r="E883" s="74" t="s">
        <v>56</v>
      </c>
      <c r="F883" s="63" t="s">
        <v>56</v>
      </c>
      <c r="G883" s="71"/>
      <c r="H883" s="71"/>
      <c r="I883" s="66"/>
      <c r="J883" s="68"/>
      <c r="K883" s="68"/>
      <c r="L883" s="68"/>
      <c r="M883" s="68"/>
      <c r="N883" s="67"/>
      <c r="O883" s="88"/>
      <c r="P883" s="88"/>
      <c r="Q883" s="90"/>
      <c r="R883" s="72"/>
      <c r="S883" s="72"/>
      <c r="T883" s="72"/>
      <c r="U883" s="72"/>
      <c r="V883" s="72"/>
      <c r="W883" s="72"/>
      <c r="X883" s="72"/>
      <c r="Y883" s="72"/>
    </row>
    <row r="884">
      <c r="A884" s="60"/>
      <c r="B884" s="61"/>
      <c r="C884" s="63"/>
      <c r="D884" s="79"/>
      <c r="E884" s="74" t="s">
        <v>56</v>
      </c>
      <c r="F884" s="63" t="s">
        <v>56</v>
      </c>
      <c r="G884" s="71"/>
      <c r="H884" s="71"/>
      <c r="I884" s="66"/>
      <c r="J884" s="68"/>
      <c r="K884" s="68"/>
      <c r="L884" s="68"/>
      <c r="M884" s="68"/>
      <c r="N884" s="67"/>
      <c r="O884" s="88"/>
      <c r="P884" s="88"/>
      <c r="Q884" s="90"/>
      <c r="R884" s="72"/>
      <c r="S884" s="72"/>
      <c r="T884" s="72"/>
      <c r="U884" s="72"/>
      <c r="V884" s="72"/>
      <c r="W884" s="72"/>
      <c r="X884" s="72"/>
      <c r="Y884" s="72"/>
    </row>
    <row r="885">
      <c r="A885" s="60"/>
      <c r="B885" s="61"/>
      <c r="C885" s="63"/>
      <c r="D885" s="79"/>
      <c r="E885" s="74" t="s">
        <v>56</v>
      </c>
      <c r="F885" s="63" t="s">
        <v>56</v>
      </c>
      <c r="G885" s="71"/>
      <c r="H885" s="71"/>
      <c r="I885" s="66"/>
      <c r="J885" s="68"/>
      <c r="K885" s="68"/>
      <c r="L885" s="68"/>
      <c r="M885" s="68"/>
      <c r="N885" s="67"/>
      <c r="O885" s="88"/>
      <c r="P885" s="88"/>
      <c r="Q885" s="90"/>
      <c r="R885" s="72"/>
      <c r="S885" s="72"/>
      <c r="T885" s="72"/>
      <c r="U885" s="72"/>
      <c r="V885" s="72"/>
      <c r="W885" s="72"/>
      <c r="X885" s="72"/>
      <c r="Y885" s="72"/>
    </row>
    <row r="886">
      <c r="A886" s="60"/>
      <c r="B886" s="61"/>
      <c r="C886" s="63"/>
      <c r="D886" s="79"/>
      <c r="E886" s="74" t="s">
        <v>56</v>
      </c>
      <c r="F886" s="63" t="s">
        <v>56</v>
      </c>
      <c r="G886" s="71"/>
      <c r="H886" s="71"/>
      <c r="I886" s="66"/>
      <c r="J886" s="68"/>
      <c r="K886" s="68"/>
      <c r="L886" s="68"/>
      <c r="M886" s="68"/>
      <c r="N886" s="67"/>
      <c r="O886" s="88"/>
      <c r="P886" s="88"/>
      <c r="Q886" s="90"/>
      <c r="R886" s="72"/>
      <c r="S886" s="72"/>
      <c r="T886" s="72"/>
      <c r="U886" s="72"/>
      <c r="V886" s="72"/>
      <c r="W886" s="72"/>
      <c r="X886" s="72"/>
      <c r="Y886" s="72"/>
    </row>
    <row r="887">
      <c r="A887" s="60"/>
      <c r="B887" s="61"/>
      <c r="C887" s="63"/>
      <c r="D887" s="79"/>
      <c r="E887" s="74" t="s">
        <v>56</v>
      </c>
      <c r="F887" s="63" t="s">
        <v>56</v>
      </c>
      <c r="G887" s="71"/>
      <c r="H887" s="71"/>
      <c r="I887" s="66"/>
      <c r="J887" s="68"/>
      <c r="K887" s="68"/>
      <c r="L887" s="68"/>
      <c r="M887" s="68"/>
      <c r="N887" s="67"/>
      <c r="O887" s="88"/>
      <c r="P887" s="88"/>
      <c r="Q887" s="90"/>
      <c r="R887" s="72"/>
      <c r="S887" s="72"/>
      <c r="T887" s="72"/>
      <c r="U887" s="72"/>
      <c r="V887" s="72"/>
      <c r="W887" s="72"/>
      <c r="X887" s="72"/>
      <c r="Y887" s="72"/>
    </row>
    <row r="888">
      <c r="A888" s="60"/>
      <c r="B888" s="61"/>
      <c r="C888" s="63"/>
      <c r="D888" s="79"/>
      <c r="E888" s="74" t="s">
        <v>56</v>
      </c>
      <c r="F888" s="63" t="s">
        <v>56</v>
      </c>
      <c r="G888" s="71"/>
      <c r="H888" s="71"/>
      <c r="I888" s="66"/>
      <c r="J888" s="68"/>
      <c r="K888" s="68"/>
      <c r="L888" s="68"/>
      <c r="M888" s="68"/>
      <c r="N888" s="67"/>
      <c r="O888" s="88"/>
      <c r="P888" s="88"/>
      <c r="Q888" s="90"/>
      <c r="R888" s="72"/>
      <c r="S888" s="72"/>
      <c r="T888" s="72"/>
      <c r="U888" s="72"/>
      <c r="V888" s="72"/>
      <c r="W888" s="72"/>
      <c r="X888" s="72"/>
      <c r="Y888" s="72"/>
    </row>
    <row r="889">
      <c r="A889" s="60"/>
      <c r="B889" s="61"/>
      <c r="C889" s="63"/>
      <c r="D889" s="79"/>
      <c r="E889" s="74" t="s">
        <v>56</v>
      </c>
      <c r="F889" s="63" t="s">
        <v>56</v>
      </c>
      <c r="G889" s="71"/>
      <c r="H889" s="71"/>
      <c r="I889" s="66"/>
      <c r="J889" s="68"/>
      <c r="K889" s="68"/>
      <c r="L889" s="68"/>
      <c r="M889" s="68"/>
      <c r="N889" s="67"/>
      <c r="O889" s="88"/>
      <c r="P889" s="88"/>
      <c r="Q889" s="90"/>
      <c r="R889" s="72"/>
      <c r="S889" s="72"/>
      <c r="T889" s="72"/>
      <c r="U889" s="72"/>
      <c r="V889" s="72"/>
      <c r="W889" s="72"/>
      <c r="X889" s="72"/>
      <c r="Y889" s="72"/>
    </row>
    <row r="890">
      <c r="A890" s="60"/>
      <c r="B890" s="61"/>
      <c r="C890" s="63"/>
      <c r="D890" s="79"/>
      <c r="E890" s="74" t="s">
        <v>56</v>
      </c>
      <c r="F890" s="63" t="s">
        <v>56</v>
      </c>
      <c r="G890" s="71"/>
      <c r="H890" s="71"/>
      <c r="I890" s="66"/>
      <c r="J890" s="68"/>
      <c r="K890" s="68"/>
      <c r="L890" s="68"/>
      <c r="M890" s="68"/>
      <c r="N890" s="67"/>
      <c r="O890" s="88"/>
      <c r="P890" s="88"/>
      <c r="Q890" s="90"/>
      <c r="R890" s="72"/>
      <c r="S890" s="72"/>
      <c r="T890" s="72"/>
      <c r="U890" s="72"/>
      <c r="V890" s="72"/>
      <c r="W890" s="72"/>
      <c r="X890" s="72"/>
      <c r="Y890" s="72"/>
    </row>
    <row r="891">
      <c r="A891" s="60"/>
      <c r="B891" s="61"/>
      <c r="C891" s="63"/>
      <c r="D891" s="79"/>
      <c r="E891" s="74" t="s">
        <v>56</v>
      </c>
      <c r="F891" s="63" t="s">
        <v>56</v>
      </c>
      <c r="G891" s="71"/>
      <c r="H891" s="71"/>
      <c r="I891" s="66"/>
      <c r="J891" s="68"/>
      <c r="K891" s="68"/>
      <c r="L891" s="68"/>
      <c r="M891" s="68"/>
      <c r="N891" s="67"/>
      <c r="O891" s="88"/>
      <c r="P891" s="88"/>
      <c r="Q891" s="90"/>
      <c r="R891" s="72"/>
      <c r="S891" s="72"/>
      <c r="T891" s="72"/>
      <c r="U891" s="72"/>
      <c r="V891" s="72"/>
      <c r="W891" s="72"/>
      <c r="X891" s="72"/>
      <c r="Y891" s="72"/>
    </row>
    <row r="892">
      <c r="A892" s="60"/>
      <c r="B892" s="61"/>
      <c r="C892" s="63"/>
      <c r="D892" s="79"/>
      <c r="E892" s="74" t="s">
        <v>56</v>
      </c>
      <c r="F892" s="63" t="s">
        <v>56</v>
      </c>
      <c r="G892" s="71"/>
      <c r="H892" s="71"/>
      <c r="I892" s="66"/>
      <c r="J892" s="68"/>
      <c r="K892" s="68"/>
      <c r="L892" s="68"/>
      <c r="M892" s="68"/>
      <c r="N892" s="67"/>
      <c r="O892" s="88"/>
      <c r="P892" s="88"/>
      <c r="Q892" s="90"/>
      <c r="R892" s="72"/>
      <c r="S892" s="72"/>
      <c r="T892" s="72"/>
      <c r="U892" s="72"/>
      <c r="V892" s="72"/>
      <c r="W892" s="72"/>
      <c r="X892" s="72"/>
      <c r="Y892" s="72"/>
    </row>
    <row r="893">
      <c r="A893" s="60"/>
      <c r="B893" s="61"/>
      <c r="C893" s="63"/>
      <c r="D893" s="79"/>
      <c r="E893" s="74" t="s">
        <v>56</v>
      </c>
      <c r="F893" s="63" t="s">
        <v>56</v>
      </c>
      <c r="G893" s="71"/>
      <c r="H893" s="71"/>
      <c r="I893" s="66"/>
      <c r="J893" s="68"/>
      <c r="K893" s="68"/>
      <c r="L893" s="68"/>
      <c r="M893" s="68"/>
      <c r="N893" s="67"/>
      <c r="O893" s="88"/>
      <c r="P893" s="88"/>
      <c r="Q893" s="90"/>
      <c r="R893" s="72"/>
      <c r="S893" s="72"/>
      <c r="T893" s="72"/>
      <c r="U893" s="72"/>
      <c r="V893" s="72"/>
      <c r="W893" s="72"/>
      <c r="X893" s="72"/>
      <c r="Y893" s="72"/>
    </row>
    <row r="894">
      <c r="A894" s="60"/>
      <c r="B894" s="61"/>
      <c r="C894" s="63"/>
      <c r="D894" s="79"/>
      <c r="E894" s="74" t="s">
        <v>56</v>
      </c>
      <c r="F894" s="63" t="s">
        <v>56</v>
      </c>
      <c r="G894" s="71"/>
      <c r="H894" s="71"/>
      <c r="I894" s="66"/>
      <c r="J894" s="68"/>
      <c r="K894" s="68"/>
      <c r="L894" s="68"/>
      <c r="M894" s="68"/>
      <c r="N894" s="67"/>
      <c r="O894" s="88"/>
      <c r="P894" s="88"/>
      <c r="Q894" s="90"/>
      <c r="R894" s="72"/>
      <c r="S894" s="72"/>
      <c r="T894" s="72"/>
      <c r="U894" s="72"/>
      <c r="V894" s="72"/>
      <c r="W894" s="72"/>
      <c r="X894" s="72"/>
      <c r="Y894" s="72"/>
    </row>
    <row r="895">
      <c r="A895" s="60"/>
      <c r="B895" s="61"/>
      <c r="C895" s="63"/>
      <c r="D895" s="79"/>
      <c r="E895" s="74" t="s">
        <v>56</v>
      </c>
      <c r="F895" s="63" t="s">
        <v>56</v>
      </c>
      <c r="G895" s="71"/>
      <c r="H895" s="71"/>
      <c r="I895" s="66"/>
      <c r="J895" s="68"/>
      <c r="K895" s="68"/>
      <c r="L895" s="68"/>
      <c r="M895" s="68"/>
      <c r="N895" s="67"/>
      <c r="O895" s="88"/>
      <c r="P895" s="88"/>
      <c r="Q895" s="90"/>
      <c r="R895" s="72"/>
      <c r="S895" s="72"/>
      <c r="T895" s="72"/>
      <c r="U895" s="72"/>
      <c r="V895" s="72"/>
      <c r="W895" s="72"/>
      <c r="X895" s="72"/>
      <c r="Y895" s="72"/>
    </row>
    <row r="896">
      <c r="A896" s="60"/>
      <c r="B896" s="61"/>
      <c r="C896" s="63"/>
      <c r="D896" s="79"/>
      <c r="E896" s="74" t="s">
        <v>56</v>
      </c>
      <c r="F896" s="63" t="s">
        <v>56</v>
      </c>
      <c r="G896" s="71"/>
      <c r="H896" s="71"/>
      <c r="I896" s="66"/>
      <c r="J896" s="68"/>
      <c r="K896" s="68"/>
      <c r="L896" s="68"/>
      <c r="M896" s="68"/>
      <c r="N896" s="67"/>
      <c r="O896" s="88"/>
      <c r="P896" s="88"/>
      <c r="Q896" s="90"/>
      <c r="R896" s="72"/>
      <c r="S896" s="72"/>
      <c r="T896" s="72"/>
      <c r="U896" s="72"/>
      <c r="V896" s="72"/>
      <c r="W896" s="72"/>
      <c r="X896" s="72"/>
      <c r="Y896" s="72"/>
    </row>
    <row r="897">
      <c r="A897" s="60"/>
      <c r="B897" s="61"/>
      <c r="C897" s="63"/>
      <c r="D897" s="79"/>
      <c r="E897" s="74" t="s">
        <v>56</v>
      </c>
      <c r="F897" s="63" t="s">
        <v>56</v>
      </c>
      <c r="G897" s="71"/>
      <c r="H897" s="71"/>
      <c r="I897" s="66"/>
      <c r="J897" s="68"/>
      <c r="K897" s="68"/>
      <c r="L897" s="68"/>
      <c r="M897" s="68"/>
      <c r="N897" s="67"/>
      <c r="O897" s="88"/>
      <c r="P897" s="88"/>
      <c r="Q897" s="90"/>
      <c r="R897" s="72"/>
      <c r="S897" s="72"/>
      <c r="T897" s="72"/>
      <c r="U897" s="72"/>
      <c r="V897" s="72"/>
      <c r="W897" s="72"/>
      <c r="X897" s="72"/>
      <c r="Y897" s="72"/>
    </row>
    <row r="898">
      <c r="A898" s="60"/>
      <c r="B898" s="61"/>
      <c r="C898" s="63"/>
      <c r="D898" s="79"/>
      <c r="E898" s="74" t="s">
        <v>56</v>
      </c>
      <c r="F898" s="63" t="s">
        <v>56</v>
      </c>
      <c r="G898" s="71"/>
      <c r="H898" s="71"/>
      <c r="I898" s="66"/>
      <c r="J898" s="68"/>
      <c r="K898" s="68"/>
      <c r="L898" s="68"/>
      <c r="M898" s="68"/>
      <c r="N898" s="67"/>
      <c r="O898" s="88"/>
      <c r="P898" s="88"/>
      <c r="Q898" s="90"/>
      <c r="R898" s="72"/>
      <c r="S898" s="72"/>
      <c r="T898" s="72"/>
      <c r="U898" s="72"/>
      <c r="V898" s="72"/>
      <c r="W898" s="72"/>
      <c r="X898" s="72"/>
      <c r="Y898" s="72"/>
    </row>
    <row r="899">
      <c r="A899" s="60"/>
      <c r="B899" s="61"/>
      <c r="C899" s="63"/>
      <c r="D899" s="79"/>
      <c r="E899" s="74" t="s">
        <v>56</v>
      </c>
      <c r="F899" s="63" t="s">
        <v>56</v>
      </c>
      <c r="G899" s="71"/>
      <c r="H899" s="71"/>
      <c r="I899" s="66"/>
      <c r="J899" s="68"/>
      <c r="K899" s="68"/>
      <c r="L899" s="68"/>
      <c r="M899" s="68"/>
      <c r="N899" s="67"/>
      <c r="O899" s="88"/>
      <c r="P899" s="88"/>
      <c r="Q899" s="90"/>
      <c r="R899" s="72"/>
      <c r="S899" s="72"/>
      <c r="T899" s="72"/>
      <c r="U899" s="72"/>
      <c r="V899" s="72"/>
      <c r="W899" s="72"/>
      <c r="X899" s="72"/>
      <c r="Y899" s="72"/>
    </row>
    <row r="900">
      <c r="A900" s="60"/>
      <c r="B900" s="61"/>
      <c r="C900" s="63"/>
      <c r="D900" s="79"/>
      <c r="E900" s="74" t="s">
        <v>56</v>
      </c>
      <c r="F900" s="63" t="s">
        <v>56</v>
      </c>
      <c r="G900" s="71"/>
      <c r="H900" s="71"/>
      <c r="I900" s="66"/>
      <c r="J900" s="68"/>
      <c r="K900" s="68"/>
      <c r="L900" s="68"/>
      <c r="M900" s="68"/>
      <c r="N900" s="67"/>
      <c r="O900" s="88"/>
      <c r="P900" s="88"/>
      <c r="Q900" s="90"/>
      <c r="R900" s="72"/>
      <c r="S900" s="72"/>
      <c r="T900" s="72"/>
      <c r="U900" s="72"/>
      <c r="V900" s="72"/>
      <c r="W900" s="72"/>
      <c r="X900" s="72"/>
      <c r="Y900" s="72"/>
    </row>
    <row r="901">
      <c r="A901" s="60"/>
      <c r="B901" s="61"/>
      <c r="C901" s="63"/>
      <c r="D901" s="79"/>
      <c r="E901" s="74" t="s">
        <v>56</v>
      </c>
      <c r="F901" s="63" t="s">
        <v>56</v>
      </c>
      <c r="G901" s="71"/>
      <c r="H901" s="71"/>
      <c r="I901" s="66"/>
      <c r="J901" s="68"/>
      <c r="K901" s="68"/>
      <c r="L901" s="68"/>
      <c r="M901" s="68"/>
      <c r="N901" s="67"/>
      <c r="O901" s="88"/>
      <c r="P901" s="88"/>
      <c r="Q901" s="90"/>
      <c r="R901" s="72"/>
      <c r="S901" s="72"/>
      <c r="T901" s="72"/>
      <c r="U901" s="72"/>
      <c r="V901" s="72"/>
      <c r="W901" s="72"/>
      <c r="X901" s="72"/>
      <c r="Y901" s="72"/>
    </row>
    <row r="902">
      <c r="A902" s="60"/>
      <c r="B902" s="61"/>
      <c r="C902" s="63"/>
      <c r="D902" s="79"/>
      <c r="E902" s="74" t="s">
        <v>56</v>
      </c>
      <c r="F902" s="63" t="s">
        <v>56</v>
      </c>
      <c r="G902" s="71"/>
      <c r="H902" s="71"/>
      <c r="I902" s="66"/>
      <c r="J902" s="68"/>
      <c r="K902" s="68"/>
      <c r="L902" s="68"/>
      <c r="M902" s="68"/>
      <c r="N902" s="67"/>
      <c r="O902" s="88"/>
      <c r="P902" s="88"/>
      <c r="Q902" s="90"/>
      <c r="R902" s="72"/>
      <c r="S902" s="72"/>
      <c r="T902" s="72"/>
      <c r="U902" s="72"/>
      <c r="V902" s="72"/>
      <c r="W902" s="72"/>
      <c r="X902" s="72"/>
      <c r="Y902" s="72"/>
    </row>
    <row r="903">
      <c r="A903" s="60"/>
      <c r="B903" s="61"/>
      <c r="C903" s="63"/>
      <c r="D903" s="79"/>
      <c r="E903" s="74" t="s">
        <v>56</v>
      </c>
      <c r="F903" s="63" t="s">
        <v>56</v>
      </c>
      <c r="G903" s="71"/>
      <c r="H903" s="71"/>
      <c r="I903" s="66"/>
      <c r="J903" s="68"/>
      <c r="K903" s="68"/>
      <c r="L903" s="68"/>
      <c r="M903" s="68"/>
      <c r="N903" s="67"/>
      <c r="O903" s="88"/>
      <c r="P903" s="88"/>
      <c r="Q903" s="90"/>
      <c r="R903" s="72"/>
      <c r="S903" s="72"/>
      <c r="T903" s="72"/>
      <c r="U903" s="72"/>
      <c r="V903" s="72"/>
      <c r="W903" s="72"/>
      <c r="X903" s="72"/>
      <c r="Y903" s="72"/>
    </row>
    <row r="904">
      <c r="A904" s="60"/>
      <c r="B904" s="61"/>
      <c r="C904" s="63"/>
      <c r="D904" s="79"/>
      <c r="E904" s="74" t="s">
        <v>56</v>
      </c>
      <c r="F904" s="63" t="s">
        <v>56</v>
      </c>
      <c r="G904" s="71"/>
      <c r="H904" s="71"/>
      <c r="I904" s="66"/>
      <c r="J904" s="68"/>
      <c r="K904" s="68"/>
      <c r="L904" s="68"/>
      <c r="M904" s="68"/>
      <c r="N904" s="67"/>
      <c r="O904" s="88"/>
      <c r="P904" s="88"/>
      <c r="Q904" s="90"/>
      <c r="R904" s="72"/>
      <c r="S904" s="72"/>
      <c r="T904" s="72"/>
      <c r="U904" s="72"/>
      <c r="V904" s="72"/>
      <c r="W904" s="72"/>
      <c r="X904" s="72"/>
      <c r="Y904" s="72"/>
    </row>
    <row r="905">
      <c r="A905" s="60"/>
      <c r="B905" s="61"/>
      <c r="C905" s="63"/>
      <c r="D905" s="79"/>
      <c r="E905" s="74" t="s">
        <v>56</v>
      </c>
      <c r="F905" s="63" t="s">
        <v>56</v>
      </c>
      <c r="G905" s="71"/>
      <c r="H905" s="71"/>
      <c r="I905" s="66"/>
      <c r="J905" s="68"/>
      <c r="K905" s="68"/>
      <c r="L905" s="68"/>
      <c r="M905" s="68"/>
      <c r="N905" s="67"/>
      <c r="O905" s="88"/>
      <c r="P905" s="88"/>
      <c r="Q905" s="90"/>
      <c r="R905" s="72"/>
      <c r="S905" s="72"/>
      <c r="T905" s="72"/>
      <c r="U905" s="72"/>
      <c r="V905" s="72"/>
      <c r="W905" s="72"/>
      <c r="X905" s="72"/>
      <c r="Y905" s="72"/>
    </row>
    <row r="906">
      <c r="A906" s="60"/>
      <c r="B906" s="61"/>
      <c r="C906" s="63"/>
      <c r="D906" s="79"/>
      <c r="E906" s="74" t="s">
        <v>56</v>
      </c>
      <c r="F906" s="63" t="s">
        <v>56</v>
      </c>
      <c r="G906" s="71"/>
      <c r="H906" s="71"/>
      <c r="I906" s="66"/>
      <c r="J906" s="68"/>
      <c r="K906" s="68"/>
      <c r="L906" s="68"/>
      <c r="M906" s="68"/>
      <c r="N906" s="67"/>
      <c r="O906" s="88"/>
      <c r="P906" s="88"/>
      <c r="Q906" s="90"/>
      <c r="R906" s="72"/>
      <c r="S906" s="72"/>
      <c r="T906" s="72"/>
      <c r="U906" s="72"/>
      <c r="V906" s="72"/>
      <c r="W906" s="72"/>
      <c r="X906" s="72"/>
      <c r="Y906" s="72"/>
    </row>
    <row r="907">
      <c r="A907" s="60"/>
      <c r="B907" s="61"/>
      <c r="C907" s="63"/>
      <c r="D907" s="79"/>
      <c r="E907" s="74" t="s">
        <v>56</v>
      </c>
      <c r="F907" s="63" t="s">
        <v>56</v>
      </c>
      <c r="G907" s="71"/>
      <c r="H907" s="71"/>
      <c r="I907" s="66"/>
      <c r="J907" s="68"/>
      <c r="K907" s="68"/>
      <c r="L907" s="68"/>
      <c r="M907" s="68"/>
      <c r="N907" s="67"/>
      <c r="O907" s="88"/>
      <c r="P907" s="88"/>
      <c r="Q907" s="90"/>
      <c r="R907" s="72"/>
      <c r="S907" s="72"/>
      <c r="T907" s="72"/>
      <c r="U907" s="72"/>
      <c r="V907" s="72"/>
      <c r="W907" s="72"/>
      <c r="X907" s="72"/>
      <c r="Y907" s="72"/>
    </row>
    <row r="908">
      <c r="A908" s="60"/>
      <c r="B908" s="61"/>
      <c r="C908" s="63"/>
      <c r="D908" s="79"/>
      <c r="E908" s="74" t="s">
        <v>56</v>
      </c>
      <c r="F908" s="63" t="s">
        <v>56</v>
      </c>
      <c r="G908" s="71"/>
      <c r="H908" s="71"/>
      <c r="I908" s="66"/>
      <c r="J908" s="68"/>
      <c r="K908" s="68"/>
      <c r="L908" s="68"/>
      <c r="M908" s="68"/>
      <c r="N908" s="67"/>
      <c r="O908" s="88"/>
      <c r="P908" s="88"/>
      <c r="Q908" s="90"/>
      <c r="R908" s="72"/>
      <c r="S908" s="72"/>
      <c r="T908" s="72"/>
      <c r="U908" s="72"/>
      <c r="V908" s="72"/>
      <c r="W908" s="72"/>
      <c r="X908" s="72"/>
      <c r="Y908" s="72"/>
    </row>
    <row r="909">
      <c r="A909" s="60"/>
      <c r="B909" s="61"/>
      <c r="C909" s="63"/>
      <c r="D909" s="79"/>
      <c r="E909" s="74" t="s">
        <v>56</v>
      </c>
      <c r="F909" s="63" t="s">
        <v>56</v>
      </c>
      <c r="G909" s="71"/>
      <c r="H909" s="71"/>
      <c r="I909" s="66"/>
      <c r="J909" s="68"/>
      <c r="K909" s="68"/>
      <c r="L909" s="68"/>
      <c r="M909" s="68"/>
      <c r="N909" s="67"/>
      <c r="O909" s="88"/>
      <c r="P909" s="88"/>
      <c r="Q909" s="90"/>
      <c r="R909" s="72"/>
      <c r="S909" s="72"/>
      <c r="T909" s="72"/>
      <c r="U909" s="72"/>
      <c r="V909" s="72"/>
      <c r="W909" s="72"/>
      <c r="X909" s="72"/>
      <c r="Y909" s="72"/>
    </row>
    <row r="910">
      <c r="A910" s="60"/>
      <c r="B910" s="61"/>
      <c r="C910" s="63"/>
      <c r="D910" s="79"/>
      <c r="E910" s="74" t="s">
        <v>56</v>
      </c>
      <c r="F910" s="63" t="s">
        <v>56</v>
      </c>
      <c r="G910" s="71"/>
      <c r="H910" s="71"/>
      <c r="I910" s="66"/>
      <c r="J910" s="68"/>
      <c r="K910" s="68"/>
      <c r="L910" s="68"/>
      <c r="M910" s="68"/>
      <c r="N910" s="67"/>
      <c r="O910" s="88"/>
      <c r="P910" s="88"/>
      <c r="Q910" s="90"/>
      <c r="R910" s="72"/>
      <c r="S910" s="72"/>
      <c r="T910" s="72"/>
      <c r="U910" s="72"/>
      <c r="V910" s="72"/>
      <c r="W910" s="72"/>
      <c r="X910" s="72"/>
      <c r="Y910" s="72"/>
    </row>
    <row r="911">
      <c r="A911" s="60"/>
      <c r="B911" s="61"/>
      <c r="C911" s="63"/>
      <c r="D911" s="79"/>
      <c r="E911" s="74" t="s">
        <v>56</v>
      </c>
      <c r="F911" s="63" t="s">
        <v>56</v>
      </c>
      <c r="G911" s="71"/>
      <c r="H911" s="71"/>
      <c r="I911" s="66"/>
      <c r="J911" s="68"/>
      <c r="K911" s="68"/>
      <c r="L911" s="68"/>
      <c r="M911" s="68"/>
      <c r="N911" s="67"/>
      <c r="O911" s="88"/>
      <c r="P911" s="88"/>
      <c r="Q911" s="90"/>
      <c r="R911" s="72"/>
      <c r="S911" s="72"/>
      <c r="T911" s="72"/>
      <c r="U911" s="72"/>
      <c r="V911" s="72"/>
      <c r="W911" s="72"/>
      <c r="X911" s="72"/>
      <c r="Y911" s="72"/>
    </row>
    <row r="912">
      <c r="A912" s="60"/>
      <c r="B912" s="61"/>
      <c r="C912" s="63"/>
      <c r="D912" s="79"/>
      <c r="E912" s="74" t="s">
        <v>56</v>
      </c>
      <c r="F912" s="63" t="s">
        <v>56</v>
      </c>
      <c r="G912" s="71"/>
      <c r="H912" s="71"/>
      <c r="I912" s="66"/>
      <c r="J912" s="68"/>
      <c r="K912" s="68"/>
      <c r="L912" s="68"/>
      <c r="M912" s="68"/>
      <c r="N912" s="67"/>
      <c r="O912" s="88"/>
      <c r="P912" s="88"/>
      <c r="Q912" s="90"/>
      <c r="R912" s="72"/>
      <c r="S912" s="72"/>
      <c r="T912" s="72"/>
      <c r="U912" s="72"/>
      <c r="V912" s="72"/>
      <c r="W912" s="72"/>
      <c r="X912" s="72"/>
      <c r="Y912" s="72"/>
    </row>
    <row r="913">
      <c r="A913" s="60"/>
      <c r="B913" s="61"/>
      <c r="C913" s="63"/>
      <c r="D913" s="79"/>
      <c r="E913" s="74" t="s">
        <v>56</v>
      </c>
      <c r="F913" s="63" t="s">
        <v>56</v>
      </c>
      <c r="G913" s="71"/>
      <c r="H913" s="71"/>
      <c r="I913" s="66"/>
      <c r="J913" s="68"/>
      <c r="K913" s="68"/>
      <c r="L913" s="68"/>
      <c r="M913" s="68"/>
      <c r="N913" s="67"/>
      <c r="O913" s="88"/>
      <c r="P913" s="88"/>
      <c r="Q913" s="90"/>
      <c r="R913" s="72"/>
      <c r="S913" s="72"/>
      <c r="T913" s="72"/>
      <c r="U913" s="72"/>
      <c r="V913" s="72"/>
      <c r="W913" s="72"/>
      <c r="X913" s="72"/>
      <c r="Y913" s="72"/>
    </row>
    <row r="914">
      <c r="A914" s="60"/>
      <c r="B914" s="61"/>
      <c r="C914" s="63"/>
      <c r="D914" s="79"/>
      <c r="E914" s="74" t="s">
        <v>56</v>
      </c>
      <c r="F914" s="63" t="s">
        <v>56</v>
      </c>
      <c r="G914" s="71"/>
      <c r="H914" s="71"/>
      <c r="I914" s="66"/>
      <c r="J914" s="68"/>
      <c r="K914" s="68"/>
      <c r="L914" s="68"/>
      <c r="M914" s="68"/>
      <c r="N914" s="67"/>
      <c r="O914" s="88"/>
      <c r="P914" s="88"/>
      <c r="Q914" s="90"/>
      <c r="R914" s="72"/>
      <c r="S914" s="72"/>
      <c r="T914" s="72"/>
      <c r="U914" s="72"/>
      <c r="V914" s="72"/>
      <c r="W914" s="72"/>
      <c r="X914" s="72"/>
      <c r="Y914" s="72"/>
    </row>
    <row r="915">
      <c r="A915" s="60"/>
      <c r="B915" s="61"/>
      <c r="C915" s="63"/>
      <c r="D915" s="79"/>
      <c r="E915" s="74" t="s">
        <v>56</v>
      </c>
      <c r="F915" s="63" t="s">
        <v>56</v>
      </c>
      <c r="G915" s="71"/>
      <c r="H915" s="71"/>
      <c r="I915" s="66"/>
      <c r="J915" s="68"/>
      <c r="K915" s="68"/>
      <c r="L915" s="68"/>
      <c r="M915" s="68"/>
      <c r="N915" s="67"/>
      <c r="O915" s="88"/>
      <c r="P915" s="88"/>
      <c r="Q915" s="90"/>
      <c r="R915" s="72"/>
      <c r="S915" s="72"/>
      <c r="T915" s="72"/>
      <c r="U915" s="72"/>
      <c r="V915" s="72"/>
      <c r="W915" s="72"/>
      <c r="X915" s="72"/>
      <c r="Y915" s="72"/>
    </row>
    <row r="916">
      <c r="A916" s="60"/>
      <c r="B916" s="61"/>
      <c r="C916" s="63"/>
      <c r="D916" s="79"/>
      <c r="E916" s="74" t="s">
        <v>56</v>
      </c>
      <c r="F916" s="63" t="s">
        <v>56</v>
      </c>
      <c r="G916" s="71"/>
      <c r="H916" s="71"/>
      <c r="I916" s="66"/>
      <c r="J916" s="68"/>
      <c r="K916" s="68"/>
      <c r="L916" s="68"/>
      <c r="M916" s="68"/>
      <c r="N916" s="67"/>
      <c r="O916" s="88"/>
      <c r="P916" s="88"/>
      <c r="Q916" s="90"/>
      <c r="R916" s="72"/>
      <c r="S916" s="72"/>
      <c r="T916" s="72"/>
      <c r="U916" s="72"/>
      <c r="V916" s="72"/>
      <c r="W916" s="72"/>
      <c r="X916" s="72"/>
      <c r="Y916" s="72"/>
    </row>
    <row r="917">
      <c r="A917" s="60"/>
      <c r="B917" s="61"/>
      <c r="C917" s="63"/>
      <c r="D917" s="79"/>
      <c r="E917" s="74" t="s">
        <v>56</v>
      </c>
      <c r="F917" s="63" t="s">
        <v>56</v>
      </c>
      <c r="G917" s="71"/>
      <c r="H917" s="71"/>
      <c r="I917" s="66"/>
      <c r="J917" s="68"/>
      <c r="K917" s="68"/>
      <c r="L917" s="68"/>
      <c r="M917" s="68"/>
      <c r="N917" s="67"/>
      <c r="O917" s="88"/>
      <c r="P917" s="88"/>
      <c r="Q917" s="90"/>
      <c r="R917" s="72"/>
      <c r="S917" s="72"/>
      <c r="T917" s="72"/>
      <c r="U917" s="72"/>
      <c r="V917" s="72"/>
      <c r="W917" s="72"/>
      <c r="X917" s="72"/>
      <c r="Y917" s="72"/>
    </row>
    <row r="918">
      <c r="A918" s="60"/>
      <c r="B918" s="61"/>
      <c r="C918" s="63"/>
      <c r="D918" s="79"/>
      <c r="E918" s="74" t="s">
        <v>56</v>
      </c>
      <c r="F918" s="63" t="s">
        <v>56</v>
      </c>
      <c r="G918" s="71"/>
      <c r="H918" s="71"/>
      <c r="I918" s="66"/>
      <c r="J918" s="68"/>
      <c r="K918" s="68"/>
      <c r="L918" s="68"/>
      <c r="M918" s="68"/>
      <c r="N918" s="67"/>
      <c r="O918" s="88"/>
      <c r="P918" s="88"/>
      <c r="Q918" s="90"/>
      <c r="R918" s="72"/>
      <c r="S918" s="72"/>
      <c r="T918" s="72"/>
      <c r="U918" s="72"/>
      <c r="V918" s="72"/>
      <c r="W918" s="72"/>
      <c r="X918" s="72"/>
      <c r="Y918" s="72"/>
    </row>
    <row r="919">
      <c r="A919" s="60"/>
      <c r="B919" s="61"/>
      <c r="C919" s="63"/>
      <c r="D919" s="79"/>
      <c r="E919" s="74" t="s">
        <v>56</v>
      </c>
      <c r="F919" s="63" t="s">
        <v>56</v>
      </c>
      <c r="G919" s="71"/>
      <c r="H919" s="71"/>
      <c r="I919" s="66"/>
      <c r="J919" s="68"/>
      <c r="K919" s="68"/>
      <c r="L919" s="68"/>
      <c r="M919" s="68"/>
      <c r="N919" s="67"/>
      <c r="O919" s="88"/>
      <c r="P919" s="88"/>
      <c r="Q919" s="90"/>
      <c r="R919" s="72"/>
      <c r="S919" s="72"/>
      <c r="T919" s="72"/>
      <c r="U919" s="72"/>
      <c r="V919" s="72"/>
      <c r="W919" s="72"/>
      <c r="X919" s="72"/>
      <c r="Y919" s="72"/>
    </row>
    <row r="920">
      <c r="A920" s="60"/>
      <c r="B920" s="61"/>
      <c r="C920" s="63"/>
      <c r="D920" s="79"/>
      <c r="E920" s="74" t="s">
        <v>56</v>
      </c>
      <c r="F920" s="63" t="s">
        <v>56</v>
      </c>
      <c r="G920" s="71"/>
      <c r="H920" s="71"/>
      <c r="I920" s="66"/>
      <c r="J920" s="68"/>
      <c r="K920" s="68"/>
      <c r="L920" s="68"/>
      <c r="M920" s="68"/>
      <c r="N920" s="67"/>
      <c r="O920" s="88"/>
      <c r="P920" s="88"/>
      <c r="Q920" s="90"/>
      <c r="R920" s="72"/>
      <c r="S920" s="72"/>
      <c r="T920" s="72"/>
      <c r="U920" s="72"/>
      <c r="V920" s="72"/>
      <c r="W920" s="72"/>
      <c r="X920" s="72"/>
      <c r="Y920" s="72"/>
    </row>
    <row r="921">
      <c r="A921" s="60"/>
      <c r="B921" s="61"/>
      <c r="C921" s="63"/>
      <c r="D921" s="79"/>
      <c r="E921" s="74" t="s">
        <v>56</v>
      </c>
      <c r="F921" s="63" t="s">
        <v>56</v>
      </c>
      <c r="G921" s="71"/>
      <c r="H921" s="71"/>
      <c r="I921" s="66"/>
      <c r="J921" s="68"/>
      <c r="K921" s="68"/>
      <c r="L921" s="68"/>
      <c r="M921" s="68"/>
      <c r="N921" s="67"/>
      <c r="O921" s="88"/>
      <c r="P921" s="88"/>
      <c r="Q921" s="90"/>
      <c r="R921" s="72"/>
      <c r="S921" s="72"/>
      <c r="T921" s="72"/>
      <c r="U921" s="72"/>
      <c r="V921" s="72"/>
      <c r="W921" s="72"/>
      <c r="X921" s="72"/>
      <c r="Y921" s="72"/>
    </row>
    <row r="922">
      <c r="A922" s="60"/>
      <c r="B922" s="61"/>
      <c r="C922" s="63"/>
      <c r="D922" s="79"/>
      <c r="E922" s="74" t="s">
        <v>56</v>
      </c>
      <c r="F922" s="63" t="s">
        <v>56</v>
      </c>
      <c r="G922" s="71"/>
      <c r="H922" s="71"/>
      <c r="I922" s="66"/>
      <c r="J922" s="68"/>
      <c r="K922" s="68"/>
      <c r="L922" s="68"/>
      <c r="M922" s="68"/>
      <c r="N922" s="67"/>
      <c r="O922" s="88"/>
      <c r="P922" s="88"/>
      <c r="Q922" s="90"/>
      <c r="R922" s="72"/>
      <c r="S922" s="72"/>
      <c r="T922" s="72"/>
      <c r="U922" s="72"/>
      <c r="V922" s="72"/>
      <c r="W922" s="72"/>
      <c r="X922" s="72"/>
      <c r="Y922" s="72"/>
    </row>
    <row r="923">
      <c r="A923" s="60"/>
      <c r="B923" s="61"/>
      <c r="C923" s="63"/>
      <c r="D923" s="79"/>
      <c r="E923" s="74" t="s">
        <v>56</v>
      </c>
      <c r="F923" s="63" t="s">
        <v>56</v>
      </c>
      <c r="G923" s="71"/>
      <c r="H923" s="71"/>
      <c r="I923" s="66"/>
      <c r="J923" s="68"/>
      <c r="K923" s="68"/>
      <c r="L923" s="68"/>
      <c r="M923" s="68"/>
      <c r="N923" s="67"/>
      <c r="O923" s="88"/>
      <c r="P923" s="88"/>
      <c r="Q923" s="90"/>
      <c r="R923" s="72"/>
      <c r="S923" s="72"/>
      <c r="T923" s="72"/>
      <c r="U923" s="72"/>
      <c r="V923" s="72"/>
      <c r="W923" s="72"/>
      <c r="X923" s="72"/>
      <c r="Y923" s="72"/>
    </row>
    <row r="924">
      <c r="A924" s="60"/>
      <c r="B924" s="61"/>
      <c r="C924" s="63"/>
      <c r="D924" s="79"/>
      <c r="E924" s="74" t="s">
        <v>56</v>
      </c>
      <c r="F924" s="63" t="s">
        <v>56</v>
      </c>
      <c r="G924" s="71"/>
      <c r="H924" s="71"/>
      <c r="I924" s="66"/>
      <c r="J924" s="68"/>
      <c r="K924" s="68"/>
      <c r="L924" s="68"/>
      <c r="M924" s="68"/>
      <c r="N924" s="67"/>
      <c r="O924" s="88"/>
      <c r="P924" s="88"/>
      <c r="Q924" s="90"/>
      <c r="R924" s="72"/>
      <c r="S924" s="72"/>
      <c r="T924" s="72"/>
      <c r="U924" s="72"/>
      <c r="V924" s="72"/>
      <c r="W924" s="72"/>
      <c r="X924" s="72"/>
      <c r="Y924" s="72"/>
    </row>
    <row r="925">
      <c r="A925" s="60"/>
      <c r="B925" s="61"/>
      <c r="C925" s="63"/>
      <c r="D925" s="79"/>
      <c r="E925" s="74" t="s">
        <v>56</v>
      </c>
      <c r="F925" s="63" t="s">
        <v>56</v>
      </c>
      <c r="G925" s="71"/>
      <c r="H925" s="71"/>
      <c r="I925" s="66"/>
      <c r="J925" s="68"/>
      <c r="K925" s="68"/>
      <c r="L925" s="68"/>
      <c r="M925" s="68"/>
      <c r="N925" s="67"/>
      <c r="O925" s="88"/>
      <c r="P925" s="88"/>
      <c r="Q925" s="90"/>
      <c r="R925" s="72"/>
      <c r="S925" s="72"/>
      <c r="T925" s="72"/>
      <c r="U925" s="72"/>
      <c r="V925" s="72"/>
      <c r="W925" s="72"/>
      <c r="X925" s="72"/>
      <c r="Y925" s="72"/>
    </row>
    <row r="926">
      <c r="A926" s="60"/>
      <c r="B926" s="61"/>
      <c r="C926" s="63"/>
      <c r="D926" s="79"/>
      <c r="E926" s="74" t="s">
        <v>56</v>
      </c>
      <c r="F926" s="63" t="s">
        <v>56</v>
      </c>
      <c r="G926" s="71"/>
      <c r="H926" s="71"/>
      <c r="I926" s="66"/>
      <c r="J926" s="68"/>
      <c r="K926" s="68"/>
      <c r="L926" s="68"/>
      <c r="M926" s="68"/>
      <c r="N926" s="67"/>
      <c r="O926" s="88"/>
      <c r="P926" s="88"/>
      <c r="Q926" s="90"/>
      <c r="R926" s="72"/>
      <c r="S926" s="72"/>
      <c r="T926" s="72"/>
      <c r="U926" s="72"/>
      <c r="V926" s="72"/>
      <c r="W926" s="72"/>
      <c r="X926" s="72"/>
      <c r="Y926" s="72"/>
    </row>
    <row r="927">
      <c r="A927" s="60"/>
      <c r="B927" s="61"/>
      <c r="C927" s="63"/>
      <c r="D927" s="79"/>
      <c r="E927" s="74" t="s">
        <v>56</v>
      </c>
      <c r="F927" s="63" t="s">
        <v>56</v>
      </c>
      <c r="G927" s="71"/>
      <c r="H927" s="71"/>
      <c r="I927" s="66"/>
      <c r="J927" s="68"/>
      <c r="K927" s="68"/>
      <c r="L927" s="68"/>
      <c r="M927" s="68"/>
      <c r="N927" s="67"/>
      <c r="O927" s="88"/>
      <c r="P927" s="88"/>
      <c r="Q927" s="90"/>
      <c r="R927" s="72"/>
      <c r="S927" s="72"/>
      <c r="T927" s="72"/>
      <c r="U927" s="72"/>
      <c r="V927" s="72"/>
      <c r="W927" s="72"/>
      <c r="X927" s="72"/>
      <c r="Y927" s="72"/>
    </row>
    <row r="928">
      <c r="A928" s="60"/>
      <c r="B928" s="61"/>
      <c r="C928" s="63"/>
      <c r="D928" s="79"/>
      <c r="E928" s="74" t="s">
        <v>56</v>
      </c>
      <c r="F928" s="63" t="s">
        <v>56</v>
      </c>
      <c r="G928" s="71"/>
      <c r="H928" s="71"/>
      <c r="I928" s="66"/>
      <c r="J928" s="68"/>
      <c r="K928" s="68"/>
      <c r="L928" s="68"/>
      <c r="M928" s="68"/>
      <c r="N928" s="67"/>
      <c r="O928" s="88"/>
      <c r="P928" s="88"/>
      <c r="Q928" s="90"/>
      <c r="R928" s="72"/>
      <c r="S928" s="72"/>
      <c r="T928" s="72"/>
      <c r="U928" s="72"/>
      <c r="V928" s="72"/>
      <c r="W928" s="72"/>
      <c r="X928" s="72"/>
      <c r="Y928" s="72"/>
    </row>
    <row r="929">
      <c r="A929" s="60"/>
      <c r="B929" s="61"/>
      <c r="C929" s="63"/>
      <c r="D929" s="79"/>
      <c r="E929" s="74" t="s">
        <v>56</v>
      </c>
      <c r="F929" s="63" t="s">
        <v>56</v>
      </c>
      <c r="G929" s="71"/>
      <c r="H929" s="71"/>
      <c r="I929" s="66"/>
      <c r="J929" s="68"/>
      <c r="K929" s="68"/>
      <c r="L929" s="68"/>
      <c r="M929" s="68"/>
      <c r="N929" s="67"/>
      <c r="O929" s="88"/>
      <c r="P929" s="88"/>
      <c r="Q929" s="90"/>
      <c r="R929" s="72"/>
      <c r="S929" s="72"/>
      <c r="T929" s="72"/>
      <c r="U929" s="72"/>
      <c r="V929" s="72"/>
      <c r="W929" s="72"/>
      <c r="X929" s="72"/>
      <c r="Y929" s="72"/>
    </row>
    <row r="930">
      <c r="A930" s="60"/>
      <c r="B930" s="61"/>
      <c r="C930" s="63"/>
      <c r="D930" s="79"/>
      <c r="E930" s="74" t="s">
        <v>56</v>
      </c>
      <c r="F930" s="63" t="s">
        <v>56</v>
      </c>
      <c r="G930" s="71"/>
      <c r="H930" s="71"/>
      <c r="I930" s="66"/>
      <c r="J930" s="68"/>
      <c r="K930" s="68"/>
      <c r="L930" s="68"/>
      <c r="M930" s="68"/>
      <c r="N930" s="67"/>
      <c r="O930" s="88"/>
      <c r="P930" s="88"/>
      <c r="Q930" s="90"/>
      <c r="R930" s="72"/>
      <c r="S930" s="72"/>
      <c r="T930" s="72"/>
      <c r="U930" s="72"/>
      <c r="V930" s="72"/>
      <c r="W930" s="72"/>
      <c r="X930" s="72"/>
      <c r="Y930" s="72"/>
    </row>
    <row r="931">
      <c r="A931" s="60"/>
      <c r="B931" s="61"/>
      <c r="C931" s="63"/>
      <c r="D931" s="79"/>
      <c r="E931" s="74" t="s">
        <v>56</v>
      </c>
      <c r="F931" s="63" t="s">
        <v>56</v>
      </c>
      <c r="G931" s="71"/>
      <c r="H931" s="71"/>
      <c r="I931" s="66"/>
      <c r="J931" s="68"/>
      <c r="K931" s="68"/>
      <c r="L931" s="68"/>
      <c r="M931" s="68"/>
      <c r="N931" s="67"/>
      <c r="O931" s="88"/>
      <c r="P931" s="88"/>
      <c r="Q931" s="90"/>
      <c r="R931" s="72"/>
      <c r="S931" s="72"/>
      <c r="T931" s="72"/>
      <c r="U931" s="72"/>
      <c r="V931" s="72"/>
      <c r="W931" s="72"/>
      <c r="X931" s="72"/>
      <c r="Y931" s="72"/>
    </row>
    <row r="932">
      <c r="A932" s="60"/>
      <c r="B932" s="61"/>
      <c r="C932" s="63"/>
      <c r="D932" s="79"/>
      <c r="E932" s="74" t="s">
        <v>56</v>
      </c>
      <c r="F932" s="63" t="s">
        <v>56</v>
      </c>
      <c r="G932" s="71"/>
      <c r="H932" s="71"/>
      <c r="I932" s="66"/>
      <c r="J932" s="68"/>
      <c r="K932" s="68"/>
      <c r="L932" s="68"/>
      <c r="M932" s="68"/>
      <c r="N932" s="67"/>
      <c r="O932" s="88"/>
      <c r="P932" s="88"/>
      <c r="Q932" s="90"/>
      <c r="R932" s="72"/>
      <c r="S932" s="72"/>
      <c r="T932" s="72"/>
      <c r="U932" s="72"/>
      <c r="V932" s="72"/>
      <c r="W932" s="72"/>
      <c r="X932" s="72"/>
      <c r="Y932" s="72"/>
    </row>
    <row r="933">
      <c r="A933" s="60"/>
      <c r="B933" s="61"/>
      <c r="C933" s="63"/>
      <c r="D933" s="79"/>
      <c r="E933" s="74" t="s">
        <v>56</v>
      </c>
      <c r="F933" s="63" t="s">
        <v>56</v>
      </c>
      <c r="G933" s="71"/>
      <c r="H933" s="71"/>
      <c r="I933" s="66"/>
      <c r="J933" s="68"/>
      <c r="K933" s="68"/>
      <c r="L933" s="68"/>
      <c r="M933" s="68"/>
      <c r="N933" s="67"/>
      <c r="O933" s="88"/>
      <c r="P933" s="88"/>
      <c r="Q933" s="90"/>
      <c r="R933" s="72"/>
      <c r="S933" s="72"/>
      <c r="T933" s="72"/>
      <c r="U933" s="72"/>
      <c r="V933" s="72"/>
      <c r="W933" s="72"/>
      <c r="X933" s="72"/>
      <c r="Y933" s="72"/>
    </row>
    <row r="934">
      <c r="A934" s="60"/>
      <c r="B934" s="61"/>
      <c r="C934" s="63"/>
      <c r="D934" s="79"/>
      <c r="E934" s="74" t="s">
        <v>56</v>
      </c>
      <c r="F934" s="63" t="s">
        <v>56</v>
      </c>
      <c r="G934" s="71"/>
      <c r="H934" s="71"/>
      <c r="I934" s="66"/>
      <c r="J934" s="68"/>
      <c r="K934" s="68"/>
      <c r="L934" s="68"/>
      <c r="M934" s="68"/>
      <c r="N934" s="67"/>
      <c r="O934" s="88"/>
      <c r="P934" s="88"/>
      <c r="Q934" s="90"/>
      <c r="R934" s="72"/>
      <c r="S934" s="72"/>
      <c r="T934" s="72"/>
      <c r="U934" s="72"/>
      <c r="V934" s="72"/>
      <c r="W934" s="72"/>
      <c r="X934" s="72"/>
      <c r="Y934" s="72"/>
    </row>
    <row r="935">
      <c r="A935" s="60"/>
      <c r="B935" s="61"/>
      <c r="C935" s="63"/>
      <c r="D935" s="79"/>
      <c r="E935" s="74" t="s">
        <v>56</v>
      </c>
      <c r="F935" s="63" t="s">
        <v>56</v>
      </c>
      <c r="G935" s="71"/>
      <c r="H935" s="71"/>
      <c r="I935" s="66"/>
      <c r="J935" s="68"/>
      <c r="K935" s="68"/>
      <c r="L935" s="68"/>
      <c r="M935" s="68"/>
      <c r="N935" s="67"/>
      <c r="O935" s="88"/>
      <c r="P935" s="88"/>
      <c r="Q935" s="90"/>
      <c r="R935" s="72"/>
      <c r="S935" s="72"/>
      <c r="T935" s="72"/>
      <c r="U935" s="72"/>
      <c r="V935" s="72"/>
      <c r="W935" s="72"/>
      <c r="X935" s="72"/>
      <c r="Y935" s="72"/>
    </row>
    <row r="936">
      <c r="A936" s="60"/>
      <c r="B936" s="61"/>
      <c r="C936" s="63"/>
      <c r="D936" s="79"/>
      <c r="E936" s="74" t="s">
        <v>56</v>
      </c>
      <c r="F936" s="63" t="s">
        <v>56</v>
      </c>
      <c r="G936" s="71"/>
      <c r="H936" s="71"/>
      <c r="I936" s="66"/>
      <c r="J936" s="68"/>
      <c r="K936" s="68"/>
      <c r="L936" s="68"/>
      <c r="M936" s="68"/>
      <c r="N936" s="67"/>
      <c r="O936" s="88"/>
      <c r="P936" s="88"/>
      <c r="Q936" s="90"/>
      <c r="R936" s="72"/>
      <c r="S936" s="72"/>
      <c r="T936" s="72"/>
      <c r="U936" s="72"/>
      <c r="V936" s="72"/>
      <c r="W936" s="72"/>
      <c r="X936" s="72"/>
      <c r="Y936" s="72"/>
    </row>
    <row r="937">
      <c r="A937" s="60"/>
      <c r="B937" s="61"/>
      <c r="C937" s="63"/>
      <c r="D937" s="79"/>
      <c r="E937" s="74" t="s">
        <v>56</v>
      </c>
      <c r="F937" s="63" t="s">
        <v>56</v>
      </c>
      <c r="G937" s="71"/>
      <c r="H937" s="71"/>
      <c r="I937" s="66"/>
      <c r="J937" s="68"/>
      <c r="K937" s="68"/>
      <c r="L937" s="68"/>
      <c r="M937" s="68"/>
      <c r="N937" s="67"/>
      <c r="O937" s="88"/>
      <c r="P937" s="88"/>
      <c r="Q937" s="90"/>
      <c r="R937" s="72"/>
      <c r="S937" s="72"/>
      <c r="T937" s="72"/>
      <c r="U937" s="72"/>
      <c r="V937" s="72"/>
      <c r="W937" s="72"/>
      <c r="X937" s="72"/>
      <c r="Y937" s="72"/>
    </row>
    <row r="938">
      <c r="A938" s="60"/>
      <c r="B938" s="61"/>
      <c r="C938" s="63"/>
      <c r="D938" s="79"/>
      <c r="E938" s="74" t="s">
        <v>56</v>
      </c>
      <c r="F938" s="63" t="s">
        <v>56</v>
      </c>
      <c r="G938" s="71"/>
      <c r="H938" s="71"/>
      <c r="I938" s="66"/>
      <c r="J938" s="68"/>
      <c r="K938" s="68"/>
      <c r="L938" s="68"/>
      <c r="M938" s="68"/>
      <c r="N938" s="67"/>
      <c r="O938" s="88"/>
      <c r="P938" s="88"/>
      <c r="Q938" s="90"/>
      <c r="R938" s="72"/>
      <c r="S938" s="72"/>
      <c r="T938" s="72"/>
      <c r="U938" s="72"/>
      <c r="V938" s="72"/>
      <c r="W938" s="72"/>
      <c r="X938" s="72"/>
      <c r="Y938" s="72"/>
    </row>
    <row r="939">
      <c r="A939" s="60"/>
      <c r="B939" s="61"/>
      <c r="C939" s="63"/>
      <c r="D939" s="79"/>
      <c r="E939" s="74" t="s">
        <v>56</v>
      </c>
      <c r="F939" s="63" t="s">
        <v>56</v>
      </c>
      <c r="G939" s="71"/>
      <c r="H939" s="71"/>
      <c r="I939" s="66"/>
      <c r="J939" s="68"/>
      <c r="K939" s="68"/>
      <c r="L939" s="68"/>
      <c r="M939" s="68"/>
      <c r="N939" s="67"/>
      <c r="O939" s="88"/>
      <c r="P939" s="88"/>
      <c r="Q939" s="90"/>
      <c r="R939" s="72"/>
      <c r="S939" s="72"/>
      <c r="T939" s="72"/>
      <c r="U939" s="72"/>
      <c r="V939" s="72"/>
      <c r="W939" s="72"/>
      <c r="X939" s="72"/>
      <c r="Y939" s="72"/>
    </row>
    <row r="940">
      <c r="A940" s="60"/>
      <c r="B940" s="61"/>
      <c r="C940" s="63"/>
      <c r="D940" s="79"/>
      <c r="E940" s="74" t="s">
        <v>56</v>
      </c>
      <c r="F940" s="63" t="s">
        <v>56</v>
      </c>
      <c r="G940" s="71"/>
      <c r="H940" s="71"/>
      <c r="I940" s="66"/>
      <c r="J940" s="68"/>
      <c r="K940" s="68"/>
      <c r="L940" s="68"/>
      <c r="M940" s="68"/>
      <c r="N940" s="67"/>
      <c r="O940" s="88"/>
      <c r="P940" s="88"/>
      <c r="Q940" s="90"/>
      <c r="R940" s="72"/>
      <c r="S940" s="72"/>
      <c r="T940" s="72"/>
      <c r="U940" s="72"/>
      <c r="V940" s="72"/>
      <c r="W940" s="72"/>
      <c r="X940" s="72"/>
      <c r="Y940" s="72"/>
    </row>
    <row r="941">
      <c r="A941" s="60"/>
      <c r="B941" s="61"/>
      <c r="C941" s="63"/>
      <c r="D941" s="79"/>
      <c r="E941" s="74" t="s">
        <v>56</v>
      </c>
      <c r="F941" s="63" t="s">
        <v>56</v>
      </c>
      <c r="G941" s="71"/>
      <c r="H941" s="71"/>
      <c r="I941" s="66"/>
      <c r="J941" s="68"/>
      <c r="K941" s="68"/>
      <c r="L941" s="68"/>
      <c r="M941" s="68"/>
      <c r="N941" s="67"/>
      <c r="O941" s="88"/>
      <c r="P941" s="88"/>
      <c r="Q941" s="90"/>
      <c r="R941" s="72"/>
      <c r="S941" s="72"/>
      <c r="T941" s="72"/>
      <c r="U941" s="72"/>
      <c r="V941" s="72"/>
      <c r="W941" s="72"/>
      <c r="X941" s="72"/>
      <c r="Y941" s="72"/>
    </row>
    <row r="942">
      <c r="A942" s="60"/>
      <c r="B942" s="61"/>
      <c r="C942" s="63"/>
      <c r="D942" s="79"/>
      <c r="E942" s="74" t="s">
        <v>56</v>
      </c>
      <c r="F942" s="63" t="s">
        <v>56</v>
      </c>
      <c r="G942" s="71"/>
      <c r="H942" s="71"/>
      <c r="I942" s="66"/>
      <c r="J942" s="68"/>
      <c r="K942" s="68"/>
      <c r="L942" s="68"/>
      <c r="M942" s="68"/>
      <c r="N942" s="67"/>
      <c r="O942" s="88"/>
      <c r="P942" s="88"/>
      <c r="Q942" s="90"/>
      <c r="R942" s="72"/>
      <c r="S942" s="72"/>
      <c r="T942" s="72"/>
      <c r="U942" s="72"/>
      <c r="V942" s="72"/>
      <c r="W942" s="72"/>
      <c r="X942" s="72"/>
      <c r="Y942" s="72"/>
    </row>
    <row r="943">
      <c r="A943" s="60"/>
      <c r="B943" s="61"/>
      <c r="C943" s="63"/>
      <c r="D943" s="79"/>
      <c r="E943" s="74" t="s">
        <v>56</v>
      </c>
      <c r="F943" s="63" t="s">
        <v>56</v>
      </c>
      <c r="G943" s="71"/>
      <c r="H943" s="71"/>
      <c r="I943" s="66"/>
      <c r="J943" s="68"/>
      <c r="K943" s="68"/>
      <c r="L943" s="68"/>
      <c r="M943" s="68"/>
      <c r="N943" s="67"/>
      <c r="O943" s="88"/>
      <c r="P943" s="88"/>
      <c r="Q943" s="90"/>
      <c r="R943" s="72"/>
      <c r="S943" s="72"/>
      <c r="T943" s="72"/>
      <c r="U943" s="72"/>
      <c r="V943" s="72"/>
      <c r="W943" s="72"/>
      <c r="X943" s="72"/>
      <c r="Y943" s="72"/>
    </row>
    <row r="944">
      <c r="A944" s="60"/>
      <c r="B944" s="61"/>
      <c r="C944" s="63"/>
      <c r="D944" s="79"/>
      <c r="E944" s="74" t="s">
        <v>56</v>
      </c>
      <c r="F944" s="63" t="s">
        <v>56</v>
      </c>
      <c r="G944" s="71"/>
      <c r="H944" s="71"/>
      <c r="I944" s="66"/>
      <c r="J944" s="68"/>
      <c r="K944" s="68"/>
      <c r="L944" s="68"/>
      <c r="M944" s="68"/>
      <c r="N944" s="67"/>
      <c r="O944" s="88"/>
      <c r="P944" s="88"/>
      <c r="Q944" s="90"/>
      <c r="R944" s="72"/>
      <c r="S944" s="72"/>
      <c r="T944" s="72"/>
      <c r="U944" s="72"/>
      <c r="V944" s="72"/>
      <c r="W944" s="72"/>
      <c r="X944" s="72"/>
      <c r="Y944" s="72"/>
    </row>
    <row r="945">
      <c r="A945" s="60"/>
      <c r="B945" s="61"/>
      <c r="C945" s="63"/>
      <c r="D945" s="79"/>
      <c r="E945" s="74" t="s">
        <v>56</v>
      </c>
      <c r="F945" s="63" t="s">
        <v>56</v>
      </c>
      <c r="G945" s="71"/>
      <c r="H945" s="71"/>
      <c r="I945" s="66"/>
      <c r="J945" s="68"/>
      <c r="K945" s="68"/>
      <c r="L945" s="68"/>
      <c r="M945" s="68"/>
      <c r="N945" s="67"/>
      <c r="O945" s="88"/>
      <c r="P945" s="88"/>
      <c r="Q945" s="90"/>
      <c r="R945" s="72"/>
      <c r="S945" s="72"/>
      <c r="T945" s="72"/>
      <c r="U945" s="72"/>
      <c r="V945" s="72"/>
      <c r="W945" s="72"/>
      <c r="X945" s="72"/>
      <c r="Y945" s="72"/>
    </row>
    <row r="946">
      <c r="A946" s="60"/>
      <c r="B946" s="61"/>
      <c r="C946" s="63"/>
      <c r="D946" s="79"/>
      <c r="E946" s="74" t="s">
        <v>56</v>
      </c>
      <c r="F946" s="63" t="s">
        <v>56</v>
      </c>
      <c r="G946" s="71"/>
      <c r="H946" s="71"/>
      <c r="I946" s="66"/>
      <c r="J946" s="68"/>
      <c r="K946" s="68"/>
      <c r="L946" s="68"/>
      <c r="M946" s="68"/>
      <c r="N946" s="67"/>
      <c r="O946" s="88"/>
      <c r="P946" s="88"/>
      <c r="Q946" s="90"/>
      <c r="R946" s="72"/>
      <c r="S946" s="72"/>
      <c r="T946" s="72"/>
      <c r="U946" s="72"/>
      <c r="V946" s="72"/>
      <c r="W946" s="72"/>
      <c r="X946" s="72"/>
      <c r="Y946" s="72"/>
    </row>
    <row r="947">
      <c r="A947" s="60"/>
      <c r="B947" s="61"/>
      <c r="C947" s="63"/>
      <c r="D947" s="79"/>
      <c r="E947" s="74" t="s">
        <v>56</v>
      </c>
      <c r="F947" s="63" t="s">
        <v>56</v>
      </c>
      <c r="G947" s="71"/>
      <c r="H947" s="71"/>
      <c r="I947" s="66"/>
      <c r="J947" s="68"/>
      <c r="K947" s="68"/>
      <c r="L947" s="68"/>
      <c r="M947" s="68"/>
      <c r="N947" s="67"/>
      <c r="O947" s="88"/>
      <c r="P947" s="88"/>
      <c r="Q947" s="90"/>
      <c r="R947" s="72"/>
      <c r="S947" s="72"/>
      <c r="T947" s="72"/>
      <c r="U947" s="72"/>
      <c r="V947" s="72"/>
      <c r="W947" s="72"/>
      <c r="X947" s="72"/>
      <c r="Y947" s="72"/>
    </row>
    <row r="948">
      <c r="A948" s="60"/>
      <c r="B948" s="61"/>
      <c r="C948" s="63"/>
      <c r="D948" s="79"/>
      <c r="E948" s="74" t="s">
        <v>56</v>
      </c>
      <c r="F948" s="63" t="s">
        <v>56</v>
      </c>
      <c r="G948" s="71"/>
      <c r="H948" s="71"/>
      <c r="I948" s="66"/>
      <c r="J948" s="68"/>
      <c r="K948" s="68"/>
      <c r="L948" s="68"/>
      <c r="M948" s="68"/>
      <c r="N948" s="67"/>
      <c r="O948" s="88"/>
      <c r="P948" s="88"/>
      <c r="Q948" s="90"/>
      <c r="R948" s="72"/>
      <c r="S948" s="72"/>
      <c r="T948" s="72"/>
      <c r="U948" s="72"/>
      <c r="V948" s="72"/>
      <c r="W948" s="72"/>
      <c r="X948" s="72"/>
      <c r="Y948" s="72"/>
    </row>
    <row r="949">
      <c r="A949" s="60"/>
      <c r="B949" s="61"/>
      <c r="C949" s="63"/>
      <c r="D949" s="79"/>
      <c r="E949" s="74" t="s">
        <v>56</v>
      </c>
      <c r="F949" s="63" t="s">
        <v>56</v>
      </c>
      <c r="G949" s="71"/>
      <c r="H949" s="71"/>
      <c r="I949" s="66"/>
      <c r="J949" s="68"/>
      <c r="K949" s="68"/>
      <c r="L949" s="68"/>
      <c r="M949" s="68"/>
      <c r="N949" s="67"/>
      <c r="O949" s="88"/>
      <c r="P949" s="88"/>
      <c r="Q949" s="90"/>
      <c r="R949" s="72"/>
      <c r="S949" s="72"/>
      <c r="T949" s="72"/>
      <c r="U949" s="72"/>
      <c r="V949" s="72"/>
      <c r="W949" s="72"/>
      <c r="X949" s="72"/>
      <c r="Y949" s="72"/>
    </row>
    <row r="950">
      <c r="A950" s="60"/>
      <c r="B950" s="61"/>
      <c r="C950" s="63"/>
      <c r="D950" s="79"/>
      <c r="E950" s="74" t="s">
        <v>56</v>
      </c>
      <c r="F950" s="63" t="s">
        <v>56</v>
      </c>
      <c r="G950" s="71"/>
      <c r="H950" s="71"/>
      <c r="I950" s="66"/>
      <c r="J950" s="68"/>
      <c r="K950" s="68"/>
      <c r="L950" s="68"/>
      <c r="M950" s="68"/>
      <c r="N950" s="67"/>
      <c r="O950" s="88"/>
      <c r="P950" s="88"/>
      <c r="Q950" s="90"/>
      <c r="R950" s="72"/>
      <c r="S950" s="72"/>
      <c r="T950" s="72"/>
      <c r="U950" s="72"/>
      <c r="V950" s="72"/>
      <c r="W950" s="72"/>
      <c r="X950" s="72"/>
      <c r="Y950" s="72"/>
    </row>
    <row r="951">
      <c r="A951" s="60"/>
      <c r="B951" s="61"/>
      <c r="C951" s="63"/>
      <c r="D951" s="79"/>
      <c r="E951" s="74" t="s">
        <v>56</v>
      </c>
      <c r="F951" s="63" t="s">
        <v>56</v>
      </c>
      <c r="G951" s="71"/>
      <c r="H951" s="71"/>
      <c r="I951" s="66"/>
      <c r="J951" s="68"/>
      <c r="K951" s="68"/>
      <c r="L951" s="68"/>
      <c r="M951" s="68"/>
      <c r="N951" s="67"/>
      <c r="O951" s="88"/>
      <c r="P951" s="88"/>
      <c r="Q951" s="90"/>
      <c r="R951" s="72"/>
      <c r="S951" s="72"/>
      <c r="T951" s="72"/>
      <c r="U951" s="72"/>
      <c r="V951" s="72"/>
      <c r="W951" s="72"/>
      <c r="X951" s="72"/>
      <c r="Y951" s="72"/>
    </row>
    <row r="952">
      <c r="A952" s="60"/>
      <c r="B952" s="61"/>
      <c r="C952" s="63"/>
      <c r="D952" s="79"/>
      <c r="E952" s="74" t="s">
        <v>56</v>
      </c>
      <c r="F952" s="63" t="s">
        <v>56</v>
      </c>
      <c r="G952" s="71"/>
      <c r="H952" s="71"/>
      <c r="I952" s="66"/>
      <c r="J952" s="68"/>
      <c r="K952" s="68"/>
      <c r="L952" s="68"/>
      <c r="M952" s="68"/>
      <c r="N952" s="67"/>
      <c r="O952" s="88"/>
      <c r="P952" s="88"/>
      <c r="Q952" s="90"/>
      <c r="R952" s="72"/>
      <c r="S952" s="72"/>
      <c r="T952" s="72"/>
      <c r="U952" s="72"/>
      <c r="V952" s="72"/>
      <c r="W952" s="72"/>
      <c r="X952" s="72"/>
      <c r="Y952" s="72"/>
    </row>
  </sheetData>
  <hyperlinks>
    <hyperlink r:id="rId1" ref="E3"/>
    <hyperlink r:id="rId2" ref="E4"/>
    <hyperlink r:id="rId3" ref="D5"/>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ref="E41"/>
    <hyperlink r:id="rId41" ref="E42"/>
    <hyperlink r:id="rId42" ref="E43"/>
    <hyperlink r:id="rId43" ref="E44"/>
    <hyperlink r:id="rId44" ref="E45"/>
    <hyperlink r:id="rId45" ref="E46"/>
    <hyperlink r:id="rId46" ref="E47"/>
    <hyperlink r:id="rId47" ref="E48"/>
    <hyperlink r:id="rId48" ref="E49"/>
    <hyperlink r:id="rId49" ref="E50"/>
    <hyperlink r:id="rId50" ref="E51"/>
    <hyperlink r:id="rId51" ref="E52"/>
    <hyperlink r:id="rId52" ref="E53"/>
    <hyperlink r:id="rId53" ref="E54"/>
    <hyperlink r:id="rId54" ref="E55"/>
    <hyperlink r:id="rId55" ref="E56"/>
    <hyperlink r:id="rId56" ref="E57"/>
    <hyperlink r:id="rId57" ref="E58"/>
    <hyperlink r:id="rId58" ref="E59"/>
    <hyperlink r:id="rId59" ref="E60"/>
    <hyperlink r:id="rId60" ref="E61"/>
    <hyperlink r:id="rId61" ref="E62"/>
    <hyperlink r:id="rId62" ref="E63"/>
    <hyperlink r:id="rId63" ref="E64"/>
    <hyperlink r:id="rId64" ref="E65"/>
    <hyperlink r:id="rId65" ref="E66"/>
    <hyperlink r:id="rId66" ref="E67"/>
    <hyperlink r:id="rId67" ref="E68"/>
    <hyperlink r:id="rId68" ref="E69"/>
    <hyperlink r:id="rId69" ref="E70"/>
    <hyperlink r:id="rId70" ref="E71"/>
    <hyperlink r:id="rId71" ref="E72"/>
    <hyperlink r:id="rId72" ref="E73"/>
    <hyperlink r:id="rId73" ref="E74"/>
    <hyperlink r:id="rId74" ref="E75"/>
    <hyperlink r:id="rId75" ref="E76"/>
    <hyperlink r:id="rId76" ref="E77"/>
    <hyperlink r:id="rId77" ref="E78"/>
    <hyperlink r:id="rId78" ref="E79"/>
    <hyperlink r:id="rId79" ref="E80"/>
    <hyperlink r:id="rId80" ref="E81"/>
    <hyperlink r:id="rId81" ref="E82"/>
    <hyperlink r:id="rId82" ref="E83"/>
    <hyperlink r:id="rId83" ref="E84"/>
    <hyperlink r:id="rId84" ref="E85"/>
    <hyperlink r:id="rId85" ref="E86"/>
    <hyperlink r:id="rId86" ref="E87"/>
    <hyperlink r:id="rId87" ref="E88"/>
    <hyperlink r:id="rId88" ref="E89"/>
    <hyperlink r:id="rId89" ref="E90"/>
    <hyperlink r:id="rId90" ref="E91"/>
    <hyperlink r:id="rId91" ref="E92"/>
    <hyperlink r:id="rId92" ref="E93"/>
    <hyperlink r:id="rId93" ref="E94"/>
    <hyperlink r:id="rId94" ref="E95"/>
    <hyperlink r:id="rId95" ref="E96"/>
    <hyperlink r:id="rId96" ref="E97"/>
    <hyperlink r:id="rId97" ref="E98"/>
    <hyperlink r:id="rId98" ref="E99"/>
    <hyperlink r:id="rId99" ref="E100"/>
    <hyperlink r:id="rId100" ref="E101"/>
    <hyperlink r:id="rId101" ref="E102"/>
    <hyperlink r:id="rId102" ref="E103"/>
    <hyperlink r:id="rId103" ref="E104"/>
    <hyperlink r:id="rId104" ref="E105"/>
    <hyperlink r:id="rId105" ref="E106"/>
    <hyperlink r:id="rId106" ref="E107"/>
    <hyperlink r:id="rId107" ref="E108"/>
    <hyperlink r:id="rId108" ref="E109"/>
    <hyperlink r:id="rId109" ref="E110"/>
    <hyperlink r:id="rId110" ref="E111"/>
    <hyperlink r:id="rId111" ref="E112"/>
    <hyperlink r:id="rId112" ref="E113"/>
    <hyperlink r:id="rId113" ref="E114"/>
    <hyperlink r:id="rId114" ref="E115"/>
    <hyperlink r:id="rId115" ref="E116"/>
    <hyperlink r:id="rId116" ref="E117"/>
    <hyperlink r:id="rId117" ref="E118"/>
    <hyperlink r:id="rId118" ref="E119"/>
    <hyperlink r:id="rId119" ref="E120"/>
    <hyperlink r:id="rId120" ref="E121"/>
    <hyperlink r:id="rId121" ref="E122"/>
    <hyperlink r:id="rId122" ref="E123"/>
    <hyperlink r:id="rId123" ref="E124"/>
    <hyperlink r:id="rId124" ref="E125"/>
    <hyperlink r:id="rId125" ref="E126"/>
    <hyperlink r:id="rId126" ref="E127"/>
    <hyperlink r:id="rId127" ref="E128"/>
    <hyperlink r:id="rId128" ref="E129"/>
    <hyperlink r:id="rId129" ref="E130"/>
    <hyperlink r:id="rId130" ref="E131"/>
    <hyperlink r:id="rId131" ref="E132"/>
    <hyperlink r:id="rId132" ref="E133"/>
    <hyperlink r:id="rId133" ref="E134"/>
    <hyperlink r:id="rId134" ref="E135"/>
    <hyperlink r:id="rId135" ref="E136"/>
    <hyperlink r:id="rId136" ref="E137"/>
    <hyperlink r:id="rId137" ref="E138"/>
    <hyperlink r:id="rId138" ref="E139"/>
    <hyperlink r:id="rId139" ref="E140"/>
    <hyperlink r:id="rId140" ref="E141"/>
    <hyperlink r:id="rId141" ref="E142"/>
    <hyperlink r:id="rId142" ref="E143"/>
    <hyperlink r:id="rId143" ref="E144"/>
    <hyperlink r:id="rId144" ref="E145"/>
    <hyperlink r:id="rId145" ref="E146"/>
    <hyperlink r:id="rId146" ref="E147"/>
    <hyperlink r:id="rId147" ref="E148"/>
    <hyperlink r:id="rId148" ref="E149"/>
    <hyperlink r:id="rId149" ref="E150"/>
    <hyperlink r:id="rId150" ref="E151"/>
    <hyperlink r:id="rId151" ref="E152"/>
    <hyperlink r:id="rId152" ref="E153"/>
    <hyperlink r:id="rId153" ref="E154"/>
    <hyperlink r:id="rId154" ref="E155"/>
    <hyperlink r:id="rId155" ref="E156"/>
    <hyperlink r:id="rId156" ref="E157"/>
    <hyperlink r:id="rId157" ref="E158"/>
    <hyperlink r:id="rId158" ref="E159"/>
    <hyperlink r:id="rId159" location="v=onepage&amp;q&amp;f=false" ref="D160"/>
    <hyperlink r:id="rId160" ref="E160"/>
    <hyperlink r:id="rId161" location="v=onepage&amp;q&amp;f=false" ref="D161"/>
    <hyperlink r:id="rId162" ref="E161"/>
    <hyperlink r:id="rId163" ref="E162"/>
    <hyperlink r:id="rId164" ref="E163"/>
    <hyperlink r:id="rId165" ref="E164"/>
    <hyperlink r:id="rId166" ref="E165"/>
    <hyperlink r:id="rId167" ref="E166"/>
    <hyperlink r:id="rId168" ref="E167"/>
    <hyperlink r:id="rId169" ref="E168"/>
    <hyperlink r:id="rId170" ref="E169"/>
    <hyperlink r:id="rId171" ref="E170"/>
    <hyperlink r:id="rId172" ref="E171"/>
    <hyperlink r:id="rId173" ref="E172"/>
    <hyperlink r:id="rId174" ref="E173"/>
    <hyperlink r:id="rId175" ref="E174"/>
    <hyperlink r:id="rId176" ref="E175"/>
    <hyperlink r:id="rId177" ref="E176"/>
    <hyperlink r:id="rId178" ref="E177"/>
    <hyperlink r:id="rId179" ref="E178"/>
    <hyperlink r:id="rId180" ref="E179"/>
    <hyperlink r:id="rId181" ref="E180"/>
    <hyperlink r:id="rId182" ref="E181"/>
    <hyperlink r:id="rId183" ref="E182"/>
    <hyperlink r:id="rId184" ref="E183"/>
    <hyperlink r:id="rId185" ref="E184"/>
    <hyperlink r:id="rId186" ref="E185"/>
    <hyperlink r:id="rId187" ref="E186"/>
    <hyperlink r:id="rId188" ref="E187"/>
    <hyperlink r:id="rId189" ref="E188"/>
    <hyperlink r:id="rId190" ref="E189"/>
    <hyperlink r:id="rId191" ref="E190"/>
    <hyperlink r:id="rId192" ref="E191"/>
    <hyperlink r:id="rId193" ref="E192"/>
    <hyperlink r:id="rId194" ref="E193"/>
    <hyperlink r:id="rId195" ref="E194"/>
    <hyperlink r:id="rId196" ref="E195"/>
    <hyperlink r:id="rId197" ref="E196"/>
    <hyperlink r:id="rId198" ref="E197"/>
    <hyperlink r:id="rId199" ref="E198"/>
    <hyperlink r:id="rId200" ref="E199"/>
    <hyperlink r:id="rId201" ref="E200"/>
    <hyperlink r:id="rId202" ref="E201"/>
    <hyperlink r:id="rId203" ref="E202"/>
    <hyperlink r:id="rId204" ref="E203"/>
    <hyperlink r:id="rId205" ref="E204"/>
    <hyperlink r:id="rId206" ref="E205"/>
    <hyperlink r:id="rId207" ref="E206"/>
    <hyperlink r:id="rId208" ref="E207"/>
    <hyperlink r:id="rId209" ref="E208"/>
    <hyperlink r:id="rId210" ref="E209"/>
    <hyperlink r:id="rId211" ref="E210"/>
    <hyperlink r:id="rId212" ref="E211"/>
    <hyperlink r:id="rId213" ref="E212"/>
    <hyperlink r:id="rId214" ref="E213"/>
    <hyperlink r:id="rId215" ref="E214"/>
    <hyperlink r:id="rId216" ref="E215"/>
    <hyperlink r:id="rId217" ref="E216"/>
    <hyperlink r:id="rId218" ref="E217"/>
    <hyperlink r:id="rId219" ref="E218"/>
    <hyperlink r:id="rId220" ref="E219"/>
    <hyperlink r:id="rId221" ref="E220"/>
    <hyperlink r:id="rId222" ref="E221"/>
    <hyperlink r:id="rId223" ref="E222"/>
    <hyperlink r:id="rId224" ref="E223"/>
    <hyperlink r:id="rId225" ref="E224"/>
    <hyperlink r:id="rId226" ref="E225"/>
    <hyperlink r:id="rId227" ref="E226"/>
    <hyperlink r:id="rId228" ref="E227"/>
    <hyperlink r:id="rId229" ref="E228"/>
    <hyperlink r:id="rId230" ref="E229"/>
    <hyperlink r:id="rId231" ref="E230"/>
    <hyperlink r:id="rId232" ref="E231"/>
    <hyperlink r:id="rId233" ref="E232"/>
    <hyperlink r:id="rId234" ref="E233"/>
    <hyperlink r:id="rId235" ref="E234"/>
    <hyperlink r:id="rId236" ref="E235"/>
    <hyperlink r:id="rId237" ref="E236"/>
    <hyperlink r:id="rId238" ref="E237"/>
    <hyperlink r:id="rId239" ref="E238"/>
    <hyperlink r:id="rId240" ref="E239"/>
    <hyperlink r:id="rId241" ref="E240"/>
    <hyperlink r:id="rId242" ref="E241"/>
    <hyperlink r:id="rId243" ref="E242"/>
    <hyperlink r:id="rId244" ref="E243"/>
    <hyperlink r:id="rId245" ref="E244"/>
    <hyperlink r:id="rId246" ref="E245"/>
    <hyperlink r:id="rId247" ref="E246"/>
    <hyperlink r:id="rId248" ref="E247"/>
    <hyperlink r:id="rId249" ref="E248"/>
    <hyperlink r:id="rId250" ref="E249"/>
    <hyperlink r:id="rId251" ref="E250"/>
    <hyperlink r:id="rId252" ref="E251"/>
    <hyperlink r:id="rId253" ref="E252"/>
    <hyperlink r:id="rId254" ref="E253"/>
    <hyperlink r:id="rId255" ref="E254"/>
    <hyperlink r:id="rId256" ref="E255"/>
    <hyperlink r:id="rId257" ref="E256"/>
    <hyperlink r:id="rId258" ref="E257"/>
    <hyperlink r:id="rId259" ref="E258"/>
    <hyperlink r:id="rId260" ref="E259"/>
    <hyperlink r:id="rId261" ref="E260"/>
    <hyperlink r:id="rId262" ref="E261"/>
    <hyperlink r:id="rId263" ref="E262"/>
    <hyperlink r:id="rId264" ref="D263"/>
    <hyperlink r:id="rId265" ref="E263"/>
    <hyperlink r:id="rId266" ref="E264"/>
    <hyperlink r:id="rId267" ref="E265"/>
    <hyperlink r:id="rId268" ref="E266"/>
    <hyperlink r:id="rId269" ref="E267"/>
    <hyperlink r:id="rId270" ref="E268"/>
    <hyperlink r:id="rId271" ref="E269"/>
    <hyperlink r:id="rId272" ref="E270"/>
    <hyperlink r:id="rId273" ref="E271"/>
    <hyperlink r:id="rId274" ref="E272"/>
    <hyperlink r:id="rId275" ref="E273"/>
    <hyperlink r:id="rId276" ref="E274"/>
    <hyperlink r:id="rId277" ref="E275"/>
    <hyperlink r:id="rId278" ref="E276"/>
    <hyperlink r:id="rId279" ref="E277"/>
    <hyperlink r:id="rId280" ref="E278"/>
    <hyperlink r:id="rId281" ref="E279"/>
    <hyperlink r:id="rId282" ref="E280"/>
    <hyperlink r:id="rId283" ref="E281"/>
    <hyperlink r:id="rId284" ref="E282"/>
    <hyperlink r:id="rId285" ref="E283"/>
    <hyperlink r:id="rId286" ref="E284"/>
    <hyperlink r:id="rId287" ref="E285"/>
    <hyperlink r:id="rId288" ref="E286"/>
    <hyperlink r:id="rId289" ref="E287"/>
    <hyperlink r:id="rId290" ref="E288"/>
    <hyperlink r:id="rId291" ref="E289"/>
    <hyperlink r:id="rId292" ref="E290"/>
    <hyperlink r:id="rId293" ref="E291"/>
    <hyperlink r:id="rId294" ref="E292"/>
    <hyperlink r:id="rId295" ref="E293"/>
    <hyperlink r:id="rId296" ref="E294"/>
    <hyperlink r:id="rId297" ref="E295"/>
    <hyperlink r:id="rId298" ref="E296"/>
    <hyperlink r:id="rId299" ref="E297"/>
    <hyperlink r:id="rId300" ref="E298"/>
    <hyperlink r:id="rId301" ref="E299"/>
    <hyperlink r:id="rId302" ref="E300"/>
    <hyperlink r:id="rId303" ref="E301"/>
    <hyperlink r:id="rId304" ref="E302"/>
    <hyperlink r:id="rId305" ref="E303"/>
    <hyperlink r:id="rId306" ref="E304"/>
    <hyperlink r:id="rId307" ref="E305"/>
    <hyperlink r:id="rId308" ref="E306"/>
    <hyperlink r:id="rId309" ref="E307"/>
    <hyperlink r:id="rId310" ref="E308"/>
    <hyperlink r:id="rId311" ref="E309"/>
    <hyperlink r:id="rId312" ref="E310"/>
    <hyperlink r:id="rId313" ref="E311"/>
    <hyperlink r:id="rId314" ref="E312"/>
    <hyperlink r:id="rId315" ref="E313"/>
    <hyperlink r:id="rId316" ref="E314"/>
    <hyperlink r:id="rId317" ref="E315"/>
    <hyperlink r:id="rId318" ref="E316"/>
    <hyperlink r:id="rId319" ref="E317"/>
    <hyperlink r:id="rId320" ref="E318"/>
    <hyperlink r:id="rId321" ref="E319"/>
    <hyperlink r:id="rId322" ref="E320"/>
    <hyperlink r:id="rId323" ref="E321"/>
    <hyperlink r:id="rId324" ref="E322"/>
    <hyperlink r:id="rId325" ref="E323"/>
    <hyperlink r:id="rId326" ref="E324"/>
    <hyperlink r:id="rId327" ref="E325"/>
    <hyperlink r:id="rId328" ref="E326"/>
    <hyperlink r:id="rId329" ref="E327"/>
    <hyperlink r:id="rId330" ref="E328"/>
    <hyperlink r:id="rId331" ref="E329"/>
  </hyperlinks>
  <drawing r:id="rId33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11">IF($A$3:$A11&lt;&gt;"", XLOOKUP($A$3:$A11, Sourcepull!$B$3:$B11, Sourcepull!$A$3:$A11, ""), "")</f>
        <v/>
      </c>
      <c r="C3" s="57" t="str">
        <f t="array" ref="C3:C11">if($A$3:$A11&lt;&gt;"","SP-"&amp;$B$3:$B11&amp;"-"&amp;$A$3:$A11&amp;".pdf", "")</f>
        <v>SP--Keep this row hidden / do not edit!.pdf</v>
      </c>
      <c r="D3" s="57" t="str">
        <f t="array" ref="D3:D11">if($J$3:$J11&lt;&gt;"","R1-"&amp;$J$3:$J11&amp;"-"&amp;$K$3:$K11&amp;"-"&amp;$B$3:$B11&amp;"-"&amp;$A$3:$A11&amp;".pdf", "")</f>
        <v/>
      </c>
      <c r="E3" s="57" t="str">
        <f t="array" ref="E3:E11">if($R$3:$R11&lt;&gt;"","R2-"&amp;$R$3:$R11&amp;"-"&amp;$S$3:$S11&amp;"-"&amp;$B$3:$B11&amp;"-"&amp;$A$3:$A11&amp;".pdf", "")</f>
        <v/>
      </c>
      <c r="F3" s="107" t="str">
        <f t="array" ref="F3:F11">if($C$3:$C11 &lt;&gt; "", hyperlink("https://drive.google.com/drive/search?q=parent:" &amp; Properties!$C$8 &amp; "%20" &amp; char(34) &amp; $C$3:$C11 &amp; char(34), "➔"), "")</f>
        <v>➔</v>
      </c>
      <c r="G3" s="107" t="str">
        <f t="array" ref="G3:G11">if($D$3:$D11 &lt;&gt; "", hyperlink("https://drive.google.com/drive/search?q=parent:" &amp; Properties!$C$9 &amp; "%20" &amp; char(34) &amp; $D$3:$D11 &amp; char(34), "➔"), "")</f>
        <v/>
      </c>
      <c r="H3" s="107" t="str">
        <f t="array" ref="H3:H11">if($E$3:$E11 &lt;&gt; "", hyperlink("https://drive.google.com/drive/search?q=parent:" &amp; Properties!$C$10 &amp; "%20" &amp; char(34) &amp; $E$3:$E11 &amp; char(34), "➔"), "")</f>
        <v/>
      </c>
      <c r="I3" s="57"/>
      <c r="J3" s="57"/>
      <c r="K3" s="57"/>
      <c r="L3" s="57"/>
      <c r="M3" s="57"/>
      <c r="N3" s="57"/>
      <c r="O3" s="57"/>
      <c r="P3" s="108"/>
      <c r="Q3" s="109"/>
      <c r="R3" s="57"/>
      <c r="S3" s="57"/>
      <c r="T3" s="57"/>
      <c r="U3" s="57"/>
      <c r="V3" s="57"/>
      <c r="W3" s="57"/>
      <c r="X3" s="57"/>
    </row>
    <row r="4">
      <c r="A4" s="110"/>
      <c r="B4" s="111" t="s">
        <v>56</v>
      </c>
      <c r="C4" s="111" t="s">
        <v>56</v>
      </c>
      <c r="D4" s="111" t="s">
        <v>56</v>
      </c>
      <c r="E4" s="111" t="s">
        <v>56</v>
      </c>
      <c r="F4" s="112" t="s">
        <v>56</v>
      </c>
      <c r="G4" s="113" t="s">
        <v>56</v>
      </c>
      <c r="H4" s="113" t="s">
        <v>56</v>
      </c>
      <c r="I4" s="114"/>
      <c r="J4" s="115"/>
      <c r="K4" s="114"/>
      <c r="L4" s="114"/>
      <c r="M4" s="114"/>
      <c r="N4" s="114"/>
      <c r="O4" s="114"/>
      <c r="P4" s="116"/>
      <c r="Q4" s="117"/>
      <c r="R4" s="114"/>
      <c r="S4" s="114"/>
      <c r="T4" s="114"/>
      <c r="U4" s="114"/>
      <c r="V4" s="114"/>
      <c r="W4" s="114"/>
      <c r="X4" s="118"/>
    </row>
    <row r="5">
      <c r="A5" s="115"/>
      <c r="B5" s="111" t="s">
        <v>56</v>
      </c>
      <c r="C5" s="111" t="s">
        <v>56</v>
      </c>
      <c r="D5" s="111" t="s">
        <v>56</v>
      </c>
      <c r="E5" s="111" t="s">
        <v>56</v>
      </c>
      <c r="F5" s="113" t="s">
        <v>56</v>
      </c>
      <c r="G5" s="113" t="s">
        <v>56</v>
      </c>
      <c r="H5" s="113" t="s">
        <v>56</v>
      </c>
      <c r="I5" s="114"/>
      <c r="J5" s="115"/>
      <c r="K5" s="114"/>
      <c r="L5" s="114"/>
      <c r="M5" s="114"/>
      <c r="N5" s="119"/>
      <c r="O5" s="114"/>
      <c r="P5" s="120"/>
      <c r="Q5" s="117"/>
      <c r="R5" s="114"/>
      <c r="S5" s="114"/>
      <c r="T5" s="114"/>
      <c r="U5" s="114"/>
      <c r="V5" s="114"/>
      <c r="W5" s="114"/>
      <c r="X5" s="118"/>
    </row>
    <row r="6">
      <c r="A6" s="115"/>
      <c r="B6" s="111" t="s">
        <v>56</v>
      </c>
      <c r="C6" s="111" t="s">
        <v>56</v>
      </c>
      <c r="D6" s="111" t="s">
        <v>56</v>
      </c>
      <c r="E6" s="111" t="s">
        <v>56</v>
      </c>
      <c r="F6" s="113" t="s">
        <v>56</v>
      </c>
      <c r="G6" s="113" t="s">
        <v>56</v>
      </c>
      <c r="H6" s="113" t="s">
        <v>56</v>
      </c>
      <c r="I6" s="114"/>
      <c r="J6" s="115"/>
      <c r="K6" s="114"/>
      <c r="L6" s="114"/>
      <c r="M6" s="114"/>
      <c r="N6" s="114"/>
      <c r="O6" s="121"/>
      <c r="P6" s="116"/>
      <c r="Q6" s="117"/>
      <c r="R6" s="114"/>
      <c r="S6" s="114"/>
      <c r="T6" s="114"/>
      <c r="U6" s="114"/>
      <c r="V6" s="114"/>
      <c r="W6" s="114"/>
      <c r="X6" s="118"/>
    </row>
    <row r="7">
      <c r="A7" s="115"/>
      <c r="B7" s="111" t="s">
        <v>56</v>
      </c>
      <c r="C7" s="111" t="s">
        <v>56</v>
      </c>
      <c r="D7" s="111" t="s">
        <v>56</v>
      </c>
      <c r="E7" s="111" t="s">
        <v>56</v>
      </c>
      <c r="F7" s="113" t="s">
        <v>56</v>
      </c>
      <c r="G7" s="113" t="s">
        <v>56</v>
      </c>
      <c r="H7" s="113" t="s">
        <v>56</v>
      </c>
      <c r="I7" s="114"/>
      <c r="J7" s="115"/>
      <c r="K7" s="114"/>
      <c r="L7" s="114"/>
      <c r="M7" s="114"/>
      <c r="N7" s="114"/>
      <c r="O7" s="121"/>
      <c r="P7" s="122"/>
      <c r="Q7" s="123"/>
      <c r="R7" s="114"/>
      <c r="S7" s="114"/>
      <c r="T7" s="114"/>
      <c r="U7" s="114"/>
      <c r="V7" s="114"/>
      <c r="W7" s="114"/>
      <c r="X7" s="118"/>
    </row>
    <row r="8">
      <c r="A8" s="115"/>
      <c r="B8" s="111" t="s">
        <v>56</v>
      </c>
      <c r="C8" s="111" t="s">
        <v>56</v>
      </c>
      <c r="D8" s="111" t="s">
        <v>56</v>
      </c>
      <c r="E8" s="111" t="s">
        <v>56</v>
      </c>
      <c r="F8" s="113" t="s">
        <v>56</v>
      </c>
      <c r="G8" s="113" t="s">
        <v>56</v>
      </c>
      <c r="H8" s="113" t="s">
        <v>56</v>
      </c>
      <c r="I8" s="114"/>
      <c r="J8" s="115"/>
      <c r="K8" s="114"/>
      <c r="L8" s="114"/>
      <c r="M8" s="114"/>
      <c r="N8" s="114"/>
      <c r="O8" s="121"/>
      <c r="P8" s="122"/>
      <c r="Q8" s="123"/>
      <c r="R8" s="114"/>
      <c r="S8" s="114"/>
      <c r="T8" s="114"/>
      <c r="U8" s="114"/>
      <c r="V8" s="114"/>
      <c r="W8" s="114"/>
      <c r="X8" s="118"/>
    </row>
    <row r="9">
      <c r="A9" s="115"/>
      <c r="B9" s="111" t="s">
        <v>56</v>
      </c>
      <c r="C9" s="111" t="s">
        <v>56</v>
      </c>
      <c r="D9" s="111" t="s">
        <v>56</v>
      </c>
      <c r="E9" s="111" t="s">
        <v>56</v>
      </c>
      <c r="F9" s="113" t="s">
        <v>56</v>
      </c>
      <c r="G9" s="113" t="s">
        <v>56</v>
      </c>
      <c r="H9" s="113" t="s">
        <v>56</v>
      </c>
      <c r="I9" s="114"/>
      <c r="J9" s="115"/>
      <c r="K9" s="114"/>
      <c r="L9" s="114"/>
      <c r="M9" s="114"/>
      <c r="N9" s="114"/>
      <c r="O9" s="121"/>
      <c r="P9" s="122"/>
      <c r="Q9" s="123"/>
      <c r="R9" s="114"/>
      <c r="S9" s="114"/>
      <c r="T9" s="114"/>
      <c r="U9" s="114"/>
      <c r="V9" s="114"/>
      <c r="W9" s="114"/>
      <c r="X9" s="118"/>
    </row>
    <row r="10">
      <c r="A10" s="115"/>
      <c r="B10" s="111" t="s">
        <v>56</v>
      </c>
      <c r="C10" s="111" t="s">
        <v>56</v>
      </c>
      <c r="D10" s="111" t="s">
        <v>56</v>
      </c>
      <c r="E10" s="111" t="s">
        <v>56</v>
      </c>
      <c r="F10" s="113" t="s">
        <v>56</v>
      </c>
      <c r="G10" s="113" t="s">
        <v>56</v>
      </c>
      <c r="H10" s="113" t="s">
        <v>56</v>
      </c>
      <c r="I10" s="114"/>
      <c r="J10" s="115"/>
      <c r="K10" s="114"/>
      <c r="L10" s="114"/>
      <c r="M10" s="114"/>
      <c r="N10" s="114"/>
      <c r="O10" s="121"/>
      <c r="P10" s="122"/>
      <c r="Q10" s="123"/>
      <c r="R10" s="114"/>
      <c r="S10" s="114"/>
      <c r="T10" s="114"/>
      <c r="U10" s="114"/>
      <c r="V10" s="114"/>
      <c r="W10" s="114"/>
      <c r="X10" s="118"/>
    </row>
    <row r="11">
      <c r="A11" s="115"/>
      <c r="B11" s="111" t="s">
        <v>56</v>
      </c>
      <c r="C11" s="111" t="s">
        <v>56</v>
      </c>
      <c r="D11" s="111" t="s">
        <v>56</v>
      </c>
      <c r="E11" s="111" t="s">
        <v>56</v>
      </c>
      <c r="F11" s="113" t="s">
        <v>56</v>
      </c>
      <c r="G11" s="113" t="s">
        <v>56</v>
      </c>
      <c r="H11" s="113" t="s">
        <v>56</v>
      </c>
      <c r="I11" s="114"/>
      <c r="J11" s="115"/>
      <c r="K11" s="114"/>
      <c r="L11" s="114"/>
      <c r="M11" s="114"/>
      <c r="N11" s="114"/>
      <c r="O11" s="121"/>
      <c r="P11" s="122"/>
      <c r="Q11" s="123"/>
      <c r="R11" s="114"/>
      <c r="S11" s="114"/>
      <c r="T11" s="114"/>
      <c r="U11" s="114"/>
      <c r="V11" s="114"/>
      <c r="W11" s="114"/>
      <c r="X11" s="118"/>
    </row>
  </sheetData>
  <mergeCells count="4">
    <mergeCell ref="A1:B1"/>
    <mergeCell ref="F1:H1"/>
    <mergeCell ref="I1:P1"/>
    <mergeCell ref="Q1:X1"/>
  </mergeCells>
  <conditionalFormatting sqref="G3 O3 L4:L11 T4:T11">
    <cfRule type="cellIs" dxfId="3" priority="1" operator="equal">
      <formula>"Yes"</formula>
    </cfRule>
  </conditionalFormatting>
  <conditionalFormatting sqref="G3 O3 L4:L11 T4:T11">
    <cfRule type="cellIs" dxfId="4" priority="2" operator="equal">
      <formula>"No"</formula>
    </cfRule>
  </conditionalFormatting>
  <conditionalFormatting sqref="G3 O3 L4:L11 T4:T11">
    <cfRule type="cellIs" dxfId="5" priority="3" operator="equal">
      <formula>"Maybe"</formula>
    </cfRule>
  </conditionalFormatting>
  <conditionalFormatting sqref="H3 M4:M11 U4:U11">
    <cfRule type="cellIs" dxfId="3" priority="4" operator="equal">
      <formula>"No Issues"</formula>
    </cfRule>
  </conditionalFormatting>
  <conditionalFormatting sqref="H3 M4:M11 U4:U11">
    <cfRule type="cellIs" dxfId="4" priority="5" operator="equal">
      <formula>"Unresolved Issue"</formula>
    </cfRule>
  </conditionalFormatting>
  <conditionalFormatting sqref="H3 M4:M11 U4:U11">
    <cfRule type="cellIs" dxfId="6" priority="6" operator="equal">
      <formula>"Repaired Issue"</formula>
    </cfRule>
  </conditionalFormatting>
  <conditionalFormatting sqref="H3 M4:M11 U4:U11">
    <cfRule type="cellIs" dxfId="7" priority="7" operator="equal">
      <formula>"To Check (RCC)"</formula>
    </cfRule>
  </conditionalFormatting>
  <dataValidations>
    <dataValidation type="list" allowBlank="1" sqref="O3 L4:L11 T4:T11">
      <formula1>"Yes,Maybe,No"</formula1>
    </dataValidation>
    <dataValidation type="list" allowBlank="1" sqref="M4:M11 U4:U11">
      <formula1>"No Issues,Unresolved Issue,Repaired Issue,To Check (RCC)"</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3.88"/>
    <col customWidth="1" min="2" max="2" width="17.75"/>
    <col customWidth="1" min="3" max="3" width="4.5"/>
    <col customWidth="1" min="4" max="4" width="31.13"/>
    <col customWidth="1" min="5" max="5" width="0.38"/>
    <col customWidth="1" min="6" max="6" width="22.38"/>
    <col customWidth="1" min="7" max="7" width="12.63"/>
    <col customWidth="1" min="11" max="11" width="19.63"/>
    <col customWidth="1" min="12" max="12" width="16.75"/>
    <col customWidth="1" min="13" max="13" width="20.13"/>
    <col customWidth="1" min="14" max="14" width="21.0"/>
    <col customWidth="1" min="15" max="15" width="15.13"/>
  </cols>
  <sheetData>
    <row r="1">
      <c r="A1" s="48" t="s">
        <v>1218</v>
      </c>
      <c r="B1" s="49" t="s">
        <v>1219</v>
      </c>
      <c r="C1" s="49" t="s">
        <v>1220</v>
      </c>
      <c r="D1" s="50" t="s">
        <v>1221</v>
      </c>
      <c r="E1" s="49"/>
      <c r="F1" s="51" t="s">
        <v>1222</v>
      </c>
      <c r="G1" s="124" t="s">
        <v>1223</v>
      </c>
      <c r="H1" s="52" t="s">
        <v>1224</v>
      </c>
      <c r="I1" s="49" t="s">
        <v>1225</v>
      </c>
      <c r="J1" s="52" t="s">
        <v>1226</v>
      </c>
      <c r="K1" s="51" t="s">
        <v>1227</v>
      </c>
      <c r="L1" s="51" t="s">
        <v>1228</v>
      </c>
      <c r="M1" s="52" t="s">
        <v>1229</v>
      </c>
      <c r="N1" s="52" t="s">
        <v>1230</v>
      </c>
      <c r="O1" s="52" t="s">
        <v>1231</v>
      </c>
      <c r="P1" s="53"/>
      <c r="Q1" s="53"/>
      <c r="R1" s="53"/>
      <c r="S1" s="53"/>
      <c r="T1" s="53"/>
      <c r="U1" s="53"/>
      <c r="V1" s="53"/>
      <c r="W1" s="53"/>
      <c r="X1" s="53"/>
      <c r="Y1" s="53"/>
    </row>
    <row r="2" hidden="1">
      <c r="A2" s="54"/>
      <c r="B2" s="55" t="str">
        <f>IFERROR(__xludf.DUMMYFUNCTION("FILTER('Raw Output'!E:E, 'Raw Output'!$G:$G=1)"),"#REF!")</f>
        <v>#REF!</v>
      </c>
      <c r="C2" s="55"/>
      <c r="D2" s="55" t="str">
        <f>IFERROR(__xludf.DUMMYFUNCTION("FILTER('Raw Output'!D:D, 'Raw Output'!$G:$G=1)"),"#REF!")</f>
        <v>#REF!</v>
      </c>
      <c r="E2" s="56" t="str">
        <f t="array" ref="E2:E952">if($B$2:$B952 &lt;&gt; "", hyperlink("https://drive.google.com/drive/search?q=parent:" &amp; Properties!$C$8 &amp; "%20" &amp; char(34) &amp; $F$2:$F952 &amp; char(34), "➔"), "")</f>
        <v>#REF!</v>
      </c>
      <c r="F2" s="57" t="str">
        <f t="array" ref="F2:F952">if($B$2:$B952&lt;&gt;"","SP-"&amp;$A$2:$A952 &amp;"-"&amp;$B$2:$B952&amp;".pdf", "")</f>
        <v>#REF!</v>
      </c>
      <c r="G2" s="125"/>
      <c r="H2" s="58"/>
      <c r="I2" s="58"/>
      <c r="J2" s="57"/>
      <c r="K2" s="57"/>
      <c r="L2" s="57"/>
      <c r="M2" s="57"/>
      <c r="N2" s="57"/>
      <c r="O2" s="59"/>
      <c r="P2" s="59"/>
      <c r="Q2" s="59"/>
      <c r="R2" s="59"/>
      <c r="S2" s="59"/>
      <c r="T2" s="59"/>
      <c r="U2" s="59"/>
      <c r="V2" s="59"/>
      <c r="W2" s="59"/>
      <c r="X2" s="59"/>
      <c r="Y2" s="59"/>
    </row>
    <row r="3">
      <c r="A3" s="126" t="s">
        <v>1232</v>
      </c>
      <c r="B3" s="127" t="s">
        <v>45</v>
      </c>
      <c r="C3" s="127" t="s">
        <v>1236</v>
      </c>
      <c r="D3" s="127" t="s">
        <v>44</v>
      </c>
      <c r="E3" s="62" t="s">
        <v>1233</v>
      </c>
      <c r="F3" s="63" t="s">
        <v>1234</v>
      </c>
      <c r="G3" s="128" t="s">
        <v>1235</v>
      </c>
      <c r="H3" s="129" t="s">
        <v>1912</v>
      </c>
      <c r="I3" s="129" t="s">
        <v>1913</v>
      </c>
      <c r="J3" s="130" t="s">
        <v>1912</v>
      </c>
      <c r="K3" s="130" t="s">
        <v>1914</v>
      </c>
      <c r="L3" s="130" t="s">
        <v>1915</v>
      </c>
      <c r="M3" s="130" t="s">
        <v>1913</v>
      </c>
      <c r="N3" s="131"/>
      <c r="O3" s="132"/>
      <c r="P3" s="133"/>
      <c r="Q3" s="133"/>
      <c r="R3" s="134"/>
      <c r="S3" s="134"/>
      <c r="T3" s="134"/>
      <c r="U3" s="134"/>
      <c r="V3" s="134"/>
      <c r="W3" s="134"/>
      <c r="X3" s="134"/>
      <c r="Y3" s="134"/>
    </row>
    <row r="4">
      <c r="A4" s="126" t="s">
        <v>1236</v>
      </c>
      <c r="B4" s="127" t="s">
        <v>47</v>
      </c>
      <c r="C4" s="135" t="s">
        <v>1236</v>
      </c>
      <c r="D4" s="136" t="s">
        <v>1916</v>
      </c>
      <c r="E4" s="74" t="s">
        <v>1233</v>
      </c>
      <c r="F4" s="63" t="s">
        <v>1237</v>
      </c>
      <c r="G4" s="128" t="s">
        <v>1235</v>
      </c>
      <c r="H4" s="137" t="s">
        <v>1912</v>
      </c>
      <c r="I4" s="129" t="s">
        <v>1913</v>
      </c>
      <c r="J4" s="130" t="s">
        <v>1913</v>
      </c>
      <c r="K4" s="130" t="s">
        <v>1914</v>
      </c>
      <c r="L4" s="130" t="s">
        <v>1917</v>
      </c>
      <c r="M4" s="130" t="s">
        <v>1913</v>
      </c>
      <c r="N4" s="130"/>
      <c r="O4" s="132"/>
      <c r="P4" s="133"/>
      <c r="Q4" s="133"/>
      <c r="R4" s="134"/>
      <c r="S4" s="134"/>
      <c r="T4" s="134"/>
      <c r="U4" s="134"/>
      <c r="V4" s="134"/>
      <c r="W4" s="134"/>
      <c r="X4" s="134"/>
      <c r="Y4" s="134"/>
    </row>
    <row r="5">
      <c r="A5" s="126" t="s">
        <v>1238</v>
      </c>
      <c r="B5" s="127" t="s">
        <v>50</v>
      </c>
      <c r="C5" s="135" t="s">
        <v>1238</v>
      </c>
      <c r="D5" s="138" t="s">
        <v>49</v>
      </c>
      <c r="E5" s="139" t="s">
        <v>1233</v>
      </c>
      <c r="F5" s="63" t="s">
        <v>1239</v>
      </c>
      <c r="G5" s="128" t="s">
        <v>1235</v>
      </c>
      <c r="H5" s="129" t="s">
        <v>1918</v>
      </c>
      <c r="I5" s="129"/>
      <c r="J5" s="140"/>
      <c r="K5" s="140"/>
      <c r="L5" s="140"/>
      <c r="M5" s="140"/>
      <c r="N5" s="141" t="s">
        <v>1919</v>
      </c>
      <c r="O5" s="132"/>
      <c r="P5" s="133"/>
      <c r="Q5" s="133"/>
      <c r="R5" s="134"/>
      <c r="S5" s="134"/>
      <c r="T5" s="134"/>
      <c r="U5" s="134"/>
      <c r="V5" s="134"/>
      <c r="W5" s="134"/>
      <c r="X5" s="134"/>
      <c r="Y5" s="134"/>
    </row>
    <row r="6">
      <c r="A6" s="126" t="s">
        <v>1240</v>
      </c>
      <c r="B6" s="127" t="s">
        <v>53</v>
      </c>
      <c r="C6" s="135" t="s">
        <v>1240</v>
      </c>
      <c r="D6" s="142" t="s">
        <v>52</v>
      </c>
      <c r="E6" s="74" t="s">
        <v>1233</v>
      </c>
      <c r="F6" s="63" t="s">
        <v>1241</v>
      </c>
      <c r="G6" s="128" t="s">
        <v>1235</v>
      </c>
      <c r="H6" s="129" t="s">
        <v>1912</v>
      </c>
      <c r="I6" s="129" t="s">
        <v>1913</v>
      </c>
      <c r="J6" s="130" t="s">
        <v>1913</v>
      </c>
      <c r="K6" s="130" t="s">
        <v>1920</v>
      </c>
      <c r="L6" s="130" t="s">
        <v>1921</v>
      </c>
      <c r="M6" s="130" t="s">
        <v>1913</v>
      </c>
      <c r="N6" s="130" t="s">
        <v>1922</v>
      </c>
      <c r="O6" s="132"/>
      <c r="P6" s="143"/>
      <c r="Q6" s="143"/>
      <c r="R6" s="134"/>
      <c r="S6" s="134"/>
      <c r="T6" s="134"/>
      <c r="U6" s="134"/>
      <c r="V6" s="134"/>
      <c r="W6" s="134"/>
      <c r="X6" s="134"/>
      <c r="Y6" s="134"/>
    </row>
    <row r="7">
      <c r="A7" s="126" t="s">
        <v>1242</v>
      </c>
      <c r="B7" s="127" t="s">
        <v>59</v>
      </c>
      <c r="C7" s="135" t="s">
        <v>1244</v>
      </c>
      <c r="D7" s="136" t="s">
        <v>58</v>
      </c>
      <c r="E7" s="74" t="s">
        <v>1233</v>
      </c>
      <c r="F7" s="63" t="s">
        <v>1243</v>
      </c>
      <c r="G7" s="128" t="s">
        <v>1235</v>
      </c>
      <c r="H7" s="133" t="s">
        <v>1912</v>
      </c>
      <c r="I7" s="129" t="s">
        <v>1913</v>
      </c>
      <c r="J7" s="130" t="s">
        <v>1913</v>
      </c>
      <c r="K7" s="130" t="s">
        <v>1914</v>
      </c>
      <c r="L7" s="130" t="s">
        <v>1923</v>
      </c>
      <c r="M7" s="130" t="s">
        <v>1913</v>
      </c>
      <c r="N7" s="140"/>
      <c r="O7" s="132"/>
      <c r="P7" s="133"/>
      <c r="Q7" s="133"/>
      <c r="R7" s="134"/>
      <c r="S7" s="134"/>
      <c r="T7" s="134"/>
      <c r="U7" s="134"/>
      <c r="V7" s="134"/>
      <c r="W7" s="134"/>
      <c r="X7" s="134"/>
      <c r="Y7" s="134"/>
    </row>
    <row r="8">
      <c r="A8" s="126" t="s">
        <v>1244</v>
      </c>
      <c r="B8" s="127" t="s">
        <v>63</v>
      </c>
      <c r="C8" s="135" t="s">
        <v>1246</v>
      </c>
      <c r="D8" s="144" t="s">
        <v>62</v>
      </c>
      <c r="E8" s="74" t="s">
        <v>1233</v>
      </c>
      <c r="F8" s="63" t="s">
        <v>1245</v>
      </c>
      <c r="G8" s="128" t="s">
        <v>1235</v>
      </c>
      <c r="H8" s="133" t="s">
        <v>1912</v>
      </c>
      <c r="I8" s="129" t="s">
        <v>1913</v>
      </c>
      <c r="J8" s="130" t="s">
        <v>1913</v>
      </c>
      <c r="K8" s="130" t="s">
        <v>1914</v>
      </c>
      <c r="L8" s="130" t="s">
        <v>1924</v>
      </c>
      <c r="M8" s="130" t="s">
        <v>1913</v>
      </c>
      <c r="N8" s="130" t="s">
        <v>1925</v>
      </c>
      <c r="O8" s="132"/>
      <c r="P8" s="133"/>
      <c r="Q8" s="133"/>
      <c r="R8" s="134"/>
      <c r="S8" s="134"/>
      <c r="T8" s="134"/>
      <c r="U8" s="134"/>
      <c r="V8" s="134"/>
      <c r="W8" s="134"/>
      <c r="X8" s="134"/>
      <c r="Y8" s="134"/>
    </row>
    <row r="9">
      <c r="A9" s="126" t="s">
        <v>1246</v>
      </c>
      <c r="B9" s="127" t="s">
        <v>65</v>
      </c>
      <c r="C9" s="135" t="s">
        <v>1246</v>
      </c>
      <c r="D9" s="144" t="s">
        <v>64</v>
      </c>
      <c r="E9" s="74" t="s">
        <v>1233</v>
      </c>
      <c r="F9" s="63" t="s">
        <v>1247</v>
      </c>
      <c r="G9" s="128" t="s">
        <v>1235</v>
      </c>
      <c r="H9" s="133" t="s">
        <v>1912</v>
      </c>
      <c r="I9" s="129" t="s">
        <v>1913</v>
      </c>
      <c r="J9" s="130" t="s">
        <v>1913</v>
      </c>
      <c r="K9" s="130" t="s">
        <v>1914</v>
      </c>
      <c r="L9" s="130" t="s">
        <v>1926</v>
      </c>
      <c r="M9" s="130" t="s">
        <v>1913</v>
      </c>
      <c r="N9" s="140"/>
      <c r="O9" s="133"/>
      <c r="P9" s="133"/>
      <c r="Q9" s="133"/>
      <c r="R9" s="134"/>
      <c r="S9" s="134"/>
      <c r="T9" s="134"/>
      <c r="U9" s="134"/>
      <c r="V9" s="134"/>
      <c r="W9" s="134"/>
      <c r="X9" s="134"/>
      <c r="Y9" s="134"/>
    </row>
    <row r="10">
      <c r="A10" s="126" t="s">
        <v>1248</v>
      </c>
      <c r="B10" s="127" t="s">
        <v>69</v>
      </c>
      <c r="C10" s="135" t="s">
        <v>1248</v>
      </c>
      <c r="D10" s="136" t="s">
        <v>68</v>
      </c>
      <c r="E10" s="74" t="s">
        <v>1233</v>
      </c>
      <c r="F10" s="63" t="s">
        <v>1249</v>
      </c>
      <c r="G10" s="128" t="s">
        <v>1235</v>
      </c>
      <c r="H10" s="133" t="s">
        <v>1912</v>
      </c>
      <c r="I10" s="129" t="s">
        <v>1913</v>
      </c>
      <c r="J10" s="130" t="s">
        <v>1913</v>
      </c>
      <c r="K10" s="130" t="s">
        <v>1914</v>
      </c>
      <c r="L10" s="130" t="s">
        <v>1923</v>
      </c>
      <c r="M10" s="130" t="s">
        <v>1913</v>
      </c>
      <c r="N10" s="140"/>
      <c r="O10" s="132"/>
      <c r="P10" s="133"/>
      <c r="Q10" s="133"/>
      <c r="R10" s="134"/>
      <c r="S10" s="134"/>
      <c r="T10" s="134"/>
      <c r="U10" s="134"/>
      <c r="V10" s="134"/>
      <c r="W10" s="134"/>
      <c r="X10" s="134"/>
      <c r="Y10" s="134"/>
    </row>
    <row r="11">
      <c r="A11" s="126" t="s">
        <v>1250</v>
      </c>
      <c r="B11" s="127" t="s">
        <v>73</v>
      </c>
      <c r="C11" s="145" t="s">
        <v>1250</v>
      </c>
      <c r="D11" s="146" t="s">
        <v>72</v>
      </c>
      <c r="E11" s="82" t="s">
        <v>1233</v>
      </c>
      <c r="F11" s="63" t="s">
        <v>1251</v>
      </c>
      <c r="G11" s="128" t="s">
        <v>1235</v>
      </c>
      <c r="H11" s="133" t="s">
        <v>1912</v>
      </c>
      <c r="I11" s="129" t="s">
        <v>1913</v>
      </c>
      <c r="J11" s="130" t="s">
        <v>1913</v>
      </c>
      <c r="K11" s="130" t="s">
        <v>1914</v>
      </c>
      <c r="L11" s="130" t="s">
        <v>1926</v>
      </c>
      <c r="M11" s="130" t="s">
        <v>1913</v>
      </c>
      <c r="N11" s="140"/>
      <c r="O11" s="132"/>
      <c r="P11" s="133"/>
      <c r="Q11" s="133"/>
      <c r="R11" s="134"/>
      <c r="S11" s="134"/>
      <c r="T11" s="134"/>
      <c r="U11" s="134"/>
      <c r="V11" s="134"/>
      <c r="W11" s="134"/>
      <c r="X11" s="134"/>
      <c r="Y11" s="134"/>
    </row>
    <row r="12">
      <c r="A12" s="126" t="s">
        <v>1252</v>
      </c>
      <c r="B12" s="127" t="s">
        <v>75</v>
      </c>
      <c r="C12" s="135" t="s">
        <v>1250</v>
      </c>
      <c r="D12" s="136" t="s">
        <v>74</v>
      </c>
      <c r="E12" s="74" t="s">
        <v>1233</v>
      </c>
      <c r="F12" s="63" t="s">
        <v>1253</v>
      </c>
      <c r="G12" s="128" t="s">
        <v>1235</v>
      </c>
      <c r="H12" s="133" t="s">
        <v>1912</v>
      </c>
      <c r="I12" s="129" t="s">
        <v>1913</v>
      </c>
      <c r="J12" s="130" t="s">
        <v>1913</v>
      </c>
      <c r="K12" s="130" t="s">
        <v>1914</v>
      </c>
      <c r="L12" s="130" t="s">
        <v>1926</v>
      </c>
      <c r="M12" s="130" t="s">
        <v>1913</v>
      </c>
      <c r="N12" s="140"/>
      <c r="O12" s="132"/>
      <c r="P12" s="133"/>
      <c r="Q12" s="133"/>
      <c r="R12" s="134"/>
      <c r="S12" s="134"/>
      <c r="T12" s="134"/>
      <c r="U12" s="134"/>
      <c r="V12" s="134"/>
      <c r="W12" s="134"/>
      <c r="X12" s="134"/>
      <c r="Y12" s="134"/>
    </row>
    <row r="13">
      <c r="A13" s="126" t="s">
        <v>1254</v>
      </c>
      <c r="B13" s="127" t="s">
        <v>78</v>
      </c>
      <c r="C13" s="135" t="s">
        <v>1252</v>
      </c>
      <c r="D13" s="144" t="s">
        <v>77</v>
      </c>
      <c r="E13" s="74" t="s">
        <v>1233</v>
      </c>
      <c r="F13" s="63" t="s">
        <v>1255</v>
      </c>
      <c r="G13" s="128" t="s">
        <v>1235</v>
      </c>
      <c r="H13" s="129" t="s">
        <v>1912</v>
      </c>
      <c r="I13" s="129" t="s">
        <v>1913</v>
      </c>
      <c r="J13" s="130" t="s">
        <v>1913</v>
      </c>
      <c r="K13" s="130" t="s">
        <v>1914</v>
      </c>
      <c r="L13" s="130" t="s">
        <v>1923</v>
      </c>
      <c r="M13" s="130" t="s">
        <v>1913</v>
      </c>
      <c r="N13" s="130"/>
      <c r="O13" s="133"/>
      <c r="P13" s="133"/>
      <c r="Q13" s="133"/>
      <c r="R13" s="134"/>
      <c r="S13" s="134"/>
      <c r="T13" s="134"/>
      <c r="U13" s="134"/>
      <c r="V13" s="134"/>
      <c r="W13" s="134"/>
      <c r="X13" s="134"/>
      <c r="Y13" s="134"/>
    </row>
    <row r="14">
      <c r="A14" s="126" t="s">
        <v>1256</v>
      </c>
      <c r="B14" s="127" t="s">
        <v>80</v>
      </c>
      <c r="C14" s="135" t="s">
        <v>1252</v>
      </c>
      <c r="D14" s="144" t="s">
        <v>79</v>
      </c>
      <c r="E14" s="74" t="s">
        <v>1233</v>
      </c>
      <c r="F14" s="63" t="s">
        <v>1257</v>
      </c>
      <c r="G14" s="128" t="s">
        <v>1235</v>
      </c>
      <c r="H14" s="133" t="s">
        <v>1912</v>
      </c>
      <c r="I14" s="129" t="s">
        <v>1913</v>
      </c>
      <c r="J14" s="130" t="s">
        <v>1913</v>
      </c>
      <c r="K14" s="130" t="s">
        <v>1914</v>
      </c>
      <c r="L14" s="130" t="s">
        <v>1923</v>
      </c>
      <c r="M14" s="130" t="s">
        <v>1913</v>
      </c>
      <c r="N14" s="140"/>
      <c r="O14" s="132"/>
      <c r="P14" s="133"/>
      <c r="Q14" s="133"/>
      <c r="R14" s="134"/>
      <c r="S14" s="134"/>
      <c r="T14" s="134"/>
      <c r="U14" s="134"/>
      <c r="V14" s="134"/>
      <c r="W14" s="134"/>
      <c r="X14" s="134"/>
      <c r="Y14" s="134"/>
    </row>
    <row r="15">
      <c r="A15" s="126" t="s">
        <v>1258</v>
      </c>
      <c r="B15" s="127" t="s">
        <v>82</v>
      </c>
      <c r="C15" s="135" t="s">
        <v>1252</v>
      </c>
      <c r="D15" s="142" t="s">
        <v>81</v>
      </c>
      <c r="E15" s="74" t="s">
        <v>1233</v>
      </c>
      <c r="F15" s="63" t="s">
        <v>1259</v>
      </c>
      <c r="G15" s="128" t="s">
        <v>1235</v>
      </c>
      <c r="H15" s="133" t="s">
        <v>1912</v>
      </c>
      <c r="I15" s="129" t="s">
        <v>1913</v>
      </c>
      <c r="J15" s="130" t="s">
        <v>1913</v>
      </c>
      <c r="K15" s="130" t="s">
        <v>1914</v>
      </c>
      <c r="L15" s="130" t="s">
        <v>1923</v>
      </c>
      <c r="M15" s="130" t="s">
        <v>1913</v>
      </c>
      <c r="N15" s="130"/>
      <c r="O15" s="132"/>
      <c r="P15" s="133"/>
      <c r="Q15" s="133"/>
      <c r="R15" s="134"/>
      <c r="S15" s="134"/>
      <c r="T15" s="134"/>
      <c r="U15" s="134"/>
      <c r="V15" s="134"/>
      <c r="W15" s="134"/>
      <c r="X15" s="134"/>
      <c r="Y15" s="134"/>
    </row>
    <row r="16">
      <c r="A16" s="126" t="s">
        <v>1260</v>
      </c>
      <c r="B16" s="127" t="s">
        <v>85</v>
      </c>
      <c r="C16" s="135" t="s">
        <v>1254</v>
      </c>
      <c r="D16" s="144" t="s">
        <v>84</v>
      </c>
      <c r="E16" s="74" t="s">
        <v>1233</v>
      </c>
      <c r="F16" s="63" t="s">
        <v>1261</v>
      </c>
      <c r="G16" s="128" t="s">
        <v>1235</v>
      </c>
      <c r="H16" s="129" t="s">
        <v>1912</v>
      </c>
      <c r="I16" s="129" t="s">
        <v>1913</v>
      </c>
      <c r="J16" s="130" t="s">
        <v>1913</v>
      </c>
      <c r="K16" s="130" t="s">
        <v>1914</v>
      </c>
      <c r="L16" s="130" t="s">
        <v>1926</v>
      </c>
      <c r="M16" s="130" t="s">
        <v>1913</v>
      </c>
      <c r="N16" s="130"/>
      <c r="O16" s="132"/>
      <c r="P16" s="133"/>
      <c r="Q16" s="133"/>
      <c r="R16" s="134"/>
      <c r="S16" s="134"/>
      <c r="T16" s="134"/>
      <c r="U16" s="134"/>
      <c r="V16" s="134"/>
      <c r="W16" s="134"/>
      <c r="X16" s="134"/>
      <c r="Y16" s="134"/>
    </row>
    <row r="17">
      <c r="A17" s="126" t="s">
        <v>1262</v>
      </c>
      <c r="B17" s="127" t="s">
        <v>87</v>
      </c>
      <c r="C17" s="145" t="s">
        <v>1232</v>
      </c>
      <c r="D17" s="144" t="s">
        <v>86</v>
      </c>
      <c r="E17" s="82" t="s">
        <v>1233</v>
      </c>
      <c r="F17" s="63" t="s">
        <v>1263</v>
      </c>
      <c r="G17" s="128" t="s">
        <v>1235</v>
      </c>
      <c r="H17" s="133" t="s">
        <v>1912</v>
      </c>
      <c r="I17" s="147" t="s">
        <v>1927</v>
      </c>
      <c r="J17" s="130" t="s">
        <v>1913</v>
      </c>
      <c r="K17" s="130" t="s">
        <v>1914</v>
      </c>
      <c r="L17" s="148" t="s">
        <v>1928</v>
      </c>
      <c r="M17" s="130" t="s">
        <v>1913</v>
      </c>
      <c r="N17" s="140"/>
      <c r="O17" s="133"/>
      <c r="P17" s="133"/>
      <c r="Q17" s="143"/>
      <c r="R17" s="134"/>
      <c r="S17" s="134"/>
      <c r="T17" s="134"/>
      <c r="U17" s="134"/>
      <c r="V17" s="134"/>
      <c r="W17" s="134"/>
      <c r="X17" s="134"/>
      <c r="Y17" s="134"/>
    </row>
    <row r="18">
      <c r="A18" s="126" t="s">
        <v>1264</v>
      </c>
      <c r="B18" s="127" t="s">
        <v>89</v>
      </c>
      <c r="C18" s="135" t="s">
        <v>1254</v>
      </c>
      <c r="D18" s="142" t="s">
        <v>88</v>
      </c>
      <c r="E18" s="74" t="s">
        <v>1233</v>
      </c>
      <c r="F18" s="63" t="s">
        <v>1265</v>
      </c>
      <c r="G18" s="128" t="s">
        <v>1235</v>
      </c>
      <c r="H18" s="129" t="s">
        <v>1912</v>
      </c>
      <c r="I18" s="129" t="s">
        <v>1913</v>
      </c>
      <c r="J18" s="130" t="s">
        <v>1912</v>
      </c>
      <c r="K18" s="130" t="s">
        <v>1914</v>
      </c>
      <c r="L18" s="130" t="s">
        <v>1929</v>
      </c>
      <c r="M18" s="130" t="s">
        <v>1913</v>
      </c>
      <c r="N18" s="140"/>
      <c r="O18" s="132"/>
      <c r="P18" s="133"/>
      <c r="Q18" s="133"/>
      <c r="R18" s="134"/>
      <c r="S18" s="134"/>
      <c r="T18" s="134"/>
      <c r="U18" s="134"/>
      <c r="V18" s="134"/>
      <c r="W18" s="134"/>
      <c r="X18" s="134"/>
      <c r="Y18" s="134"/>
    </row>
    <row r="19">
      <c r="A19" s="126" t="s">
        <v>1266</v>
      </c>
      <c r="B19" s="127" t="s">
        <v>91</v>
      </c>
      <c r="C19" s="145" t="s">
        <v>1254</v>
      </c>
      <c r="D19" s="144" t="s">
        <v>90</v>
      </c>
      <c r="E19" s="82" t="s">
        <v>1233</v>
      </c>
      <c r="F19" s="63" t="s">
        <v>1267</v>
      </c>
      <c r="G19" s="128" t="s">
        <v>1235</v>
      </c>
      <c r="H19" s="129" t="s">
        <v>1912</v>
      </c>
      <c r="I19" s="129" t="s">
        <v>1913</v>
      </c>
      <c r="J19" s="130" t="s">
        <v>1912</v>
      </c>
      <c r="K19" s="130" t="s">
        <v>1914</v>
      </c>
      <c r="L19" s="130" t="s">
        <v>1929</v>
      </c>
      <c r="M19" s="130" t="s">
        <v>1913</v>
      </c>
      <c r="N19" s="130"/>
      <c r="O19" s="132"/>
      <c r="P19" s="132"/>
      <c r="Q19" s="133"/>
      <c r="R19" s="134"/>
      <c r="S19" s="134"/>
      <c r="T19" s="134"/>
      <c r="U19" s="134"/>
      <c r="V19" s="134"/>
      <c r="W19" s="134"/>
      <c r="X19" s="134"/>
      <c r="Y19" s="134"/>
    </row>
    <row r="20">
      <c r="A20" s="126" t="s">
        <v>1268</v>
      </c>
      <c r="B20" s="127" t="s">
        <v>93</v>
      </c>
      <c r="C20" s="145" t="s">
        <v>1254</v>
      </c>
      <c r="D20" s="142" t="s">
        <v>92</v>
      </c>
      <c r="E20" s="82" t="s">
        <v>1233</v>
      </c>
      <c r="F20" s="63" t="s">
        <v>1269</v>
      </c>
      <c r="G20" s="128" t="s">
        <v>1235</v>
      </c>
      <c r="H20" s="133" t="s">
        <v>1912</v>
      </c>
      <c r="I20" s="129" t="s">
        <v>1913</v>
      </c>
      <c r="J20" s="130" t="s">
        <v>1912</v>
      </c>
      <c r="K20" s="130" t="s">
        <v>1914</v>
      </c>
      <c r="L20" s="130" t="s">
        <v>1929</v>
      </c>
      <c r="M20" s="130" t="s">
        <v>1913</v>
      </c>
      <c r="N20" s="140"/>
      <c r="O20" s="132"/>
      <c r="P20" s="133"/>
      <c r="Q20" s="133"/>
      <c r="R20" s="134"/>
      <c r="S20" s="134"/>
      <c r="T20" s="134"/>
      <c r="U20" s="134"/>
      <c r="V20" s="134"/>
      <c r="W20" s="134"/>
      <c r="X20" s="134"/>
      <c r="Y20" s="134"/>
    </row>
    <row r="21">
      <c r="A21" s="126" t="s">
        <v>1270</v>
      </c>
      <c r="B21" s="127" t="s">
        <v>96</v>
      </c>
      <c r="C21" s="145" t="s">
        <v>1256</v>
      </c>
      <c r="D21" s="127" t="s">
        <v>95</v>
      </c>
      <c r="E21" s="82" t="s">
        <v>1233</v>
      </c>
      <c r="F21" s="63" t="s">
        <v>1271</v>
      </c>
      <c r="G21" s="128" t="s">
        <v>1235</v>
      </c>
      <c r="H21" s="133" t="s">
        <v>1912</v>
      </c>
      <c r="I21" s="129" t="s">
        <v>1913</v>
      </c>
      <c r="J21" s="130" t="s">
        <v>1913</v>
      </c>
      <c r="K21" s="130" t="s">
        <v>1914</v>
      </c>
      <c r="L21" s="130" t="s">
        <v>1929</v>
      </c>
      <c r="M21" s="130" t="s">
        <v>1913</v>
      </c>
      <c r="N21" s="140"/>
      <c r="O21" s="132"/>
      <c r="P21" s="149"/>
      <c r="Q21" s="133"/>
      <c r="R21" s="134"/>
      <c r="S21" s="134"/>
      <c r="T21" s="134"/>
      <c r="U21" s="134"/>
      <c r="V21" s="134"/>
      <c r="W21" s="134"/>
      <c r="X21" s="134"/>
      <c r="Y21" s="134"/>
    </row>
    <row r="22">
      <c r="A22" s="126" t="s">
        <v>1272</v>
      </c>
      <c r="B22" s="127" t="s">
        <v>98</v>
      </c>
      <c r="C22" s="145" t="s">
        <v>1256</v>
      </c>
      <c r="D22" s="127" t="s">
        <v>97</v>
      </c>
      <c r="E22" s="82" t="s">
        <v>1233</v>
      </c>
      <c r="F22" s="63" t="s">
        <v>1273</v>
      </c>
      <c r="G22" s="128" t="s">
        <v>1235</v>
      </c>
      <c r="H22" s="133" t="s">
        <v>1912</v>
      </c>
      <c r="I22" s="129" t="s">
        <v>1913</v>
      </c>
      <c r="J22" s="130" t="s">
        <v>1913</v>
      </c>
      <c r="K22" s="130" t="s">
        <v>1914</v>
      </c>
      <c r="L22" s="130" t="s">
        <v>1926</v>
      </c>
      <c r="M22" s="130" t="s">
        <v>1913</v>
      </c>
      <c r="N22" s="130" t="s">
        <v>1930</v>
      </c>
      <c r="O22" s="132"/>
      <c r="P22" s="133"/>
      <c r="Q22" s="143"/>
      <c r="R22" s="134"/>
      <c r="S22" s="134"/>
      <c r="T22" s="134"/>
      <c r="U22" s="134"/>
      <c r="V22" s="134"/>
      <c r="W22" s="134"/>
      <c r="X22" s="134"/>
      <c r="Y22" s="134"/>
    </row>
    <row r="23">
      <c r="A23" s="126" t="s">
        <v>1274</v>
      </c>
      <c r="B23" s="127" t="s">
        <v>101</v>
      </c>
      <c r="C23" s="145" t="s">
        <v>1258</v>
      </c>
      <c r="D23" s="144" t="s">
        <v>100</v>
      </c>
      <c r="E23" s="82" t="s">
        <v>1233</v>
      </c>
      <c r="F23" s="63" t="s">
        <v>1275</v>
      </c>
      <c r="G23" s="128" t="s">
        <v>1235</v>
      </c>
      <c r="H23" s="133" t="s">
        <v>1912</v>
      </c>
      <c r="I23" s="129" t="s">
        <v>1913</v>
      </c>
      <c r="J23" s="130" t="s">
        <v>1912</v>
      </c>
      <c r="K23" s="130" t="s">
        <v>1914</v>
      </c>
      <c r="L23" s="130" t="s">
        <v>1929</v>
      </c>
      <c r="M23" s="130" t="s">
        <v>1913</v>
      </c>
      <c r="N23" s="130"/>
      <c r="O23" s="133"/>
      <c r="P23" s="143"/>
      <c r="Q23" s="143"/>
      <c r="R23" s="134"/>
      <c r="S23" s="134"/>
      <c r="T23" s="134"/>
      <c r="U23" s="134"/>
      <c r="V23" s="134"/>
      <c r="W23" s="134"/>
      <c r="X23" s="134"/>
      <c r="Y23" s="134"/>
    </row>
    <row r="24">
      <c r="A24" s="126" t="s">
        <v>1276</v>
      </c>
      <c r="B24" s="127" t="s">
        <v>103</v>
      </c>
      <c r="C24" s="145" t="s">
        <v>1258</v>
      </c>
      <c r="D24" s="136" t="s">
        <v>102</v>
      </c>
      <c r="E24" s="82" t="s">
        <v>1233</v>
      </c>
      <c r="F24" s="63" t="s">
        <v>1277</v>
      </c>
      <c r="G24" s="128" t="s">
        <v>1235</v>
      </c>
      <c r="H24" s="133" t="s">
        <v>1912</v>
      </c>
      <c r="I24" s="129" t="s">
        <v>1913</v>
      </c>
      <c r="J24" s="130" t="s">
        <v>1912</v>
      </c>
      <c r="K24" s="130" t="s">
        <v>1914</v>
      </c>
      <c r="L24" s="130" t="s">
        <v>1929</v>
      </c>
      <c r="M24" s="130" t="s">
        <v>1913</v>
      </c>
      <c r="N24" s="140"/>
      <c r="O24" s="132"/>
      <c r="P24" s="133"/>
      <c r="Q24" s="143"/>
      <c r="R24" s="134"/>
      <c r="S24" s="134"/>
      <c r="T24" s="134"/>
      <c r="U24" s="134"/>
      <c r="V24" s="134"/>
      <c r="W24" s="134"/>
      <c r="X24" s="134"/>
      <c r="Y24" s="134"/>
    </row>
    <row r="25">
      <c r="A25" s="126" t="s">
        <v>1278</v>
      </c>
      <c r="B25" s="127" t="s">
        <v>105</v>
      </c>
      <c r="C25" s="145" t="s">
        <v>1258</v>
      </c>
      <c r="D25" s="144" t="s">
        <v>104</v>
      </c>
      <c r="E25" s="82" t="s">
        <v>1233</v>
      </c>
      <c r="F25" s="63" t="s">
        <v>1279</v>
      </c>
      <c r="G25" s="128" t="s">
        <v>1235</v>
      </c>
      <c r="H25" s="133" t="s">
        <v>1912</v>
      </c>
      <c r="I25" s="129" t="s">
        <v>1913</v>
      </c>
      <c r="J25" s="130" t="s">
        <v>1912</v>
      </c>
      <c r="K25" s="130" t="s">
        <v>1914</v>
      </c>
      <c r="L25" s="130" t="s">
        <v>1931</v>
      </c>
      <c r="M25" s="130" t="s">
        <v>1913</v>
      </c>
      <c r="N25" s="130" t="s">
        <v>1932</v>
      </c>
      <c r="O25" s="133"/>
      <c r="P25" s="133"/>
      <c r="Q25" s="133"/>
      <c r="R25" s="134"/>
      <c r="S25" s="134"/>
      <c r="T25" s="134"/>
      <c r="U25" s="134"/>
      <c r="V25" s="134"/>
      <c r="W25" s="134"/>
      <c r="X25" s="134"/>
      <c r="Y25" s="134"/>
    </row>
    <row r="26">
      <c r="A26" s="126" t="s">
        <v>1280</v>
      </c>
      <c r="B26" s="127" t="s">
        <v>107</v>
      </c>
      <c r="C26" s="145" t="s">
        <v>1258</v>
      </c>
      <c r="D26" s="144" t="s">
        <v>106</v>
      </c>
      <c r="E26" s="82" t="s">
        <v>1233</v>
      </c>
      <c r="F26" s="63" t="s">
        <v>1281</v>
      </c>
      <c r="G26" s="128" t="s">
        <v>1235</v>
      </c>
      <c r="H26" s="133" t="s">
        <v>1912</v>
      </c>
      <c r="I26" s="129" t="s">
        <v>1913</v>
      </c>
      <c r="J26" s="130" t="s">
        <v>1933</v>
      </c>
      <c r="K26" s="130" t="s">
        <v>1914</v>
      </c>
      <c r="L26" s="130" t="s">
        <v>1923</v>
      </c>
      <c r="M26" s="130" t="s">
        <v>1913</v>
      </c>
      <c r="N26" s="141" t="s">
        <v>1934</v>
      </c>
      <c r="O26" s="150"/>
      <c r="P26" s="150"/>
      <c r="Q26" s="150"/>
      <c r="R26" s="134"/>
      <c r="S26" s="134"/>
      <c r="T26" s="134"/>
      <c r="U26" s="134"/>
      <c r="V26" s="134"/>
      <c r="W26" s="134"/>
      <c r="X26" s="134"/>
      <c r="Y26" s="134"/>
    </row>
    <row r="27">
      <c r="A27" s="126" t="s">
        <v>1282</v>
      </c>
      <c r="B27" s="127" t="s">
        <v>109</v>
      </c>
      <c r="C27" s="135" t="s">
        <v>1258</v>
      </c>
      <c r="D27" s="136" t="s">
        <v>108</v>
      </c>
      <c r="E27" s="74" t="s">
        <v>1233</v>
      </c>
      <c r="F27" s="63" t="s">
        <v>1283</v>
      </c>
      <c r="G27" s="128" t="s">
        <v>1235</v>
      </c>
      <c r="H27" s="133" t="s">
        <v>1912</v>
      </c>
      <c r="I27" s="129" t="s">
        <v>1913</v>
      </c>
      <c r="J27" s="130" t="s">
        <v>1912</v>
      </c>
      <c r="K27" s="130" t="s">
        <v>1914</v>
      </c>
      <c r="L27" s="130" t="s">
        <v>1929</v>
      </c>
      <c r="M27" s="130" t="s">
        <v>1913</v>
      </c>
      <c r="N27" s="140"/>
      <c r="O27" s="150"/>
      <c r="P27" s="151"/>
      <c r="Q27" s="134"/>
      <c r="R27" s="134"/>
      <c r="S27" s="134"/>
      <c r="T27" s="134"/>
      <c r="U27" s="134"/>
      <c r="V27" s="134"/>
      <c r="W27" s="134"/>
      <c r="X27" s="134"/>
      <c r="Y27" s="134"/>
    </row>
    <row r="28">
      <c r="A28" s="126" t="s">
        <v>1284</v>
      </c>
      <c r="B28" s="144" t="s">
        <v>111</v>
      </c>
      <c r="C28" s="135" t="s">
        <v>1258</v>
      </c>
      <c r="D28" s="136" t="s">
        <v>110</v>
      </c>
      <c r="E28" s="74" t="s">
        <v>1233</v>
      </c>
      <c r="F28" s="63" t="s">
        <v>1285</v>
      </c>
      <c r="G28" s="128" t="s">
        <v>1235</v>
      </c>
      <c r="H28" s="133" t="s">
        <v>1912</v>
      </c>
      <c r="I28" s="129" t="s">
        <v>1913</v>
      </c>
      <c r="J28" s="130" t="s">
        <v>1913</v>
      </c>
      <c r="K28" s="130" t="s">
        <v>1914</v>
      </c>
      <c r="L28" s="130" t="s">
        <v>1923</v>
      </c>
      <c r="M28" s="130" t="s">
        <v>1913</v>
      </c>
      <c r="N28" s="130" t="s">
        <v>1935</v>
      </c>
      <c r="O28" s="150"/>
      <c r="P28" s="150"/>
      <c r="Q28" s="150"/>
      <c r="R28" s="134"/>
      <c r="S28" s="134"/>
      <c r="T28" s="134"/>
      <c r="U28" s="134"/>
      <c r="V28" s="134"/>
      <c r="W28" s="134"/>
      <c r="X28" s="134"/>
      <c r="Y28" s="134"/>
    </row>
    <row r="29">
      <c r="A29" s="126" t="s">
        <v>1286</v>
      </c>
      <c r="B29" s="127" t="s">
        <v>113</v>
      </c>
      <c r="C29" s="135" t="s">
        <v>1258</v>
      </c>
      <c r="D29" s="144" t="s">
        <v>112</v>
      </c>
      <c r="E29" s="74" t="s">
        <v>1233</v>
      </c>
      <c r="F29" s="63" t="s">
        <v>1287</v>
      </c>
      <c r="G29" s="128" t="s">
        <v>1235</v>
      </c>
      <c r="H29" s="133" t="s">
        <v>1912</v>
      </c>
      <c r="I29" s="129" t="s">
        <v>1913</v>
      </c>
      <c r="J29" s="130" t="s">
        <v>1913</v>
      </c>
      <c r="K29" s="130" t="s">
        <v>1914</v>
      </c>
      <c r="L29" s="130" t="s">
        <v>1923</v>
      </c>
      <c r="M29" s="130" t="s">
        <v>1913</v>
      </c>
      <c r="N29" s="130" t="s">
        <v>1936</v>
      </c>
      <c r="O29" s="150"/>
      <c r="P29" s="152"/>
      <c r="Q29" s="134"/>
      <c r="R29" s="134"/>
      <c r="S29" s="134"/>
      <c r="T29" s="134"/>
      <c r="U29" s="134"/>
      <c r="V29" s="134"/>
      <c r="W29" s="134"/>
      <c r="X29" s="134"/>
      <c r="Y29" s="134"/>
    </row>
    <row r="30">
      <c r="A30" s="126" t="s">
        <v>1288</v>
      </c>
      <c r="B30" s="127" t="s">
        <v>115</v>
      </c>
      <c r="C30" s="135" t="s">
        <v>1258</v>
      </c>
      <c r="D30" s="144" t="s">
        <v>114</v>
      </c>
      <c r="E30" s="74" t="s">
        <v>1233</v>
      </c>
      <c r="F30" s="63" t="s">
        <v>1289</v>
      </c>
      <c r="G30" s="128" t="s">
        <v>1235</v>
      </c>
      <c r="H30" s="133" t="s">
        <v>1912</v>
      </c>
      <c r="I30" s="129" t="s">
        <v>1913</v>
      </c>
      <c r="J30" s="130" t="s">
        <v>1913</v>
      </c>
      <c r="K30" s="130" t="s">
        <v>1914</v>
      </c>
      <c r="L30" s="130" t="s">
        <v>1923</v>
      </c>
      <c r="M30" s="130" t="s">
        <v>1913</v>
      </c>
      <c r="N30" s="130" t="s">
        <v>1936</v>
      </c>
      <c r="O30" s="150"/>
      <c r="P30" s="150"/>
      <c r="Q30" s="150"/>
      <c r="R30" s="134"/>
      <c r="S30" s="134"/>
      <c r="T30" s="134"/>
      <c r="U30" s="134"/>
      <c r="V30" s="134"/>
      <c r="W30" s="134"/>
      <c r="X30" s="134"/>
      <c r="Y30" s="134"/>
    </row>
    <row r="31">
      <c r="A31" s="126" t="s">
        <v>1290</v>
      </c>
      <c r="B31" s="127" t="s">
        <v>117</v>
      </c>
      <c r="C31" s="135" t="s">
        <v>1258</v>
      </c>
      <c r="D31" s="136" t="s">
        <v>116</v>
      </c>
      <c r="E31" s="74" t="s">
        <v>1233</v>
      </c>
      <c r="F31" s="63" t="s">
        <v>1291</v>
      </c>
      <c r="G31" s="128" t="s">
        <v>1235</v>
      </c>
      <c r="H31" s="133" t="s">
        <v>1912</v>
      </c>
      <c r="I31" s="129" t="s">
        <v>1913</v>
      </c>
      <c r="J31" s="130" t="s">
        <v>1913</v>
      </c>
      <c r="K31" s="130" t="s">
        <v>1914</v>
      </c>
      <c r="L31" s="130" t="s">
        <v>1923</v>
      </c>
      <c r="M31" s="130" t="s">
        <v>1913</v>
      </c>
      <c r="N31" s="130" t="s">
        <v>1936</v>
      </c>
      <c r="O31" s="150"/>
      <c r="P31" s="150"/>
      <c r="Q31" s="150"/>
      <c r="R31" s="134"/>
      <c r="S31" s="134"/>
      <c r="T31" s="134"/>
      <c r="U31" s="134"/>
      <c r="V31" s="134"/>
      <c r="W31" s="134"/>
      <c r="X31" s="134"/>
      <c r="Y31" s="134"/>
    </row>
    <row r="32">
      <c r="A32" s="126" t="s">
        <v>1292</v>
      </c>
      <c r="B32" s="127" t="s">
        <v>120</v>
      </c>
      <c r="C32" s="135" t="s">
        <v>1260</v>
      </c>
      <c r="D32" s="146" t="s">
        <v>119</v>
      </c>
      <c r="E32" s="74" t="s">
        <v>1233</v>
      </c>
      <c r="F32" s="63" t="s">
        <v>1293</v>
      </c>
      <c r="G32" s="128" t="s">
        <v>1235</v>
      </c>
      <c r="H32" s="133" t="s">
        <v>1912</v>
      </c>
      <c r="I32" s="129" t="s">
        <v>1913</v>
      </c>
      <c r="J32" s="130" t="s">
        <v>1913</v>
      </c>
      <c r="K32" s="130" t="s">
        <v>1914</v>
      </c>
      <c r="L32" s="130" t="s">
        <v>1926</v>
      </c>
      <c r="M32" s="130" t="s">
        <v>1913</v>
      </c>
      <c r="N32" s="140"/>
      <c r="O32" s="150"/>
      <c r="P32" s="150"/>
      <c r="Q32" s="134"/>
      <c r="R32" s="134"/>
      <c r="S32" s="134"/>
      <c r="T32" s="134"/>
      <c r="U32" s="134"/>
      <c r="V32" s="134"/>
      <c r="W32" s="134"/>
      <c r="X32" s="134"/>
      <c r="Y32" s="134"/>
    </row>
    <row r="33">
      <c r="A33" s="126" t="s">
        <v>1294</v>
      </c>
      <c r="B33" s="127" t="s">
        <v>123</v>
      </c>
      <c r="C33" s="135" t="s">
        <v>1262</v>
      </c>
      <c r="D33" s="146" t="s">
        <v>122</v>
      </c>
      <c r="E33" s="74" t="s">
        <v>1233</v>
      </c>
      <c r="F33" s="63" t="s">
        <v>1295</v>
      </c>
      <c r="G33" s="128" t="s">
        <v>1235</v>
      </c>
      <c r="H33" s="133" t="s">
        <v>1912</v>
      </c>
      <c r="I33" s="129" t="s">
        <v>1913</v>
      </c>
      <c r="J33" s="130" t="s">
        <v>1913</v>
      </c>
      <c r="K33" s="130" t="s">
        <v>1914</v>
      </c>
      <c r="L33" s="130" t="s">
        <v>1926</v>
      </c>
      <c r="M33" s="130" t="s">
        <v>1913</v>
      </c>
      <c r="N33" s="140"/>
      <c r="O33" s="153"/>
      <c r="P33" s="150"/>
      <c r="Q33" s="134"/>
      <c r="R33" s="134"/>
      <c r="S33" s="134"/>
      <c r="T33" s="134"/>
      <c r="U33" s="134"/>
      <c r="V33" s="134"/>
      <c r="W33" s="134"/>
      <c r="X33" s="134"/>
      <c r="Y33" s="134"/>
    </row>
    <row r="34">
      <c r="A34" s="126" t="s">
        <v>1296</v>
      </c>
      <c r="B34" s="127" t="s">
        <v>126</v>
      </c>
      <c r="C34" s="135" t="s">
        <v>1264</v>
      </c>
      <c r="D34" s="144" t="s">
        <v>125</v>
      </c>
      <c r="E34" s="74" t="s">
        <v>1233</v>
      </c>
      <c r="F34" s="63" t="s">
        <v>1297</v>
      </c>
      <c r="G34" s="128" t="s">
        <v>1235</v>
      </c>
      <c r="H34" s="133" t="s">
        <v>1912</v>
      </c>
      <c r="I34" s="129" t="s">
        <v>1913</v>
      </c>
      <c r="J34" s="130" t="s">
        <v>1913</v>
      </c>
      <c r="K34" s="130" t="s">
        <v>1914</v>
      </c>
      <c r="L34" s="130" t="s">
        <v>1923</v>
      </c>
      <c r="M34" s="130" t="s">
        <v>1913</v>
      </c>
      <c r="N34" s="140"/>
      <c r="O34" s="153"/>
      <c r="P34" s="134"/>
      <c r="Q34" s="134"/>
      <c r="R34" s="134"/>
      <c r="S34" s="134"/>
      <c r="T34" s="134"/>
      <c r="U34" s="134"/>
      <c r="V34" s="134"/>
      <c r="W34" s="134"/>
      <c r="X34" s="134"/>
      <c r="Y34" s="134"/>
    </row>
    <row r="35">
      <c r="A35" s="126" t="s">
        <v>1298</v>
      </c>
      <c r="B35" s="127" t="s">
        <v>129</v>
      </c>
      <c r="C35" s="135" t="s">
        <v>1266</v>
      </c>
      <c r="D35" s="144" t="s">
        <v>128</v>
      </c>
      <c r="E35" s="74" t="s">
        <v>1233</v>
      </c>
      <c r="F35" s="63" t="s">
        <v>1299</v>
      </c>
      <c r="G35" s="128" t="s">
        <v>1235</v>
      </c>
      <c r="H35" s="133" t="s">
        <v>1912</v>
      </c>
      <c r="I35" s="129" t="s">
        <v>1913</v>
      </c>
      <c r="J35" s="130" t="s">
        <v>1913</v>
      </c>
      <c r="K35" s="130" t="s">
        <v>1914</v>
      </c>
      <c r="L35" s="130" t="s">
        <v>1923</v>
      </c>
      <c r="M35" s="130" t="s">
        <v>1913</v>
      </c>
      <c r="N35" s="140"/>
      <c r="O35" s="153"/>
      <c r="P35" s="134"/>
      <c r="Q35" s="134"/>
      <c r="R35" s="134"/>
      <c r="S35" s="134"/>
      <c r="T35" s="134"/>
      <c r="U35" s="134"/>
      <c r="V35" s="134"/>
      <c r="W35" s="134"/>
      <c r="X35" s="134"/>
      <c r="Y35" s="134"/>
    </row>
    <row r="36">
      <c r="A36" s="126" t="s">
        <v>1300</v>
      </c>
      <c r="B36" s="127" t="s">
        <v>131</v>
      </c>
      <c r="C36" s="135" t="s">
        <v>1266</v>
      </c>
      <c r="D36" s="142" t="s">
        <v>130</v>
      </c>
      <c r="E36" s="74" t="s">
        <v>1233</v>
      </c>
      <c r="F36" s="63" t="s">
        <v>1301</v>
      </c>
      <c r="G36" s="128" t="s">
        <v>1235</v>
      </c>
      <c r="H36" s="133" t="s">
        <v>1912</v>
      </c>
      <c r="I36" s="129" t="s">
        <v>1913</v>
      </c>
      <c r="J36" s="130" t="s">
        <v>1913</v>
      </c>
      <c r="K36" s="130" t="s">
        <v>1914</v>
      </c>
      <c r="L36" s="130" t="s">
        <v>1923</v>
      </c>
      <c r="M36" s="130" t="s">
        <v>1913</v>
      </c>
      <c r="N36" s="140"/>
      <c r="O36" s="153"/>
      <c r="P36" s="150"/>
      <c r="Q36" s="134"/>
      <c r="R36" s="134"/>
      <c r="S36" s="134"/>
      <c r="T36" s="134"/>
      <c r="U36" s="134"/>
      <c r="V36" s="134"/>
      <c r="W36" s="134"/>
      <c r="X36" s="134"/>
      <c r="Y36" s="134"/>
    </row>
    <row r="37">
      <c r="A37" s="126" t="s">
        <v>1302</v>
      </c>
      <c r="B37" s="127" t="s">
        <v>134</v>
      </c>
      <c r="C37" s="135" t="s">
        <v>1268</v>
      </c>
      <c r="D37" s="144" t="s">
        <v>133</v>
      </c>
      <c r="E37" s="74" t="s">
        <v>1233</v>
      </c>
      <c r="F37" s="63" t="s">
        <v>1303</v>
      </c>
      <c r="G37" s="128" t="s">
        <v>1235</v>
      </c>
      <c r="H37" s="133" t="s">
        <v>1912</v>
      </c>
      <c r="I37" s="129" t="s">
        <v>1913</v>
      </c>
      <c r="J37" s="130" t="s">
        <v>1913</v>
      </c>
      <c r="K37" s="130" t="s">
        <v>1914</v>
      </c>
      <c r="L37" s="130" t="s">
        <v>1926</v>
      </c>
      <c r="M37" s="130" t="s">
        <v>1913</v>
      </c>
      <c r="N37" s="140"/>
      <c r="O37" s="153"/>
      <c r="P37" s="150"/>
      <c r="Q37" s="134"/>
      <c r="R37" s="134"/>
      <c r="S37" s="134"/>
      <c r="T37" s="134"/>
      <c r="U37" s="134"/>
      <c r="V37" s="134"/>
      <c r="W37" s="134"/>
      <c r="X37" s="134"/>
      <c r="Y37" s="134"/>
    </row>
    <row r="38">
      <c r="A38" s="126" t="s">
        <v>1304</v>
      </c>
      <c r="B38" s="127" t="s">
        <v>137</v>
      </c>
      <c r="C38" s="135" t="s">
        <v>1270</v>
      </c>
      <c r="D38" s="146" t="s">
        <v>136</v>
      </c>
      <c r="E38" s="74" t="s">
        <v>1233</v>
      </c>
      <c r="F38" s="63" t="s">
        <v>1305</v>
      </c>
      <c r="G38" s="128" t="s">
        <v>1235</v>
      </c>
      <c r="H38" s="133" t="s">
        <v>1912</v>
      </c>
      <c r="I38" s="129" t="s">
        <v>1913</v>
      </c>
      <c r="J38" s="130" t="s">
        <v>1913</v>
      </c>
      <c r="K38" s="130" t="s">
        <v>1914</v>
      </c>
      <c r="L38" s="130" t="s">
        <v>1926</v>
      </c>
      <c r="M38" s="130" t="s">
        <v>1913</v>
      </c>
      <c r="N38" s="130" t="s">
        <v>1937</v>
      </c>
      <c r="O38" s="150"/>
      <c r="P38" s="150"/>
      <c r="Q38" s="150"/>
      <c r="R38" s="134"/>
      <c r="S38" s="134"/>
      <c r="T38" s="134"/>
      <c r="U38" s="134"/>
      <c r="V38" s="134"/>
      <c r="W38" s="134"/>
      <c r="X38" s="134"/>
      <c r="Y38" s="134"/>
    </row>
    <row r="39">
      <c r="A39" s="126" t="s">
        <v>1306</v>
      </c>
      <c r="B39" s="144" t="s">
        <v>140</v>
      </c>
      <c r="C39" s="135" t="s">
        <v>1272</v>
      </c>
      <c r="D39" s="127" t="s">
        <v>139</v>
      </c>
      <c r="E39" s="74" t="s">
        <v>1233</v>
      </c>
      <c r="F39" s="63" t="s">
        <v>1307</v>
      </c>
      <c r="G39" s="128" t="s">
        <v>1235</v>
      </c>
      <c r="H39" s="133" t="s">
        <v>1912</v>
      </c>
      <c r="I39" s="129" t="s">
        <v>1913</v>
      </c>
      <c r="J39" s="130" t="s">
        <v>1912</v>
      </c>
      <c r="K39" s="130" t="s">
        <v>1914</v>
      </c>
      <c r="L39" s="130" t="s">
        <v>1929</v>
      </c>
      <c r="M39" s="130" t="s">
        <v>1913</v>
      </c>
      <c r="N39" s="140"/>
      <c r="O39" s="153"/>
      <c r="P39" s="150"/>
      <c r="Q39" s="150"/>
      <c r="R39" s="134"/>
      <c r="S39" s="134"/>
      <c r="T39" s="134"/>
      <c r="U39" s="134"/>
      <c r="V39" s="134"/>
      <c r="W39" s="134"/>
      <c r="X39" s="134"/>
      <c r="Y39" s="134"/>
    </row>
    <row r="40">
      <c r="A40" s="126" t="s">
        <v>1308</v>
      </c>
      <c r="B40" s="127" t="s">
        <v>143</v>
      </c>
      <c r="C40" s="135" t="s">
        <v>1274</v>
      </c>
      <c r="D40" s="144" t="s">
        <v>142</v>
      </c>
      <c r="E40" s="74" t="s">
        <v>1233</v>
      </c>
      <c r="F40" s="63" t="s">
        <v>1309</v>
      </c>
      <c r="G40" s="128" t="s">
        <v>1235</v>
      </c>
      <c r="H40" s="133" t="s">
        <v>1912</v>
      </c>
      <c r="I40" s="129" t="s">
        <v>1913</v>
      </c>
      <c r="J40" s="130" t="s">
        <v>1913</v>
      </c>
      <c r="K40" s="130" t="s">
        <v>1914</v>
      </c>
      <c r="L40" s="130" t="s">
        <v>1923</v>
      </c>
      <c r="M40" s="130" t="s">
        <v>1913</v>
      </c>
      <c r="N40" s="130"/>
      <c r="O40" s="150"/>
      <c r="P40" s="150"/>
      <c r="Q40" s="150"/>
      <c r="R40" s="134"/>
      <c r="S40" s="134"/>
      <c r="T40" s="134"/>
      <c r="U40" s="134"/>
      <c r="V40" s="134"/>
      <c r="W40" s="134"/>
      <c r="X40" s="134"/>
      <c r="Y40" s="134"/>
    </row>
    <row r="41">
      <c r="A41" s="126" t="s">
        <v>1310</v>
      </c>
      <c r="B41" s="127" t="s">
        <v>145</v>
      </c>
      <c r="C41" s="135" t="s">
        <v>1274</v>
      </c>
      <c r="D41" s="142" t="s">
        <v>144</v>
      </c>
      <c r="E41" s="74" t="s">
        <v>1233</v>
      </c>
      <c r="F41" s="63" t="s">
        <v>1311</v>
      </c>
      <c r="G41" s="129" t="s">
        <v>1235</v>
      </c>
      <c r="H41" s="133" t="s">
        <v>1912</v>
      </c>
      <c r="I41" s="129" t="s">
        <v>1913</v>
      </c>
      <c r="J41" s="130" t="s">
        <v>1913</v>
      </c>
      <c r="K41" s="130" t="s">
        <v>1914</v>
      </c>
      <c r="L41" s="130" t="s">
        <v>1923</v>
      </c>
      <c r="M41" s="130" t="s">
        <v>1913</v>
      </c>
      <c r="N41" s="140"/>
      <c r="O41" s="151"/>
      <c r="P41" s="150"/>
      <c r="Q41" s="150"/>
      <c r="R41" s="134"/>
      <c r="S41" s="134"/>
      <c r="T41" s="134"/>
      <c r="U41" s="134"/>
      <c r="V41" s="134"/>
      <c r="W41" s="134"/>
      <c r="X41" s="134"/>
      <c r="Y41" s="134"/>
    </row>
    <row r="42">
      <c r="A42" s="126" t="s">
        <v>1312</v>
      </c>
      <c r="B42" s="127" t="s">
        <v>147</v>
      </c>
      <c r="C42" s="135" t="s">
        <v>1274</v>
      </c>
      <c r="D42" s="144" t="s">
        <v>146</v>
      </c>
      <c r="E42" s="74" t="s">
        <v>1233</v>
      </c>
      <c r="F42" s="63" t="s">
        <v>1313</v>
      </c>
      <c r="G42" s="129" t="s">
        <v>1235</v>
      </c>
      <c r="H42" s="133" t="s">
        <v>1912</v>
      </c>
      <c r="I42" s="129" t="s">
        <v>1913</v>
      </c>
      <c r="J42" s="130" t="s">
        <v>1913</v>
      </c>
      <c r="K42" s="130" t="s">
        <v>1914</v>
      </c>
      <c r="L42" s="130" t="s">
        <v>1923</v>
      </c>
      <c r="M42" s="130" t="s">
        <v>1913</v>
      </c>
      <c r="N42" s="130"/>
      <c r="O42" s="150"/>
      <c r="P42" s="150"/>
      <c r="Q42" s="150"/>
      <c r="R42" s="134"/>
      <c r="S42" s="134"/>
      <c r="T42" s="134"/>
      <c r="U42" s="134"/>
      <c r="V42" s="134"/>
      <c r="W42" s="134"/>
      <c r="X42" s="134"/>
      <c r="Y42" s="134"/>
    </row>
    <row r="43">
      <c r="A43" s="126" t="s">
        <v>1314</v>
      </c>
      <c r="B43" s="127" t="s">
        <v>149</v>
      </c>
      <c r="C43" s="135" t="s">
        <v>1274</v>
      </c>
      <c r="D43" s="142" t="s">
        <v>148</v>
      </c>
      <c r="E43" s="74" t="s">
        <v>1233</v>
      </c>
      <c r="F43" s="63" t="s">
        <v>1315</v>
      </c>
      <c r="G43" s="129" t="s">
        <v>1316</v>
      </c>
      <c r="H43" s="133" t="s">
        <v>1938</v>
      </c>
      <c r="I43" s="129" t="s">
        <v>1913</v>
      </c>
      <c r="J43" s="130" t="s">
        <v>1913</v>
      </c>
      <c r="K43" s="130" t="s">
        <v>1914</v>
      </c>
      <c r="L43" s="130" t="s">
        <v>1923</v>
      </c>
      <c r="M43" s="130" t="s">
        <v>1913</v>
      </c>
      <c r="N43" s="130"/>
      <c r="O43" s="150"/>
      <c r="P43" s="150"/>
      <c r="Q43" s="150"/>
      <c r="R43" s="134"/>
      <c r="S43" s="134"/>
      <c r="T43" s="134"/>
      <c r="U43" s="134"/>
      <c r="V43" s="134"/>
      <c r="W43" s="134"/>
      <c r="X43" s="134"/>
      <c r="Y43" s="134"/>
    </row>
    <row r="44">
      <c r="A44" s="126" t="s">
        <v>1317</v>
      </c>
      <c r="B44" s="127" t="s">
        <v>151</v>
      </c>
      <c r="C44" s="135" t="s">
        <v>1274</v>
      </c>
      <c r="D44" s="144" t="s">
        <v>150</v>
      </c>
      <c r="E44" s="74" t="s">
        <v>1233</v>
      </c>
      <c r="F44" s="63" t="s">
        <v>1318</v>
      </c>
      <c r="G44" s="129" t="s">
        <v>1316</v>
      </c>
      <c r="H44" s="133" t="s">
        <v>1938</v>
      </c>
      <c r="I44" s="129" t="s">
        <v>1913</v>
      </c>
      <c r="J44" s="130" t="s">
        <v>1913</v>
      </c>
      <c r="K44" s="130" t="s">
        <v>1914</v>
      </c>
      <c r="L44" s="130" t="s">
        <v>1923</v>
      </c>
      <c r="M44" s="130" t="s">
        <v>1913</v>
      </c>
      <c r="N44" s="140"/>
      <c r="O44" s="150"/>
      <c r="P44" s="150"/>
      <c r="Q44" s="134"/>
      <c r="R44" s="134"/>
      <c r="S44" s="134"/>
      <c r="T44" s="134"/>
      <c r="U44" s="134"/>
      <c r="V44" s="134"/>
      <c r="W44" s="134"/>
      <c r="X44" s="134"/>
      <c r="Y44" s="134"/>
    </row>
    <row r="45">
      <c r="A45" s="126" t="s">
        <v>1319</v>
      </c>
      <c r="B45" s="127" t="s">
        <v>154</v>
      </c>
      <c r="C45" s="135" t="s">
        <v>1276</v>
      </c>
      <c r="D45" s="144" t="s">
        <v>153</v>
      </c>
      <c r="E45" s="74" t="s">
        <v>1233</v>
      </c>
      <c r="F45" s="63" t="s">
        <v>1320</v>
      </c>
      <c r="G45" s="129" t="s">
        <v>1316</v>
      </c>
      <c r="H45" s="133" t="s">
        <v>1938</v>
      </c>
      <c r="I45" s="129" t="s">
        <v>1913</v>
      </c>
      <c r="J45" s="130" t="s">
        <v>1913</v>
      </c>
      <c r="K45" s="130" t="s">
        <v>1914</v>
      </c>
      <c r="L45" s="130" t="s">
        <v>1939</v>
      </c>
      <c r="M45" s="130" t="s">
        <v>1913</v>
      </c>
      <c r="N45" s="140"/>
      <c r="O45" s="150"/>
      <c r="P45" s="134"/>
      <c r="Q45" s="134"/>
      <c r="R45" s="134"/>
      <c r="S45" s="134"/>
      <c r="T45" s="134"/>
      <c r="U45" s="134"/>
      <c r="V45" s="134"/>
      <c r="W45" s="134"/>
      <c r="X45" s="134"/>
      <c r="Y45" s="134"/>
    </row>
    <row r="46">
      <c r="A46" s="126" t="s">
        <v>1321</v>
      </c>
      <c r="B46" s="127" t="s">
        <v>157</v>
      </c>
      <c r="C46" s="135" t="s">
        <v>1278</v>
      </c>
      <c r="D46" s="144" t="s">
        <v>156</v>
      </c>
      <c r="E46" s="74" t="s">
        <v>1233</v>
      </c>
      <c r="F46" s="63" t="s">
        <v>1322</v>
      </c>
      <c r="G46" s="129" t="s">
        <v>1316</v>
      </c>
      <c r="H46" s="133" t="s">
        <v>1938</v>
      </c>
      <c r="I46" s="129" t="s">
        <v>1913</v>
      </c>
      <c r="J46" s="130" t="s">
        <v>1913</v>
      </c>
      <c r="K46" s="130" t="s">
        <v>1913</v>
      </c>
      <c r="L46" s="130" t="s">
        <v>1940</v>
      </c>
      <c r="M46" s="130" t="s">
        <v>1913</v>
      </c>
      <c r="N46" s="140"/>
      <c r="O46" s="150"/>
      <c r="P46" s="150"/>
      <c r="Q46" s="134"/>
      <c r="R46" s="134"/>
      <c r="S46" s="134"/>
      <c r="T46" s="134"/>
      <c r="U46" s="134"/>
      <c r="V46" s="134"/>
      <c r="W46" s="134"/>
      <c r="X46" s="134"/>
      <c r="Y46" s="134"/>
    </row>
    <row r="47">
      <c r="A47" s="126" t="s">
        <v>1323</v>
      </c>
      <c r="B47" s="127">
        <v>1291.0</v>
      </c>
      <c r="C47" s="135" t="s">
        <v>1280</v>
      </c>
      <c r="D47" s="144" t="s">
        <v>159</v>
      </c>
      <c r="E47" s="74" t="s">
        <v>1233</v>
      </c>
      <c r="F47" s="63" t="s">
        <v>1324</v>
      </c>
      <c r="G47" s="129" t="s">
        <v>1316</v>
      </c>
      <c r="H47" s="133" t="s">
        <v>1938</v>
      </c>
      <c r="I47" s="129" t="s">
        <v>1913</v>
      </c>
      <c r="J47" s="130" t="s">
        <v>1913</v>
      </c>
      <c r="K47" s="130" t="s">
        <v>1913</v>
      </c>
      <c r="L47" s="130" t="s">
        <v>1924</v>
      </c>
      <c r="M47" s="130" t="s">
        <v>1913</v>
      </c>
      <c r="N47" s="140"/>
      <c r="O47" s="150"/>
      <c r="P47" s="150"/>
      <c r="Q47" s="134"/>
      <c r="R47" s="134"/>
      <c r="S47" s="134"/>
      <c r="T47" s="134"/>
      <c r="U47" s="134"/>
      <c r="V47" s="134"/>
      <c r="W47" s="134"/>
      <c r="X47" s="134"/>
      <c r="Y47" s="134"/>
    </row>
    <row r="48">
      <c r="A48" s="126" t="s">
        <v>1325</v>
      </c>
      <c r="B48" s="127">
        <v>1292.0</v>
      </c>
      <c r="C48" s="135" t="s">
        <v>1282</v>
      </c>
      <c r="D48" s="144" t="s">
        <v>161</v>
      </c>
      <c r="E48" s="74" t="s">
        <v>1233</v>
      </c>
      <c r="F48" s="63" t="s">
        <v>1326</v>
      </c>
      <c r="G48" s="129" t="s">
        <v>1316</v>
      </c>
      <c r="H48" s="133" t="s">
        <v>1938</v>
      </c>
      <c r="I48" s="129" t="s">
        <v>1913</v>
      </c>
      <c r="J48" s="130" t="s">
        <v>1913</v>
      </c>
      <c r="K48" s="130" t="s">
        <v>1913</v>
      </c>
      <c r="L48" s="130" t="s">
        <v>1924</v>
      </c>
      <c r="M48" s="130" t="s">
        <v>1913</v>
      </c>
      <c r="N48" s="140"/>
      <c r="O48" s="150"/>
      <c r="P48" s="150"/>
      <c r="Q48" s="134"/>
      <c r="R48" s="134"/>
      <c r="S48" s="134"/>
      <c r="T48" s="134"/>
      <c r="U48" s="134"/>
      <c r="V48" s="134"/>
      <c r="W48" s="134"/>
      <c r="X48" s="134"/>
      <c r="Y48" s="134"/>
    </row>
    <row r="49">
      <c r="A49" s="126" t="s">
        <v>1327</v>
      </c>
      <c r="B49" s="127" t="s">
        <v>164</v>
      </c>
      <c r="C49" s="135" t="s">
        <v>1284</v>
      </c>
      <c r="D49" s="144" t="s">
        <v>163</v>
      </c>
      <c r="E49" s="74" t="s">
        <v>1233</v>
      </c>
      <c r="F49" s="63" t="s">
        <v>1328</v>
      </c>
      <c r="G49" s="129" t="s">
        <v>1316</v>
      </c>
      <c r="H49" s="133" t="s">
        <v>1938</v>
      </c>
      <c r="I49" s="129" t="s">
        <v>1913</v>
      </c>
      <c r="J49" s="130" t="s">
        <v>1913</v>
      </c>
      <c r="K49" s="130" t="s">
        <v>1913</v>
      </c>
      <c r="L49" s="154" t="s">
        <v>1941</v>
      </c>
      <c r="M49" s="130" t="s">
        <v>1913</v>
      </c>
      <c r="N49" s="140"/>
      <c r="O49" s="150"/>
      <c r="P49" s="150"/>
      <c r="Q49" s="134"/>
      <c r="R49" s="134"/>
      <c r="S49" s="134"/>
      <c r="T49" s="134"/>
      <c r="U49" s="134"/>
      <c r="V49" s="134"/>
      <c r="W49" s="134"/>
      <c r="X49" s="134"/>
      <c r="Y49" s="134"/>
    </row>
    <row r="50">
      <c r="A50" s="126" t="s">
        <v>1329</v>
      </c>
      <c r="B50" s="127" t="s">
        <v>167</v>
      </c>
      <c r="C50" s="135" t="s">
        <v>1284</v>
      </c>
      <c r="D50" s="144" t="s">
        <v>166</v>
      </c>
      <c r="E50" s="74" t="s">
        <v>1233</v>
      </c>
      <c r="F50" s="63" t="s">
        <v>1330</v>
      </c>
      <c r="G50" s="129" t="s">
        <v>1316</v>
      </c>
      <c r="H50" s="133" t="s">
        <v>1938</v>
      </c>
      <c r="I50" s="129" t="s">
        <v>1913</v>
      </c>
      <c r="J50" s="130" t="s">
        <v>1913</v>
      </c>
      <c r="K50" s="130" t="s">
        <v>1913</v>
      </c>
      <c r="L50" s="130" t="s">
        <v>1940</v>
      </c>
      <c r="M50" s="130" t="s">
        <v>1913</v>
      </c>
      <c r="N50" s="140"/>
      <c r="O50" s="150"/>
      <c r="P50" s="150"/>
      <c r="Q50" s="134"/>
      <c r="R50" s="134"/>
      <c r="S50" s="134"/>
      <c r="T50" s="134"/>
      <c r="U50" s="134"/>
      <c r="V50" s="134"/>
      <c r="W50" s="134"/>
      <c r="X50" s="134"/>
      <c r="Y50" s="134"/>
    </row>
    <row r="51">
      <c r="A51" s="126" t="s">
        <v>1331</v>
      </c>
      <c r="B51" s="127" t="s">
        <v>170</v>
      </c>
      <c r="C51" s="135" t="s">
        <v>1286</v>
      </c>
      <c r="D51" s="144" t="s">
        <v>169</v>
      </c>
      <c r="E51" s="74" t="s">
        <v>1233</v>
      </c>
      <c r="F51" s="63" t="s">
        <v>1332</v>
      </c>
      <c r="G51" s="129" t="s">
        <v>1316</v>
      </c>
      <c r="H51" s="133" t="s">
        <v>1938</v>
      </c>
      <c r="I51" s="129" t="s">
        <v>1913</v>
      </c>
      <c r="J51" s="130" t="s">
        <v>1913</v>
      </c>
      <c r="K51" s="130" t="s">
        <v>1914</v>
      </c>
      <c r="L51" s="130" t="s">
        <v>1939</v>
      </c>
      <c r="M51" s="130" t="s">
        <v>1913</v>
      </c>
      <c r="N51" s="140"/>
      <c r="O51" s="150"/>
      <c r="P51" s="150"/>
      <c r="Q51" s="134"/>
      <c r="R51" s="134"/>
      <c r="S51" s="134"/>
      <c r="T51" s="134"/>
      <c r="U51" s="134"/>
      <c r="V51" s="134"/>
      <c r="W51" s="134"/>
      <c r="X51" s="134"/>
      <c r="Y51" s="134"/>
    </row>
    <row r="52">
      <c r="A52" s="126" t="s">
        <v>1333</v>
      </c>
      <c r="B52" s="127" t="s">
        <v>172</v>
      </c>
      <c r="C52" s="135" t="s">
        <v>1286</v>
      </c>
      <c r="D52" s="144" t="s">
        <v>171</v>
      </c>
      <c r="E52" s="74" t="s">
        <v>1233</v>
      </c>
      <c r="F52" s="63" t="s">
        <v>1334</v>
      </c>
      <c r="G52" s="129" t="s">
        <v>1316</v>
      </c>
      <c r="H52" s="133" t="s">
        <v>1938</v>
      </c>
      <c r="I52" s="129" t="s">
        <v>1913</v>
      </c>
      <c r="J52" s="130" t="s">
        <v>1913</v>
      </c>
      <c r="K52" s="130" t="s">
        <v>1913</v>
      </c>
      <c r="L52" s="130" t="s">
        <v>1940</v>
      </c>
      <c r="M52" s="130" t="s">
        <v>1913</v>
      </c>
      <c r="N52" s="140"/>
      <c r="O52" s="150"/>
      <c r="P52" s="150"/>
      <c r="Q52" s="134"/>
      <c r="R52" s="134"/>
      <c r="S52" s="134"/>
      <c r="T52" s="134"/>
      <c r="U52" s="134"/>
      <c r="V52" s="134"/>
      <c r="W52" s="134"/>
      <c r="X52" s="134"/>
      <c r="Y52" s="134"/>
    </row>
    <row r="53">
      <c r="A53" s="126" t="s">
        <v>1335</v>
      </c>
      <c r="B53" s="127" t="s">
        <v>176</v>
      </c>
      <c r="C53" s="135" t="s">
        <v>1288</v>
      </c>
      <c r="D53" s="144" t="s">
        <v>175</v>
      </c>
      <c r="E53" s="74" t="s">
        <v>1233</v>
      </c>
      <c r="F53" s="63" t="s">
        <v>1336</v>
      </c>
      <c r="G53" s="129" t="s">
        <v>1316</v>
      </c>
      <c r="H53" s="133" t="s">
        <v>1938</v>
      </c>
      <c r="I53" s="129" t="s">
        <v>1913</v>
      </c>
      <c r="J53" s="130" t="s">
        <v>1913</v>
      </c>
      <c r="K53" s="130" t="s">
        <v>1914</v>
      </c>
      <c r="L53" s="130" t="s">
        <v>1939</v>
      </c>
      <c r="M53" s="130" t="s">
        <v>1913</v>
      </c>
      <c r="N53" s="140"/>
      <c r="O53" s="150"/>
      <c r="P53" s="150"/>
      <c r="Q53" s="134"/>
      <c r="R53" s="134"/>
      <c r="S53" s="134"/>
      <c r="T53" s="134"/>
      <c r="U53" s="134"/>
      <c r="V53" s="134"/>
      <c r="W53" s="134"/>
      <c r="X53" s="134"/>
      <c r="Y53" s="134"/>
    </row>
    <row r="54">
      <c r="A54" s="126" t="s">
        <v>1337</v>
      </c>
      <c r="B54" s="127" t="s">
        <v>180</v>
      </c>
      <c r="C54" s="135" t="s">
        <v>1290</v>
      </c>
      <c r="D54" s="144" t="s">
        <v>179</v>
      </c>
      <c r="E54" s="74" t="s">
        <v>1233</v>
      </c>
      <c r="F54" s="63" t="s">
        <v>1338</v>
      </c>
      <c r="G54" s="129" t="s">
        <v>1316</v>
      </c>
      <c r="H54" s="133" t="s">
        <v>1938</v>
      </c>
      <c r="I54" s="129" t="s">
        <v>1913</v>
      </c>
      <c r="J54" s="130" t="s">
        <v>1913</v>
      </c>
      <c r="K54" s="130" t="s">
        <v>1914</v>
      </c>
      <c r="L54" s="130" t="s">
        <v>1939</v>
      </c>
      <c r="M54" s="130" t="s">
        <v>1913</v>
      </c>
      <c r="N54" s="140"/>
      <c r="O54" s="150"/>
      <c r="P54" s="150"/>
      <c r="Q54" s="134"/>
      <c r="R54" s="134"/>
      <c r="S54" s="134"/>
      <c r="T54" s="134"/>
      <c r="U54" s="134"/>
      <c r="V54" s="134"/>
      <c r="W54" s="134"/>
      <c r="X54" s="134"/>
      <c r="Y54" s="134"/>
    </row>
    <row r="55">
      <c r="A55" s="126" t="s">
        <v>1339</v>
      </c>
      <c r="B55" s="127" t="s">
        <v>182</v>
      </c>
      <c r="C55" s="135" t="s">
        <v>1290</v>
      </c>
      <c r="D55" s="144" t="s">
        <v>181</v>
      </c>
      <c r="E55" s="74" t="s">
        <v>1233</v>
      </c>
      <c r="F55" s="63" t="s">
        <v>1340</v>
      </c>
      <c r="G55" s="129" t="s">
        <v>1316</v>
      </c>
      <c r="H55" s="133" t="s">
        <v>1938</v>
      </c>
      <c r="I55" s="129" t="s">
        <v>1913</v>
      </c>
      <c r="J55" s="130" t="s">
        <v>1913</v>
      </c>
      <c r="K55" s="130" t="s">
        <v>1914</v>
      </c>
      <c r="L55" s="130" t="s">
        <v>1939</v>
      </c>
      <c r="M55" s="130" t="s">
        <v>1913</v>
      </c>
      <c r="N55" s="140"/>
      <c r="O55" s="150"/>
      <c r="P55" s="150"/>
      <c r="Q55" s="134"/>
      <c r="R55" s="134"/>
      <c r="S55" s="134"/>
      <c r="T55" s="134"/>
      <c r="U55" s="134"/>
      <c r="V55" s="134"/>
      <c r="W55" s="134"/>
      <c r="X55" s="134"/>
      <c r="Y55" s="134"/>
    </row>
    <row r="56">
      <c r="A56" s="126" t="s">
        <v>1341</v>
      </c>
      <c r="B56" s="127" t="s">
        <v>184</v>
      </c>
      <c r="C56" s="135" t="s">
        <v>1290</v>
      </c>
      <c r="D56" s="144" t="s">
        <v>183</v>
      </c>
      <c r="E56" s="74" t="s">
        <v>1233</v>
      </c>
      <c r="F56" s="63" t="s">
        <v>1342</v>
      </c>
      <c r="G56" s="129" t="s">
        <v>1316</v>
      </c>
      <c r="H56" s="133" t="s">
        <v>1938</v>
      </c>
      <c r="I56" s="129" t="s">
        <v>1913</v>
      </c>
      <c r="J56" s="130" t="s">
        <v>1913</v>
      </c>
      <c r="K56" s="130" t="s">
        <v>1914</v>
      </c>
      <c r="L56" s="130" t="s">
        <v>1939</v>
      </c>
      <c r="M56" s="130" t="s">
        <v>1913</v>
      </c>
      <c r="N56" s="140"/>
      <c r="O56" s="150"/>
      <c r="P56" s="150"/>
      <c r="Q56" s="134"/>
      <c r="R56" s="134"/>
      <c r="S56" s="134"/>
      <c r="T56" s="134"/>
      <c r="U56" s="134"/>
      <c r="V56" s="134"/>
      <c r="W56" s="134"/>
      <c r="X56" s="134"/>
      <c r="Y56" s="134"/>
    </row>
    <row r="57">
      <c r="A57" s="126" t="s">
        <v>1343</v>
      </c>
      <c r="B57" s="127" t="s">
        <v>187</v>
      </c>
      <c r="C57" s="135" t="s">
        <v>1292</v>
      </c>
      <c r="D57" s="144" t="s">
        <v>186</v>
      </c>
      <c r="E57" s="74" t="s">
        <v>1233</v>
      </c>
      <c r="F57" s="63" t="s">
        <v>1344</v>
      </c>
      <c r="G57" s="129" t="s">
        <v>1316</v>
      </c>
      <c r="H57" s="133" t="s">
        <v>1938</v>
      </c>
      <c r="I57" s="129" t="s">
        <v>1913</v>
      </c>
      <c r="J57" s="130" t="s">
        <v>1938</v>
      </c>
      <c r="K57" s="130" t="s">
        <v>1913</v>
      </c>
      <c r="L57" s="130" t="s">
        <v>1942</v>
      </c>
      <c r="M57" s="130" t="s">
        <v>1913</v>
      </c>
      <c r="N57" s="140"/>
      <c r="O57" s="150"/>
      <c r="P57" s="150"/>
      <c r="Q57" s="134"/>
      <c r="R57" s="134"/>
      <c r="S57" s="134"/>
      <c r="T57" s="134"/>
      <c r="U57" s="134"/>
      <c r="V57" s="134"/>
      <c r="W57" s="134"/>
      <c r="X57" s="134"/>
      <c r="Y57" s="134"/>
    </row>
    <row r="58">
      <c r="A58" s="126" t="s">
        <v>1345</v>
      </c>
      <c r="B58" s="127">
        <v>706.0</v>
      </c>
      <c r="C58" s="135" t="s">
        <v>1292</v>
      </c>
      <c r="D58" s="144" t="s">
        <v>188</v>
      </c>
      <c r="E58" s="74" t="s">
        <v>1233</v>
      </c>
      <c r="F58" s="63" t="s">
        <v>1346</v>
      </c>
      <c r="G58" s="129" t="s">
        <v>1316</v>
      </c>
      <c r="H58" s="133" t="s">
        <v>1938</v>
      </c>
      <c r="I58" s="129" t="s">
        <v>1913</v>
      </c>
      <c r="J58" s="130" t="s">
        <v>1913</v>
      </c>
      <c r="K58" s="130" t="s">
        <v>1913</v>
      </c>
      <c r="L58" s="130" t="s">
        <v>1924</v>
      </c>
      <c r="M58" s="130" t="s">
        <v>1913</v>
      </c>
      <c r="N58" s="140"/>
      <c r="O58" s="150"/>
      <c r="P58" s="150"/>
      <c r="Q58" s="134"/>
      <c r="R58" s="134"/>
      <c r="S58" s="134"/>
      <c r="T58" s="134"/>
      <c r="U58" s="134"/>
      <c r="V58" s="134"/>
      <c r="W58" s="134"/>
      <c r="X58" s="134"/>
      <c r="Y58" s="134"/>
    </row>
    <row r="59">
      <c r="A59" s="126" t="s">
        <v>1347</v>
      </c>
      <c r="B59" s="127" t="s">
        <v>191</v>
      </c>
      <c r="C59" s="135" t="s">
        <v>1294</v>
      </c>
      <c r="D59" s="144" t="s">
        <v>190</v>
      </c>
      <c r="E59" s="74" t="s">
        <v>1233</v>
      </c>
      <c r="F59" s="63" t="s">
        <v>1348</v>
      </c>
      <c r="G59" s="129" t="s">
        <v>1316</v>
      </c>
      <c r="H59" s="133" t="s">
        <v>1938</v>
      </c>
      <c r="I59" s="129" t="s">
        <v>1913</v>
      </c>
      <c r="J59" s="130" t="s">
        <v>1913</v>
      </c>
      <c r="K59" s="130" t="s">
        <v>1913</v>
      </c>
      <c r="L59" s="130" t="s">
        <v>1943</v>
      </c>
      <c r="M59" s="130" t="s">
        <v>1913</v>
      </c>
      <c r="N59" s="140"/>
      <c r="O59" s="150"/>
      <c r="P59" s="150"/>
      <c r="Q59" s="134"/>
      <c r="R59" s="134"/>
      <c r="S59" s="134"/>
      <c r="T59" s="134"/>
      <c r="U59" s="134"/>
      <c r="V59" s="134"/>
      <c r="W59" s="134"/>
      <c r="X59" s="134"/>
      <c r="Y59" s="134"/>
    </row>
    <row r="60">
      <c r="A60" s="126" t="s">
        <v>1349</v>
      </c>
      <c r="B60" s="127" t="s">
        <v>193</v>
      </c>
      <c r="C60" s="135" t="s">
        <v>1294</v>
      </c>
      <c r="D60" s="144" t="s">
        <v>192</v>
      </c>
      <c r="E60" s="74" t="s">
        <v>1233</v>
      </c>
      <c r="F60" s="63" t="s">
        <v>1350</v>
      </c>
      <c r="G60" s="129" t="s">
        <v>1316</v>
      </c>
      <c r="H60" s="133" t="s">
        <v>1938</v>
      </c>
      <c r="I60" s="129" t="s">
        <v>1913</v>
      </c>
      <c r="J60" s="130" t="s">
        <v>1913</v>
      </c>
      <c r="K60" s="130" t="s">
        <v>1913</v>
      </c>
      <c r="L60" s="130" t="s">
        <v>1923</v>
      </c>
      <c r="M60" s="130" t="s">
        <v>1913</v>
      </c>
      <c r="N60" s="130" t="s">
        <v>1944</v>
      </c>
      <c r="O60" s="150"/>
      <c r="P60" s="150"/>
      <c r="Q60" s="134"/>
      <c r="R60" s="134"/>
      <c r="S60" s="134"/>
      <c r="T60" s="134"/>
      <c r="U60" s="134"/>
      <c r="V60" s="134"/>
      <c r="W60" s="134"/>
      <c r="X60" s="134"/>
      <c r="Y60" s="134"/>
    </row>
    <row r="61">
      <c r="A61" s="126" t="s">
        <v>1351</v>
      </c>
      <c r="B61" s="127" t="s">
        <v>195</v>
      </c>
      <c r="C61" s="135" t="s">
        <v>1294</v>
      </c>
      <c r="D61" s="144" t="s">
        <v>194</v>
      </c>
      <c r="E61" s="74" t="s">
        <v>1233</v>
      </c>
      <c r="F61" s="63" t="s">
        <v>1352</v>
      </c>
      <c r="G61" s="129" t="s">
        <v>1316</v>
      </c>
      <c r="H61" s="133" t="s">
        <v>1938</v>
      </c>
      <c r="I61" s="129" t="s">
        <v>1913</v>
      </c>
      <c r="J61" s="130" t="s">
        <v>1913</v>
      </c>
      <c r="K61" s="130" t="s">
        <v>1913</v>
      </c>
      <c r="L61" s="130" t="s">
        <v>1942</v>
      </c>
      <c r="M61" s="130" t="s">
        <v>1913</v>
      </c>
      <c r="N61" s="140"/>
      <c r="O61" s="150"/>
      <c r="P61" s="150"/>
      <c r="Q61" s="134"/>
      <c r="R61" s="134"/>
      <c r="S61" s="134"/>
      <c r="T61" s="134"/>
      <c r="U61" s="134"/>
      <c r="V61" s="134"/>
      <c r="W61" s="134"/>
      <c r="X61" s="134"/>
      <c r="Y61" s="134"/>
    </row>
    <row r="62">
      <c r="A62" s="126" t="s">
        <v>1353</v>
      </c>
      <c r="B62" s="127" t="s">
        <v>197</v>
      </c>
      <c r="C62" s="135" t="s">
        <v>1294</v>
      </c>
      <c r="D62" s="144" t="s">
        <v>196</v>
      </c>
      <c r="E62" s="74" t="s">
        <v>1233</v>
      </c>
      <c r="F62" s="63" t="s">
        <v>1354</v>
      </c>
      <c r="G62" s="129" t="s">
        <v>1316</v>
      </c>
      <c r="H62" s="133" t="s">
        <v>1938</v>
      </c>
      <c r="I62" s="129" t="s">
        <v>1913</v>
      </c>
      <c r="J62" s="130" t="s">
        <v>1938</v>
      </c>
      <c r="K62" s="130" t="s">
        <v>1913</v>
      </c>
      <c r="L62" s="130" t="s">
        <v>1945</v>
      </c>
      <c r="M62" s="130" t="s">
        <v>1913</v>
      </c>
      <c r="N62" s="130" t="s">
        <v>1946</v>
      </c>
      <c r="O62" s="150"/>
      <c r="P62" s="150"/>
      <c r="Q62" s="134"/>
      <c r="R62" s="134"/>
      <c r="S62" s="134"/>
      <c r="T62" s="134"/>
      <c r="U62" s="134"/>
      <c r="V62" s="134"/>
      <c r="W62" s="134"/>
      <c r="X62" s="134"/>
      <c r="Y62" s="134"/>
    </row>
    <row r="63">
      <c r="A63" s="126" t="s">
        <v>1355</v>
      </c>
      <c r="B63" s="127" t="s">
        <v>199</v>
      </c>
      <c r="C63" s="135" t="s">
        <v>1294</v>
      </c>
      <c r="D63" s="144" t="s">
        <v>198</v>
      </c>
      <c r="E63" s="74" t="s">
        <v>1233</v>
      </c>
      <c r="F63" s="63" t="s">
        <v>1356</v>
      </c>
      <c r="G63" s="129" t="s">
        <v>1316</v>
      </c>
      <c r="H63" s="133" t="s">
        <v>1938</v>
      </c>
      <c r="I63" s="129" t="s">
        <v>1913</v>
      </c>
      <c r="J63" s="130" t="s">
        <v>1938</v>
      </c>
      <c r="K63" s="130" t="s">
        <v>1913</v>
      </c>
      <c r="L63" s="130" t="s">
        <v>1947</v>
      </c>
      <c r="M63" s="130" t="s">
        <v>1913</v>
      </c>
      <c r="N63" s="140"/>
      <c r="O63" s="150"/>
      <c r="P63" s="150"/>
      <c r="Q63" s="134"/>
      <c r="R63" s="134"/>
      <c r="S63" s="134"/>
      <c r="T63" s="134"/>
      <c r="U63" s="134"/>
      <c r="V63" s="134"/>
      <c r="W63" s="134"/>
      <c r="X63" s="134"/>
      <c r="Y63" s="134"/>
    </row>
    <row r="64">
      <c r="A64" s="126" t="s">
        <v>1357</v>
      </c>
      <c r="B64" s="127" t="s">
        <v>202</v>
      </c>
      <c r="C64" s="135" t="s">
        <v>1296</v>
      </c>
      <c r="D64" s="144" t="s">
        <v>201</v>
      </c>
      <c r="E64" s="74" t="s">
        <v>1233</v>
      </c>
      <c r="F64" s="63" t="s">
        <v>1358</v>
      </c>
      <c r="G64" s="129" t="s">
        <v>1316</v>
      </c>
      <c r="H64" s="133" t="s">
        <v>1938</v>
      </c>
      <c r="I64" s="129" t="s">
        <v>1913</v>
      </c>
      <c r="J64" s="130" t="s">
        <v>1913</v>
      </c>
      <c r="K64" s="130" t="s">
        <v>1913</v>
      </c>
      <c r="L64" s="130" t="s">
        <v>1940</v>
      </c>
      <c r="M64" s="130" t="s">
        <v>1913</v>
      </c>
      <c r="N64" s="140"/>
      <c r="O64" s="150"/>
      <c r="P64" s="150"/>
      <c r="Q64" s="134"/>
      <c r="R64" s="134"/>
      <c r="S64" s="134"/>
      <c r="T64" s="134"/>
      <c r="U64" s="134"/>
      <c r="V64" s="134"/>
      <c r="W64" s="134"/>
      <c r="X64" s="134"/>
      <c r="Y64" s="134"/>
    </row>
    <row r="65">
      <c r="A65" s="126" t="s">
        <v>1359</v>
      </c>
      <c r="B65" s="127" t="s">
        <v>205</v>
      </c>
      <c r="C65" s="135" t="s">
        <v>1298</v>
      </c>
      <c r="D65" s="144" t="s">
        <v>204</v>
      </c>
      <c r="E65" s="74" t="s">
        <v>1233</v>
      </c>
      <c r="F65" s="63" t="s">
        <v>1360</v>
      </c>
      <c r="G65" s="129" t="s">
        <v>1316</v>
      </c>
      <c r="H65" s="133" t="s">
        <v>1938</v>
      </c>
      <c r="I65" s="129" t="s">
        <v>1913</v>
      </c>
      <c r="J65" s="130" t="s">
        <v>1938</v>
      </c>
      <c r="K65" s="130" t="s">
        <v>1913</v>
      </c>
      <c r="L65" s="130" t="s">
        <v>1942</v>
      </c>
      <c r="M65" s="130" t="s">
        <v>1913</v>
      </c>
      <c r="N65" s="130" t="s">
        <v>1948</v>
      </c>
      <c r="O65" s="150"/>
      <c r="P65" s="150"/>
      <c r="Q65" s="134"/>
      <c r="R65" s="134"/>
      <c r="S65" s="134"/>
      <c r="T65" s="134"/>
      <c r="U65" s="134"/>
      <c r="V65" s="134"/>
      <c r="W65" s="134"/>
      <c r="X65" s="134"/>
      <c r="Y65" s="134"/>
    </row>
    <row r="66">
      <c r="A66" s="126" t="s">
        <v>1361</v>
      </c>
      <c r="B66" s="127" t="s">
        <v>207</v>
      </c>
      <c r="C66" s="135" t="s">
        <v>1298</v>
      </c>
      <c r="D66" s="144" t="s">
        <v>206</v>
      </c>
      <c r="E66" s="74" t="s">
        <v>1233</v>
      </c>
      <c r="F66" s="63" t="s">
        <v>1362</v>
      </c>
      <c r="G66" s="129" t="s">
        <v>1316</v>
      </c>
      <c r="H66" s="133" t="s">
        <v>1938</v>
      </c>
      <c r="I66" s="129" t="s">
        <v>1913</v>
      </c>
      <c r="J66" s="130" t="s">
        <v>1938</v>
      </c>
      <c r="K66" s="130" t="s">
        <v>1913</v>
      </c>
      <c r="L66" s="130" t="s">
        <v>1929</v>
      </c>
      <c r="M66" s="130" t="s">
        <v>1913</v>
      </c>
      <c r="N66" s="140"/>
      <c r="O66" s="150"/>
      <c r="P66" s="150"/>
      <c r="Q66" s="134"/>
      <c r="R66" s="134"/>
      <c r="S66" s="134"/>
      <c r="T66" s="134"/>
      <c r="U66" s="134"/>
      <c r="V66" s="134"/>
      <c r="W66" s="134"/>
      <c r="X66" s="134"/>
      <c r="Y66" s="134"/>
    </row>
    <row r="67">
      <c r="A67" s="126" t="s">
        <v>1363</v>
      </c>
      <c r="B67" s="127" t="s">
        <v>210</v>
      </c>
      <c r="C67" s="135" t="s">
        <v>1300</v>
      </c>
      <c r="D67" s="144" t="s">
        <v>209</v>
      </c>
      <c r="E67" s="74" t="s">
        <v>1233</v>
      </c>
      <c r="F67" s="63" t="s">
        <v>1364</v>
      </c>
      <c r="G67" s="129" t="s">
        <v>1316</v>
      </c>
      <c r="H67" s="133" t="s">
        <v>1938</v>
      </c>
      <c r="I67" s="129" t="s">
        <v>1913</v>
      </c>
      <c r="J67" s="130" t="s">
        <v>1913</v>
      </c>
      <c r="K67" s="130" t="s">
        <v>1914</v>
      </c>
      <c r="L67" s="130" t="s">
        <v>1939</v>
      </c>
      <c r="M67" s="130" t="s">
        <v>1913</v>
      </c>
      <c r="N67" s="140"/>
      <c r="O67" s="150"/>
      <c r="P67" s="150"/>
      <c r="Q67" s="134"/>
      <c r="R67" s="134"/>
      <c r="S67" s="134"/>
      <c r="T67" s="134"/>
      <c r="U67" s="134"/>
      <c r="V67" s="134"/>
      <c r="W67" s="134"/>
      <c r="X67" s="134"/>
      <c r="Y67" s="134"/>
    </row>
    <row r="68">
      <c r="A68" s="126" t="s">
        <v>1365</v>
      </c>
      <c r="B68" s="127" t="s">
        <v>213</v>
      </c>
      <c r="C68" s="135" t="s">
        <v>1302</v>
      </c>
      <c r="D68" s="144" t="s">
        <v>212</v>
      </c>
      <c r="E68" s="74" t="s">
        <v>1233</v>
      </c>
      <c r="F68" s="63" t="s">
        <v>1366</v>
      </c>
      <c r="G68" s="129" t="s">
        <v>1316</v>
      </c>
      <c r="H68" s="133" t="s">
        <v>1938</v>
      </c>
      <c r="I68" s="129" t="s">
        <v>1913</v>
      </c>
      <c r="J68" s="130" t="s">
        <v>1938</v>
      </c>
      <c r="K68" s="130" t="s">
        <v>1913</v>
      </c>
      <c r="L68" s="130" t="s">
        <v>1942</v>
      </c>
      <c r="M68" s="130" t="s">
        <v>1913</v>
      </c>
      <c r="N68" s="140"/>
      <c r="O68" s="150"/>
      <c r="P68" s="150"/>
      <c r="Q68" s="134"/>
      <c r="R68" s="134"/>
      <c r="S68" s="134"/>
      <c r="T68" s="134"/>
      <c r="U68" s="134"/>
      <c r="V68" s="134"/>
      <c r="W68" s="134"/>
      <c r="X68" s="134"/>
      <c r="Y68" s="134"/>
    </row>
    <row r="69">
      <c r="A69" s="126" t="s">
        <v>1367</v>
      </c>
      <c r="B69" s="127" t="s">
        <v>217</v>
      </c>
      <c r="C69" s="135" t="s">
        <v>1304</v>
      </c>
      <c r="D69" s="144" t="s">
        <v>216</v>
      </c>
      <c r="E69" s="74" t="s">
        <v>1233</v>
      </c>
      <c r="F69" s="63" t="s">
        <v>1368</v>
      </c>
      <c r="G69" s="129" t="s">
        <v>1316</v>
      </c>
      <c r="H69" s="133" t="s">
        <v>1938</v>
      </c>
      <c r="I69" s="129" t="s">
        <v>1913</v>
      </c>
      <c r="J69" s="130" t="s">
        <v>1938</v>
      </c>
      <c r="K69" s="130" t="s">
        <v>1913</v>
      </c>
      <c r="L69" s="130" t="s">
        <v>1949</v>
      </c>
      <c r="M69" s="130" t="s">
        <v>1913</v>
      </c>
      <c r="N69" s="130" t="s">
        <v>1950</v>
      </c>
      <c r="O69" s="150"/>
      <c r="P69" s="150"/>
      <c r="Q69" s="134"/>
      <c r="R69" s="134"/>
      <c r="S69" s="134"/>
      <c r="T69" s="134"/>
      <c r="U69" s="134"/>
      <c r="V69" s="134"/>
      <c r="W69" s="134"/>
      <c r="X69" s="134"/>
      <c r="Y69" s="134"/>
    </row>
    <row r="70">
      <c r="A70" s="126" t="s">
        <v>1369</v>
      </c>
      <c r="B70" s="127" t="s">
        <v>220</v>
      </c>
      <c r="C70" s="135" t="s">
        <v>1306</v>
      </c>
      <c r="D70" s="144" t="s">
        <v>219</v>
      </c>
      <c r="E70" s="74" t="s">
        <v>1233</v>
      </c>
      <c r="F70" s="63" t="s">
        <v>1370</v>
      </c>
      <c r="G70" s="129" t="s">
        <v>1316</v>
      </c>
      <c r="H70" s="133" t="s">
        <v>1938</v>
      </c>
      <c r="I70" s="129" t="s">
        <v>1913</v>
      </c>
      <c r="J70" s="130" t="s">
        <v>1913</v>
      </c>
      <c r="K70" s="130" t="s">
        <v>1914</v>
      </c>
      <c r="L70" s="130" t="s">
        <v>1939</v>
      </c>
      <c r="M70" s="130" t="s">
        <v>1913</v>
      </c>
      <c r="N70" s="140"/>
      <c r="O70" s="150"/>
      <c r="P70" s="150"/>
      <c r="Q70" s="134"/>
      <c r="R70" s="134"/>
      <c r="S70" s="134"/>
      <c r="T70" s="134"/>
      <c r="U70" s="134"/>
      <c r="V70" s="134"/>
      <c r="W70" s="134"/>
      <c r="X70" s="134"/>
      <c r="Y70" s="134"/>
    </row>
    <row r="71">
      <c r="A71" s="126" t="s">
        <v>1371</v>
      </c>
      <c r="B71" s="127" t="s">
        <v>223</v>
      </c>
      <c r="C71" s="135" t="s">
        <v>1308</v>
      </c>
      <c r="D71" s="144" t="s">
        <v>222</v>
      </c>
      <c r="E71" s="74" t="s">
        <v>1233</v>
      </c>
      <c r="F71" s="63" t="s">
        <v>1372</v>
      </c>
      <c r="G71" s="129" t="s">
        <v>1316</v>
      </c>
      <c r="H71" s="133" t="s">
        <v>1938</v>
      </c>
      <c r="I71" s="129" t="s">
        <v>1913</v>
      </c>
      <c r="J71" s="130" t="s">
        <v>1913</v>
      </c>
      <c r="K71" s="130" t="s">
        <v>1914</v>
      </c>
      <c r="L71" s="130" t="s">
        <v>1939</v>
      </c>
      <c r="M71" s="130" t="s">
        <v>1913</v>
      </c>
      <c r="N71" s="140"/>
      <c r="O71" s="150"/>
      <c r="P71" s="150"/>
      <c r="Q71" s="134"/>
      <c r="R71" s="134"/>
      <c r="S71" s="134"/>
      <c r="T71" s="134"/>
      <c r="U71" s="134"/>
      <c r="V71" s="134"/>
      <c r="W71" s="134"/>
      <c r="X71" s="134"/>
      <c r="Y71" s="134"/>
    </row>
    <row r="72">
      <c r="A72" s="126" t="s">
        <v>1373</v>
      </c>
      <c r="B72" s="127" t="s">
        <v>226</v>
      </c>
      <c r="C72" s="135" t="s">
        <v>1310</v>
      </c>
      <c r="D72" s="144" t="s">
        <v>225</v>
      </c>
      <c r="E72" s="74" t="s">
        <v>1233</v>
      </c>
      <c r="F72" s="63" t="s">
        <v>1374</v>
      </c>
      <c r="G72" s="129" t="s">
        <v>1316</v>
      </c>
      <c r="H72" s="133" t="s">
        <v>1938</v>
      </c>
      <c r="I72" s="129" t="s">
        <v>1913</v>
      </c>
      <c r="J72" s="130" t="s">
        <v>1913</v>
      </c>
      <c r="K72" s="130" t="s">
        <v>1913</v>
      </c>
      <c r="L72" s="130" t="s">
        <v>1951</v>
      </c>
      <c r="M72" s="130" t="s">
        <v>1913</v>
      </c>
      <c r="N72" s="140"/>
      <c r="O72" s="150"/>
      <c r="P72" s="150"/>
      <c r="Q72" s="134"/>
      <c r="R72" s="134"/>
      <c r="S72" s="134"/>
      <c r="T72" s="134"/>
      <c r="U72" s="134"/>
      <c r="V72" s="134"/>
      <c r="W72" s="134"/>
      <c r="X72" s="134"/>
      <c r="Y72" s="134"/>
    </row>
    <row r="73">
      <c r="A73" s="126" t="s">
        <v>1375</v>
      </c>
      <c r="B73" s="127" t="s">
        <v>229</v>
      </c>
      <c r="C73" s="135" t="s">
        <v>1312</v>
      </c>
      <c r="D73" s="144" t="s">
        <v>228</v>
      </c>
      <c r="E73" s="74" t="s">
        <v>1233</v>
      </c>
      <c r="F73" s="63" t="s">
        <v>1376</v>
      </c>
      <c r="G73" s="129" t="s">
        <v>1316</v>
      </c>
      <c r="H73" s="133" t="s">
        <v>1938</v>
      </c>
      <c r="I73" s="129" t="s">
        <v>1913</v>
      </c>
      <c r="J73" s="130" t="s">
        <v>1913</v>
      </c>
      <c r="K73" s="130" t="s">
        <v>1913</v>
      </c>
      <c r="L73" s="130" t="s">
        <v>1923</v>
      </c>
      <c r="M73" s="130" t="s">
        <v>1913</v>
      </c>
      <c r="N73" s="130" t="s">
        <v>1952</v>
      </c>
      <c r="O73" s="150"/>
      <c r="P73" s="150"/>
      <c r="Q73" s="134"/>
      <c r="R73" s="134"/>
      <c r="S73" s="134"/>
      <c r="T73" s="134"/>
      <c r="U73" s="134"/>
      <c r="V73" s="134"/>
      <c r="W73" s="134"/>
      <c r="X73" s="134"/>
      <c r="Y73" s="134"/>
    </row>
    <row r="74">
      <c r="A74" s="126" t="s">
        <v>1377</v>
      </c>
      <c r="B74" s="127" t="s">
        <v>231</v>
      </c>
      <c r="C74" s="135" t="s">
        <v>1312</v>
      </c>
      <c r="D74" s="144" t="s">
        <v>230</v>
      </c>
      <c r="E74" s="74" t="s">
        <v>1233</v>
      </c>
      <c r="F74" s="63" t="s">
        <v>1378</v>
      </c>
      <c r="G74" s="129" t="s">
        <v>1316</v>
      </c>
      <c r="H74" s="133" t="s">
        <v>1938</v>
      </c>
      <c r="I74" s="129" t="s">
        <v>1913</v>
      </c>
      <c r="J74" s="130" t="s">
        <v>1913</v>
      </c>
      <c r="K74" s="130" t="s">
        <v>1913</v>
      </c>
      <c r="L74" s="130" t="s">
        <v>1953</v>
      </c>
      <c r="M74" s="130" t="s">
        <v>1913</v>
      </c>
      <c r="N74" s="130" t="s">
        <v>1954</v>
      </c>
      <c r="O74" s="150"/>
      <c r="P74" s="150"/>
      <c r="Q74" s="134"/>
      <c r="R74" s="134"/>
      <c r="S74" s="134"/>
      <c r="T74" s="134"/>
      <c r="U74" s="134"/>
      <c r="V74" s="134"/>
      <c r="W74" s="134"/>
      <c r="X74" s="134"/>
      <c r="Y74" s="134"/>
    </row>
    <row r="75">
      <c r="A75" s="126" t="s">
        <v>1379</v>
      </c>
      <c r="B75" s="127" t="s">
        <v>234</v>
      </c>
      <c r="C75" s="135" t="s">
        <v>1314</v>
      </c>
      <c r="D75" s="144" t="s">
        <v>233</v>
      </c>
      <c r="E75" s="74" t="s">
        <v>1233</v>
      </c>
      <c r="F75" s="63" t="s">
        <v>1380</v>
      </c>
      <c r="G75" s="129" t="s">
        <v>1316</v>
      </c>
      <c r="H75" s="133" t="s">
        <v>1938</v>
      </c>
      <c r="I75" s="129" t="s">
        <v>1913</v>
      </c>
      <c r="J75" s="130" t="s">
        <v>1913</v>
      </c>
      <c r="K75" s="130" t="s">
        <v>1913</v>
      </c>
      <c r="L75" s="130" t="s">
        <v>1939</v>
      </c>
      <c r="M75" s="130" t="s">
        <v>1913</v>
      </c>
      <c r="N75" s="140"/>
      <c r="O75" s="150"/>
      <c r="P75" s="150"/>
      <c r="Q75" s="134"/>
      <c r="R75" s="134"/>
      <c r="S75" s="134"/>
      <c r="T75" s="134"/>
      <c r="U75" s="134"/>
      <c r="V75" s="134"/>
      <c r="W75" s="134"/>
      <c r="X75" s="134"/>
      <c r="Y75" s="134"/>
    </row>
    <row r="76">
      <c r="A76" s="126" t="s">
        <v>1381</v>
      </c>
      <c r="B76" s="127" t="s">
        <v>237</v>
      </c>
      <c r="C76" s="135" t="s">
        <v>1317</v>
      </c>
      <c r="D76" s="144" t="s">
        <v>235</v>
      </c>
      <c r="E76" s="74" t="s">
        <v>1233</v>
      </c>
      <c r="F76" s="63" t="s">
        <v>1382</v>
      </c>
      <c r="G76" s="129" t="s">
        <v>1316</v>
      </c>
      <c r="H76" s="133" t="s">
        <v>1938</v>
      </c>
      <c r="I76" s="129" t="s">
        <v>1913</v>
      </c>
      <c r="J76" s="130" t="s">
        <v>1913</v>
      </c>
      <c r="K76" s="130" t="s">
        <v>1913</v>
      </c>
      <c r="L76" s="130" t="s">
        <v>1924</v>
      </c>
      <c r="M76" s="130" t="s">
        <v>1913</v>
      </c>
      <c r="N76" s="130" t="s">
        <v>1955</v>
      </c>
      <c r="O76" s="150"/>
      <c r="P76" s="150"/>
      <c r="Q76" s="134"/>
      <c r="R76" s="134"/>
      <c r="S76" s="134"/>
      <c r="T76" s="134"/>
      <c r="U76" s="134"/>
      <c r="V76" s="134"/>
      <c r="W76" s="134"/>
      <c r="X76" s="134"/>
      <c r="Y76" s="134"/>
    </row>
    <row r="77">
      <c r="A77" s="126" t="s">
        <v>1383</v>
      </c>
      <c r="B77" s="127" t="s">
        <v>240</v>
      </c>
      <c r="C77" s="135" t="s">
        <v>1319</v>
      </c>
      <c r="D77" s="144" t="s">
        <v>239</v>
      </c>
      <c r="E77" s="74" t="s">
        <v>1233</v>
      </c>
      <c r="F77" s="63" t="s">
        <v>1384</v>
      </c>
      <c r="G77" s="129" t="s">
        <v>1316</v>
      </c>
      <c r="H77" s="133" t="s">
        <v>1938</v>
      </c>
      <c r="I77" s="129" t="s">
        <v>1913</v>
      </c>
      <c r="J77" s="130" t="s">
        <v>1913</v>
      </c>
      <c r="K77" s="130" t="s">
        <v>1914</v>
      </c>
      <c r="L77" s="130" t="s">
        <v>1923</v>
      </c>
      <c r="M77" s="130" t="s">
        <v>1913</v>
      </c>
      <c r="N77" s="140"/>
      <c r="O77" s="150"/>
      <c r="P77" s="150"/>
      <c r="Q77" s="134"/>
      <c r="R77" s="134"/>
      <c r="S77" s="134"/>
      <c r="T77" s="134"/>
      <c r="U77" s="134"/>
      <c r="V77" s="134"/>
      <c r="W77" s="134"/>
      <c r="X77" s="134"/>
      <c r="Y77" s="134"/>
    </row>
    <row r="78">
      <c r="A78" s="126" t="s">
        <v>1385</v>
      </c>
      <c r="B78" s="127" t="s">
        <v>242</v>
      </c>
      <c r="C78" s="135" t="s">
        <v>1319</v>
      </c>
      <c r="D78" s="144" t="s">
        <v>241</v>
      </c>
      <c r="E78" s="74" t="s">
        <v>1233</v>
      </c>
      <c r="F78" s="63" t="s">
        <v>1386</v>
      </c>
      <c r="G78" s="129" t="s">
        <v>1316</v>
      </c>
      <c r="H78" s="133" t="s">
        <v>1938</v>
      </c>
      <c r="I78" s="129" t="s">
        <v>1913</v>
      </c>
      <c r="J78" s="130" t="s">
        <v>1913</v>
      </c>
      <c r="K78" s="130" t="s">
        <v>1914</v>
      </c>
      <c r="L78" s="130" t="s">
        <v>1939</v>
      </c>
      <c r="M78" s="130" t="s">
        <v>1913</v>
      </c>
      <c r="N78" s="140"/>
      <c r="O78" s="150"/>
      <c r="P78" s="150"/>
      <c r="Q78" s="134"/>
      <c r="R78" s="134"/>
      <c r="S78" s="134"/>
      <c r="T78" s="134"/>
      <c r="U78" s="134"/>
      <c r="V78" s="134"/>
      <c r="W78" s="134"/>
      <c r="X78" s="134"/>
      <c r="Y78" s="134"/>
    </row>
    <row r="79">
      <c r="A79" s="126" t="s">
        <v>1387</v>
      </c>
      <c r="B79" s="127" t="s">
        <v>248</v>
      </c>
      <c r="C79" s="135" t="s">
        <v>1323</v>
      </c>
      <c r="D79" s="144" t="s">
        <v>247</v>
      </c>
      <c r="E79" s="74" t="s">
        <v>1233</v>
      </c>
      <c r="F79" s="63" t="s">
        <v>1388</v>
      </c>
      <c r="G79" s="129" t="s">
        <v>1316</v>
      </c>
      <c r="H79" s="133" t="s">
        <v>1938</v>
      </c>
      <c r="I79" s="129" t="s">
        <v>1913</v>
      </c>
      <c r="J79" s="130" t="s">
        <v>1913</v>
      </c>
      <c r="K79" s="130" t="s">
        <v>1913</v>
      </c>
      <c r="L79" s="130" t="s">
        <v>1924</v>
      </c>
      <c r="M79" s="130" t="s">
        <v>1913</v>
      </c>
      <c r="N79" s="140"/>
      <c r="O79" s="150"/>
      <c r="P79" s="150"/>
      <c r="Q79" s="134"/>
      <c r="R79" s="134"/>
      <c r="S79" s="134"/>
      <c r="T79" s="134"/>
      <c r="U79" s="134"/>
      <c r="V79" s="134"/>
      <c r="W79" s="134"/>
      <c r="X79" s="134"/>
      <c r="Y79" s="134"/>
    </row>
    <row r="80">
      <c r="A80" s="126" t="s">
        <v>1389</v>
      </c>
      <c r="B80" s="127" t="s">
        <v>251</v>
      </c>
      <c r="C80" s="135" t="s">
        <v>1325</v>
      </c>
      <c r="D80" s="144" t="s">
        <v>250</v>
      </c>
      <c r="E80" s="74" t="s">
        <v>1233</v>
      </c>
      <c r="F80" s="63" t="s">
        <v>1390</v>
      </c>
      <c r="G80" s="129" t="s">
        <v>1316</v>
      </c>
      <c r="H80" s="133" t="s">
        <v>1938</v>
      </c>
      <c r="I80" s="129" t="s">
        <v>1913</v>
      </c>
      <c r="J80" s="130" t="s">
        <v>1913</v>
      </c>
      <c r="K80" s="130" t="s">
        <v>1914</v>
      </c>
      <c r="L80" s="130" t="s">
        <v>1939</v>
      </c>
      <c r="M80" s="130" t="s">
        <v>1913</v>
      </c>
      <c r="N80" s="140"/>
      <c r="O80" s="150"/>
      <c r="P80" s="150"/>
      <c r="Q80" s="134"/>
      <c r="R80" s="134"/>
      <c r="S80" s="134"/>
      <c r="T80" s="134"/>
      <c r="U80" s="134"/>
      <c r="V80" s="134"/>
      <c r="W80" s="134"/>
      <c r="X80" s="134"/>
      <c r="Y80" s="134"/>
    </row>
    <row r="81">
      <c r="A81" s="126" t="s">
        <v>1391</v>
      </c>
      <c r="B81" s="127" t="s">
        <v>253</v>
      </c>
      <c r="C81" s="135" t="s">
        <v>1325</v>
      </c>
      <c r="D81" s="144" t="s">
        <v>252</v>
      </c>
      <c r="E81" s="74" t="s">
        <v>1233</v>
      </c>
      <c r="F81" s="63" t="s">
        <v>1392</v>
      </c>
      <c r="G81" s="129" t="s">
        <v>1316</v>
      </c>
      <c r="H81" s="133" t="s">
        <v>1938</v>
      </c>
      <c r="I81" s="129" t="s">
        <v>1913</v>
      </c>
      <c r="J81" s="130" t="s">
        <v>1913</v>
      </c>
      <c r="K81" s="130" t="s">
        <v>1913</v>
      </c>
      <c r="L81" s="130" t="s">
        <v>1923</v>
      </c>
      <c r="M81" s="130" t="s">
        <v>1913</v>
      </c>
      <c r="N81" s="130" t="s">
        <v>1952</v>
      </c>
      <c r="O81" s="150"/>
      <c r="P81" s="150"/>
      <c r="Q81" s="134"/>
      <c r="R81" s="134"/>
      <c r="S81" s="134"/>
      <c r="T81" s="134"/>
      <c r="U81" s="134"/>
      <c r="V81" s="134"/>
      <c r="W81" s="134"/>
      <c r="X81" s="134"/>
      <c r="Y81" s="134"/>
    </row>
    <row r="82">
      <c r="A82" s="126" t="s">
        <v>1393</v>
      </c>
      <c r="B82" s="127" t="s">
        <v>256</v>
      </c>
      <c r="C82" s="135" t="s">
        <v>1327</v>
      </c>
      <c r="D82" s="144" t="s">
        <v>255</v>
      </c>
      <c r="E82" s="74" t="s">
        <v>1233</v>
      </c>
      <c r="F82" s="63" t="s">
        <v>1394</v>
      </c>
      <c r="G82" s="129" t="s">
        <v>1316</v>
      </c>
      <c r="H82" s="133" t="s">
        <v>1938</v>
      </c>
      <c r="I82" s="129" t="s">
        <v>1913</v>
      </c>
      <c r="J82" s="130" t="s">
        <v>1913</v>
      </c>
      <c r="K82" s="130" t="s">
        <v>1914</v>
      </c>
      <c r="L82" s="130" t="s">
        <v>1939</v>
      </c>
      <c r="M82" s="130" t="s">
        <v>1913</v>
      </c>
      <c r="N82" s="140"/>
      <c r="O82" s="150"/>
      <c r="P82" s="150"/>
      <c r="Q82" s="134"/>
      <c r="R82" s="134"/>
      <c r="S82" s="134"/>
      <c r="T82" s="134"/>
      <c r="U82" s="134"/>
      <c r="V82" s="134"/>
      <c r="W82" s="134"/>
      <c r="X82" s="134"/>
      <c r="Y82" s="134"/>
    </row>
    <row r="83">
      <c r="A83" s="126" t="s">
        <v>1395</v>
      </c>
      <c r="B83" s="127" t="s">
        <v>258</v>
      </c>
      <c r="C83" s="135" t="s">
        <v>1327</v>
      </c>
      <c r="D83" s="144" t="s">
        <v>257</v>
      </c>
      <c r="E83" s="139" t="s">
        <v>1233</v>
      </c>
      <c r="F83" s="63" t="s">
        <v>1396</v>
      </c>
      <c r="G83" s="129" t="s">
        <v>1397</v>
      </c>
      <c r="H83" s="133" t="s">
        <v>1938</v>
      </c>
      <c r="I83" s="129" t="s">
        <v>1913</v>
      </c>
      <c r="J83" s="129" t="s">
        <v>1913</v>
      </c>
      <c r="K83" s="129" t="s">
        <v>1913</v>
      </c>
      <c r="L83" s="130" t="s">
        <v>1923</v>
      </c>
      <c r="M83" s="129" t="s">
        <v>1913</v>
      </c>
      <c r="N83" s="130" t="s">
        <v>1956</v>
      </c>
      <c r="O83" s="150"/>
      <c r="P83" s="150"/>
      <c r="Q83" s="134"/>
      <c r="R83" s="134"/>
      <c r="S83" s="134"/>
      <c r="T83" s="134"/>
      <c r="U83" s="134"/>
      <c r="V83" s="134"/>
      <c r="W83" s="134"/>
      <c r="X83" s="134"/>
      <c r="Y83" s="134"/>
    </row>
    <row r="84">
      <c r="A84" s="126" t="s">
        <v>1398</v>
      </c>
      <c r="B84" s="127" t="s">
        <v>260</v>
      </c>
      <c r="C84" s="135" t="s">
        <v>1327</v>
      </c>
      <c r="D84" s="144" t="s">
        <v>259</v>
      </c>
      <c r="E84" s="139" t="s">
        <v>1233</v>
      </c>
      <c r="F84" s="63" t="s">
        <v>1399</v>
      </c>
      <c r="G84" s="129" t="s">
        <v>1397</v>
      </c>
      <c r="H84" s="133" t="s">
        <v>1938</v>
      </c>
      <c r="I84" s="129" t="s">
        <v>1913</v>
      </c>
      <c r="J84" s="129" t="s">
        <v>1913</v>
      </c>
      <c r="K84" s="147" t="s">
        <v>1957</v>
      </c>
      <c r="L84" s="130" t="s">
        <v>1923</v>
      </c>
      <c r="M84" s="129" t="s">
        <v>1913</v>
      </c>
      <c r="N84" s="130"/>
      <c r="O84" s="150"/>
      <c r="P84" s="150"/>
      <c r="Q84" s="134"/>
      <c r="R84" s="134"/>
      <c r="S84" s="134"/>
      <c r="T84" s="134"/>
      <c r="U84" s="134"/>
      <c r="V84" s="134"/>
      <c r="W84" s="134"/>
      <c r="X84" s="134"/>
      <c r="Y84" s="134"/>
    </row>
    <row r="85">
      <c r="A85" s="126" t="s">
        <v>1400</v>
      </c>
      <c r="B85" s="127" t="s">
        <v>263</v>
      </c>
      <c r="C85" s="135" t="s">
        <v>1327</v>
      </c>
      <c r="D85" s="144" t="s">
        <v>262</v>
      </c>
      <c r="E85" s="139" t="s">
        <v>1233</v>
      </c>
      <c r="F85" s="63" t="s">
        <v>1401</v>
      </c>
      <c r="G85" s="129" t="s">
        <v>1397</v>
      </c>
      <c r="H85" s="133" t="s">
        <v>1938</v>
      </c>
      <c r="I85" s="129" t="s">
        <v>1913</v>
      </c>
      <c r="J85" s="129" t="s">
        <v>1913</v>
      </c>
      <c r="K85" s="129" t="s">
        <v>1913</v>
      </c>
      <c r="L85" s="130" t="s">
        <v>1923</v>
      </c>
      <c r="M85" s="129" t="s">
        <v>1913</v>
      </c>
      <c r="N85" s="140"/>
      <c r="O85" s="150"/>
      <c r="P85" s="150"/>
      <c r="Q85" s="134"/>
      <c r="R85" s="134"/>
      <c r="S85" s="134"/>
      <c r="T85" s="134"/>
      <c r="U85" s="134"/>
      <c r="V85" s="134"/>
      <c r="W85" s="134"/>
      <c r="X85" s="134"/>
      <c r="Y85" s="134"/>
    </row>
    <row r="86">
      <c r="A86" s="126" t="s">
        <v>1402</v>
      </c>
      <c r="B86" s="127" t="s">
        <v>267</v>
      </c>
      <c r="C86" s="135" t="s">
        <v>1327</v>
      </c>
      <c r="D86" s="144" t="s">
        <v>266</v>
      </c>
      <c r="E86" s="139" t="s">
        <v>1233</v>
      </c>
      <c r="F86" s="63" t="s">
        <v>1403</v>
      </c>
      <c r="G86" s="129" t="s">
        <v>1397</v>
      </c>
      <c r="H86" s="133"/>
      <c r="I86" s="129"/>
      <c r="J86" s="130"/>
      <c r="K86" s="130"/>
      <c r="L86" s="130"/>
      <c r="M86" s="130"/>
      <c r="N86" s="140"/>
      <c r="O86" s="150"/>
      <c r="P86" s="150"/>
      <c r="Q86" s="134"/>
      <c r="R86" s="134"/>
      <c r="S86" s="134"/>
      <c r="T86" s="134"/>
      <c r="U86" s="134"/>
      <c r="V86" s="134"/>
      <c r="W86" s="134"/>
      <c r="X86" s="134"/>
      <c r="Y86" s="134"/>
    </row>
    <row r="87">
      <c r="A87" s="126" t="s">
        <v>1404</v>
      </c>
      <c r="B87" s="127" t="s">
        <v>269</v>
      </c>
      <c r="C87" s="135" t="s">
        <v>1327</v>
      </c>
      <c r="D87" s="144" t="s">
        <v>268</v>
      </c>
      <c r="E87" s="139" t="s">
        <v>1233</v>
      </c>
      <c r="F87" s="63" t="s">
        <v>1405</v>
      </c>
      <c r="G87" s="129" t="s">
        <v>1397</v>
      </c>
      <c r="H87" s="133"/>
      <c r="I87" s="129"/>
      <c r="J87" s="130"/>
      <c r="K87" s="130"/>
      <c r="L87" s="130"/>
      <c r="M87" s="130"/>
      <c r="N87" s="140"/>
      <c r="O87" s="150"/>
      <c r="P87" s="150"/>
      <c r="Q87" s="134"/>
      <c r="R87" s="134"/>
      <c r="S87" s="134"/>
      <c r="T87" s="134"/>
      <c r="U87" s="134"/>
      <c r="V87" s="134"/>
      <c r="W87" s="134"/>
      <c r="X87" s="134"/>
      <c r="Y87" s="134"/>
    </row>
    <row r="88">
      <c r="A88" s="126" t="s">
        <v>1406</v>
      </c>
      <c r="B88" s="127" t="s">
        <v>271</v>
      </c>
      <c r="C88" s="135" t="s">
        <v>1327</v>
      </c>
      <c r="D88" s="144" t="s">
        <v>270</v>
      </c>
      <c r="E88" s="139" t="s">
        <v>1233</v>
      </c>
      <c r="F88" s="63" t="s">
        <v>1407</v>
      </c>
      <c r="G88" s="129" t="s">
        <v>1397</v>
      </c>
      <c r="H88" s="133"/>
      <c r="I88" s="129"/>
      <c r="J88" s="130"/>
      <c r="K88" s="130"/>
      <c r="L88" s="130"/>
      <c r="M88" s="130"/>
      <c r="N88" s="140"/>
      <c r="O88" s="150"/>
      <c r="P88" s="150"/>
      <c r="Q88" s="134"/>
      <c r="R88" s="134"/>
      <c r="S88" s="134"/>
      <c r="T88" s="134"/>
      <c r="U88" s="134"/>
      <c r="V88" s="134"/>
      <c r="W88" s="134"/>
      <c r="X88" s="134"/>
      <c r="Y88" s="134"/>
    </row>
    <row r="89">
      <c r="A89" s="126" t="s">
        <v>1408</v>
      </c>
      <c r="B89" s="127" t="s">
        <v>277</v>
      </c>
      <c r="C89" s="135" t="s">
        <v>1331</v>
      </c>
      <c r="D89" s="144" t="s">
        <v>276</v>
      </c>
      <c r="E89" s="139" t="s">
        <v>1233</v>
      </c>
      <c r="F89" s="63" t="s">
        <v>1409</v>
      </c>
      <c r="G89" s="129" t="s">
        <v>1397</v>
      </c>
      <c r="H89" s="133" t="s">
        <v>1938</v>
      </c>
      <c r="I89" s="129" t="s">
        <v>1913</v>
      </c>
      <c r="J89" s="129" t="s">
        <v>1913</v>
      </c>
      <c r="K89" s="129" t="s">
        <v>1913</v>
      </c>
      <c r="L89" s="130" t="s">
        <v>1923</v>
      </c>
      <c r="M89" s="129" t="s">
        <v>1913</v>
      </c>
      <c r="N89" s="140"/>
      <c r="O89" s="150"/>
      <c r="P89" s="150"/>
      <c r="Q89" s="134"/>
      <c r="R89" s="134"/>
      <c r="S89" s="134"/>
      <c r="T89" s="134"/>
      <c r="U89" s="134"/>
      <c r="V89" s="134"/>
      <c r="W89" s="134"/>
      <c r="X89" s="134"/>
      <c r="Y89" s="134"/>
    </row>
    <row r="90">
      <c r="A90" s="126" t="s">
        <v>1410</v>
      </c>
      <c r="B90" s="127" t="s">
        <v>279</v>
      </c>
      <c r="C90" s="135" t="s">
        <v>1331</v>
      </c>
      <c r="D90" s="144" t="s">
        <v>278</v>
      </c>
      <c r="E90" s="139" t="s">
        <v>1233</v>
      </c>
      <c r="F90" s="63" t="s">
        <v>1411</v>
      </c>
      <c r="G90" s="129" t="s">
        <v>1397</v>
      </c>
      <c r="H90" s="133" t="s">
        <v>1938</v>
      </c>
      <c r="I90" s="129" t="s">
        <v>1913</v>
      </c>
      <c r="J90" s="129" t="s">
        <v>1913</v>
      </c>
      <c r="K90" s="147" t="s">
        <v>1958</v>
      </c>
      <c r="L90" s="130" t="s">
        <v>1923</v>
      </c>
      <c r="M90" s="129" t="s">
        <v>1913</v>
      </c>
      <c r="N90" s="140"/>
      <c r="O90" s="150"/>
      <c r="P90" s="150"/>
      <c r="Q90" s="134"/>
      <c r="R90" s="134"/>
      <c r="S90" s="134"/>
      <c r="T90" s="134"/>
      <c r="U90" s="134"/>
      <c r="V90" s="134"/>
      <c r="W90" s="134"/>
      <c r="X90" s="134"/>
      <c r="Y90" s="134"/>
    </row>
    <row r="91">
      <c r="A91" s="126" t="s">
        <v>1412</v>
      </c>
      <c r="B91" s="127" t="s">
        <v>282</v>
      </c>
      <c r="C91" s="135" t="s">
        <v>1333</v>
      </c>
      <c r="D91" s="144" t="s">
        <v>281</v>
      </c>
      <c r="E91" s="139" t="s">
        <v>1233</v>
      </c>
      <c r="F91" s="63" t="s">
        <v>1413</v>
      </c>
      <c r="G91" s="129" t="s">
        <v>1397</v>
      </c>
      <c r="H91" s="133"/>
      <c r="I91" s="129"/>
      <c r="J91" s="130"/>
      <c r="K91" s="130"/>
      <c r="L91" s="130"/>
      <c r="M91" s="130"/>
      <c r="N91" s="140"/>
      <c r="O91" s="150"/>
      <c r="P91" s="150"/>
      <c r="Q91" s="134"/>
      <c r="R91" s="134"/>
      <c r="S91" s="134"/>
      <c r="T91" s="134"/>
      <c r="U91" s="134"/>
      <c r="V91" s="134"/>
      <c r="W91" s="134"/>
      <c r="X91" s="134"/>
      <c r="Y91" s="134"/>
    </row>
    <row r="92">
      <c r="A92" s="126" t="s">
        <v>1414</v>
      </c>
      <c r="B92" s="127" t="s">
        <v>284</v>
      </c>
      <c r="C92" s="135" t="s">
        <v>1333</v>
      </c>
      <c r="D92" s="144" t="s">
        <v>283</v>
      </c>
      <c r="E92" s="139" t="s">
        <v>1233</v>
      </c>
      <c r="F92" s="63" t="s">
        <v>1415</v>
      </c>
      <c r="G92" s="129" t="s">
        <v>1397</v>
      </c>
      <c r="H92" s="133"/>
      <c r="I92" s="129"/>
      <c r="J92" s="130"/>
      <c r="K92" s="130"/>
      <c r="L92" s="130"/>
      <c r="M92" s="130"/>
      <c r="N92" s="140"/>
      <c r="O92" s="150"/>
      <c r="P92" s="150"/>
      <c r="Q92" s="134"/>
      <c r="R92" s="134"/>
      <c r="S92" s="134"/>
      <c r="T92" s="134"/>
      <c r="U92" s="134"/>
      <c r="V92" s="134"/>
      <c r="W92" s="134"/>
      <c r="X92" s="134"/>
      <c r="Y92" s="134"/>
    </row>
    <row r="93">
      <c r="A93" s="126" t="s">
        <v>1416</v>
      </c>
      <c r="B93" s="127" t="s">
        <v>288</v>
      </c>
      <c r="C93" s="135" t="s">
        <v>1335</v>
      </c>
      <c r="D93" s="144" t="s">
        <v>287</v>
      </c>
      <c r="E93" s="139" t="s">
        <v>1233</v>
      </c>
      <c r="F93" s="63" t="s">
        <v>1417</v>
      </c>
      <c r="G93" s="129" t="s">
        <v>1397</v>
      </c>
      <c r="H93" s="133"/>
      <c r="I93" s="129"/>
      <c r="J93" s="130"/>
      <c r="K93" s="130"/>
      <c r="L93" s="130"/>
      <c r="M93" s="130"/>
      <c r="N93" s="140"/>
      <c r="O93" s="150"/>
      <c r="P93" s="150"/>
      <c r="Q93" s="134"/>
      <c r="R93" s="134"/>
      <c r="S93" s="134"/>
      <c r="T93" s="134"/>
      <c r="U93" s="134"/>
      <c r="V93" s="134"/>
      <c r="W93" s="134"/>
      <c r="X93" s="134"/>
      <c r="Y93" s="134"/>
    </row>
    <row r="94">
      <c r="A94" s="126" t="s">
        <v>1418</v>
      </c>
      <c r="B94" s="127" t="s">
        <v>293</v>
      </c>
      <c r="C94" s="135" t="s">
        <v>1339</v>
      </c>
      <c r="D94" s="144" t="s">
        <v>292</v>
      </c>
      <c r="E94" s="139" t="s">
        <v>1233</v>
      </c>
      <c r="F94" s="63" t="s">
        <v>1419</v>
      </c>
      <c r="G94" s="129" t="s">
        <v>1397</v>
      </c>
      <c r="H94" s="133"/>
      <c r="I94" s="129"/>
      <c r="J94" s="130"/>
      <c r="K94" s="130"/>
      <c r="L94" s="130"/>
      <c r="M94" s="130"/>
      <c r="N94" s="140"/>
      <c r="O94" s="150"/>
      <c r="P94" s="150"/>
      <c r="Q94" s="134"/>
      <c r="R94" s="134"/>
      <c r="S94" s="134"/>
      <c r="T94" s="134"/>
      <c r="U94" s="134"/>
      <c r="V94" s="134"/>
      <c r="W94" s="134"/>
      <c r="X94" s="134"/>
      <c r="Y94" s="134"/>
    </row>
    <row r="95">
      <c r="A95" s="126" t="s">
        <v>1420</v>
      </c>
      <c r="B95" s="127" t="s">
        <v>299</v>
      </c>
      <c r="C95" s="135" t="s">
        <v>1343</v>
      </c>
      <c r="D95" s="144" t="s">
        <v>298</v>
      </c>
      <c r="E95" s="139" t="s">
        <v>1233</v>
      </c>
      <c r="F95" s="63" t="s">
        <v>1421</v>
      </c>
      <c r="G95" s="129" t="s">
        <v>1397</v>
      </c>
      <c r="H95" s="133"/>
      <c r="I95" s="129"/>
      <c r="J95" s="130"/>
      <c r="K95" s="130"/>
      <c r="L95" s="130"/>
      <c r="M95" s="130"/>
      <c r="N95" s="140"/>
      <c r="O95" s="150"/>
      <c r="P95" s="150"/>
      <c r="Q95" s="134"/>
      <c r="R95" s="134"/>
      <c r="S95" s="134"/>
      <c r="T95" s="134"/>
      <c r="U95" s="134"/>
      <c r="V95" s="134"/>
      <c r="W95" s="134"/>
      <c r="X95" s="134"/>
      <c r="Y95" s="134"/>
    </row>
    <row r="96">
      <c r="A96" s="126" t="s">
        <v>1422</v>
      </c>
      <c r="B96" s="127" t="s">
        <v>315</v>
      </c>
      <c r="C96" s="135" t="s">
        <v>1359</v>
      </c>
      <c r="D96" s="144" t="s">
        <v>314</v>
      </c>
      <c r="E96" s="139" t="s">
        <v>1233</v>
      </c>
      <c r="F96" s="63" t="s">
        <v>1423</v>
      </c>
      <c r="G96" s="129" t="s">
        <v>1397</v>
      </c>
      <c r="H96" s="133"/>
      <c r="I96" s="129"/>
      <c r="J96" s="130"/>
      <c r="K96" s="130"/>
      <c r="L96" s="130"/>
      <c r="M96" s="130"/>
      <c r="N96" s="140"/>
      <c r="O96" s="150"/>
      <c r="P96" s="150"/>
      <c r="Q96" s="134"/>
      <c r="R96" s="134"/>
      <c r="S96" s="134"/>
      <c r="T96" s="134"/>
      <c r="U96" s="134"/>
      <c r="V96" s="134"/>
      <c r="W96" s="134"/>
      <c r="X96" s="134"/>
      <c r="Y96" s="134"/>
    </row>
    <row r="97">
      <c r="A97" s="126" t="s">
        <v>1424</v>
      </c>
      <c r="B97" s="127" t="s">
        <v>318</v>
      </c>
      <c r="C97" s="135" t="s">
        <v>1361</v>
      </c>
      <c r="D97" s="144" t="s">
        <v>317</v>
      </c>
      <c r="E97" s="139" t="s">
        <v>1233</v>
      </c>
      <c r="F97" s="63" t="s">
        <v>1425</v>
      </c>
      <c r="G97" s="129" t="s">
        <v>1397</v>
      </c>
      <c r="H97" s="133"/>
      <c r="I97" s="129"/>
      <c r="J97" s="130"/>
      <c r="K97" s="130"/>
      <c r="L97" s="130"/>
      <c r="M97" s="130"/>
      <c r="N97" s="140"/>
      <c r="O97" s="150"/>
      <c r="P97" s="150"/>
      <c r="Q97" s="134"/>
      <c r="R97" s="134"/>
      <c r="S97" s="134"/>
      <c r="T97" s="134"/>
      <c r="U97" s="134"/>
      <c r="V97" s="134"/>
      <c r="W97" s="134"/>
      <c r="X97" s="134"/>
      <c r="Y97" s="134"/>
    </row>
    <row r="98">
      <c r="A98" s="126" t="s">
        <v>1426</v>
      </c>
      <c r="B98" s="127" t="s">
        <v>328</v>
      </c>
      <c r="C98" s="135" t="s">
        <v>1367</v>
      </c>
      <c r="D98" s="144" t="s">
        <v>327</v>
      </c>
      <c r="E98" s="139" t="s">
        <v>1233</v>
      </c>
      <c r="F98" s="63" t="s">
        <v>1427</v>
      </c>
      <c r="G98" s="129" t="s">
        <v>1397</v>
      </c>
      <c r="H98" s="133"/>
      <c r="I98" s="129"/>
      <c r="J98" s="130"/>
      <c r="K98" s="130"/>
      <c r="L98" s="130"/>
      <c r="M98" s="130"/>
      <c r="N98" s="140"/>
      <c r="O98" s="150"/>
      <c r="P98" s="150"/>
      <c r="Q98" s="134"/>
      <c r="R98" s="134"/>
      <c r="S98" s="134"/>
      <c r="T98" s="134"/>
      <c r="U98" s="134"/>
      <c r="V98" s="134"/>
      <c r="W98" s="134"/>
      <c r="X98" s="134"/>
      <c r="Y98" s="134"/>
    </row>
    <row r="99">
      <c r="A99" s="126" t="s">
        <v>1428</v>
      </c>
      <c r="B99" s="127" t="s">
        <v>331</v>
      </c>
      <c r="C99" s="135" t="s">
        <v>1369</v>
      </c>
      <c r="D99" s="144" t="s">
        <v>330</v>
      </c>
      <c r="E99" s="139" t="s">
        <v>1233</v>
      </c>
      <c r="F99" s="63" t="s">
        <v>1429</v>
      </c>
      <c r="G99" s="129" t="s">
        <v>1397</v>
      </c>
      <c r="H99" s="133" t="s">
        <v>1938</v>
      </c>
      <c r="I99" s="129" t="s">
        <v>1913</v>
      </c>
      <c r="J99" s="129" t="s">
        <v>1913</v>
      </c>
      <c r="K99" s="129" t="s">
        <v>1913</v>
      </c>
      <c r="L99" s="130" t="s">
        <v>1923</v>
      </c>
      <c r="M99" s="129" t="s">
        <v>1913</v>
      </c>
      <c r="N99" s="140"/>
      <c r="O99" s="150"/>
      <c r="P99" s="150"/>
      <c r="Q99" s="134"/>
      <c r="R99" s="134"/>
      <c r="S99" s="134"/>
      <c r="T99" s="134"/>
      <c r="U99" s="134"/>
      <c r="V99" s="134"/>
      <c r="W99" s="134"/>
      <c r="X99" s="134"/>
      <c r="Y99" s="134"/>
    </row>
    <row r="100">
      <c r="A100" s="126" t="s">
        <v>1430</v>
      </c>
      <c r="B100" s="127" t="s">
        <v>335</v>
      </c>
      <c r="C100" s="135" t="s">
        <v>1371</v>
      </c>
      <c r="D100" s="144" t="s">
        <v>334</v>
      </c>
      <c r="E100" s="139" t="s">
        <v>1233</v>
      </c>
      <c r="F100" s="63" t="s">
        <v>1431</v>
      </c>
      <c r="G100" s="129" t="s">
        <v>1397</v>
      </c>
      <c r="H100" s="133"/>
      <c r="I100" s="129"/>
      <c r="J100" s="130"/>
      <c r="K100" s="130"/>
      <c r="L100" s="130"/>
      <c r="M100" s="130"/>
      <c r="N100" s="140"/>
      <c r="O100" s="150"/>
      <c r="P100" s="150"/>
      <c r="Q100" s="134"/>
      <c r="R100" s="134"/>
      <c r="S100" s="134"/>
      <c r="T100" s="134"/>
      <c r="U100" s="134"/>
      <c r="V100" s="134"/>
      <c r="W100" s="134"/>
      <c r="X100" s="134"/>
      <c r="Y100" s="134"/>
    </row>
    <row r="101">
      <c r="A101" s="126" t="s">
        <v>1432</v>
      </c>
      <c r="B101" s="127" t="s">
        <v>344</v>
      </c>
      <c r="C101" s="135" t="s">
        <v>1379</v>
      </c>
      <c r="D101" s="144" t="s">
        <v>343</v>
      </c>
      <c r="E101" s="139" t="s">
        <v>1233</v>
      </c>
      <c r="F101" s="63" t="s">
        <v>1433</v>
      </c>
      <c r="G101" s="129" t="s">
        <v>1397</v>
      </c>
      <c r="H101" s="133"/>
      <c r="I101" s="129"/>
      <c r="J101" s="130"/>
      <c r="K101" s="130"/>
      <c r="L101" s="130"/>
      <c r="M101" s="130"/>
      <c r="N101" s="140"/>
      <c r="O101" s="150"/>
      <c r="P101" s="150"/>
      <c r="Q101" s="134"/>
      <c r="R101" s="134"/>
      <c r="S101" s="134"/>
      <c r="T101" s="134"/>
      <c r="U101" s="134"/>
      <c r="V101" s="134"/>
      <c r="W101" s="134"/>
      <c r="X101" s="134"/>
      <c r="Y101" s="134"/>
    </row>
    <row r="102">
      <c r="A102" s="126" t="s">
        <v>1434</v>
      </c>
      <c r="B102" s="127" t="s">
        <v>352</v>
      </c>
      <c r="C102" s="135" t="s">
        <v>1387</v>
      </c>
      <c r="D102" s="144" t="s">
        <v>351</v>
      </c>
      <c r="E102" s="139" t="s">
        <v>1233</v>
      </c>
      <c r="F102" s="63" t="s">
        <v>1435</v>
      </c>
      <c r="G102" s="129" t="s">
        <v>1397</v>
      </c>
      <c r="H102" s="133" t="s">
        <v>1938</v>
      </c>
      <c r="I102" s="129" t="s">
        <v>1913</v>
      </c>
      <c r="J102" s="129" t="s">
        <v>1913</v>
      </c>
      <c r="K102" s="130" t="s">
        <v>1959</v>
      </c>
      <c r="L102" s="130" t="s">
        <v>1923</v>
      </c>
      <c r="M102" s="129" t="s">
        <v>1913</v>
      </c>
      <c r="N102" s="140"/>
      <c r="O102" s="150"/>
      <c r="P102" s="150"/>
      <c r="Q102" s="134"/>
      <c r="R102" s="134"/>
      <c r="S102" s="134"/>
      <c r="T102" s="134"/>
      <c r="U102" s="134"/>
      <c r="V102" s="134"/>
      <c r="W102" s="134"/>
      <c r="X102" s="134"/>
      <c r="Y102" s="134"/>
    </row>
    <row r="103">
      <c r="A103" s="126" t="s">
        <v>1436</v>
      </c>
      <c r="B103" s="127" t="s">
        <v>355</v>
      </c>
      <c r="C103" s="135" t="s">
        <v>1389</v>
      </c>
      <c r="D103" s="144" t="s">
        <v>354</v>
      </c>
      <c r="E103" s="139" t="s">
        <v>1233</v>
      </c>
      <c r="F103" s="63" t="s">
        <v>1437</v>
      </c>
      <c r="G103" s="129" t="s">
        <v>1397</v>
      </c>
      <c r="H103" s="133"/>
      <c r="I103" s="129"/>
      <c r="J103" s="130"/>
      <c r="K103" s="130"/>
      <c r="L103" s="130"/>
      <c r="M103" s="130"/>
      <c r="N103" s="140"/>
      <c r="O103" s="150"/>
      <c r="P103" s="150"/>
      <c r="Q103" s="134"/>
      <c r="R103" s="134"/>
      <c r="S103" s="134"/>
      <c r="T103" s="134"/>
      <c r="U103" s="134"/>
      <c r="V103" s="134"/>
      <c r="W103" s="134"/>
      <c r="X103" s="134"/>
      <c r="Y103" s="134"/>
    </row>
    <row r="104">
      <c r="A104" s="126" t="s">
        <v>1438</v>
      </c>
      <c r="B104" s="127" t="s">
        <v>359</v>
      </c>
      <c r="C104" s="135" t="s">
        <v>1391</v>
      </c>
      <c r="D104" s="144" t="s">
        <v>358</v>
      </c>
      <c r="E104" s="139" t="s">
        <v>1233</v>
      </c>
      <c r="F104" s="63" t="s">
        <v>1439</v>
      </c>
      <c r="G104" s="129" t="s">
        <v>1397</v>
      </c>
      <c r="H104" s="133" t="s">
        <v>1938</v>
      </c>
      <c r="I104" s="129" t="s">
        <v>1913</v>
      </c>
      <c r="J104" s="129" t="s">
        <v>1913</v>
      </c>
      <c r="K104" s="129" t="s">
        <v>1913</v>
      </c>
      <c r="L104" s="130" t="s">
        <v>1923</v>
      </c>
      <c r="M104" s="129" t="s">
        <v>1913</v>
      </c>
      <c r="N104" s="140"/>
      <c r="O104" s="150"/>
      <c r="P104" s="150"/>
      <c r="Q104" s="134"/>
      <c r="R104" s="134"/>
      <c r="S104" s="134"/>
      <c r="T104" s="134"/>
      <c r="U104" s="134"/>
      <c r="V104" s="134"/>
      <c r="W104" s="134"/>
      <c r="X104" s="134"/>
      <c r="Y104" s="134"/>
    </row>
    <row r="105">
      <c r="A105" s="126" t="s">
        <v>1440</v>
      </c>
      <c r="B105" s="127" t="s">
        <v>362</v>
      </c>
      <c r="C105" s="135" t="s">
        <v>1391</v>
      </c>
      <c r="D105" s="144" t="s">
        <v>361</v>
      </c>
      <c r="E105" s="139" t="s">
        <v>1233</v>
      </c>
      <c r="F105" s="63" t="s">
        <v>1441</v>
      </c>
      <c r="G105" s="129" t="s">
        <v>1397</v>
      </c>
      <c r="H105" s="133" t="s">
        <v>1938</v>
      </c>
      <c r="I105" s="129" t="s">
        <v>1913</v>
      </c>
      <c r="J105" s="129" t="s">
        <v>1913</v>
      </c>
      <c r="K105" s="129" t="s">
        <v>1913</v>
      </c>
      <c r="L105" s="130" t="s">
        <v>1923</v>
      </c>
      <c r="M105" s="129" t="s">
        <v>1913</v>
      </c>
      <c r="N105" s="140"/>
      <c r="O105" s="150"/>
      <c r="P105" s="150"/>
      <c r="Q105" s="134"/>
      <c r="R105" s="134"/>
      <c r="S105" s="134"/>
      <c r="T105" s="134"/>
      <c r="U105" s="134"/>
      <c r="V105" s="134"/>
      <c r="W105" s="134"/>
      <c r="X105" s="134"/>
      <c r="Y105" s="134"/>
    </row>
    <row r="106">
      <c r="A106" s="126" t="s">
        <v>1442</v>
      </c>
      <c r="B106" s="127" t="s">
        <v>366</v>
      </c>
      <c r="C106" s="135" t="s">
        <v>1393</v>
      </c>
      <c r="D106" s="144" t="s">
        <v>365</v>
      </c>
      <c r="E106" s="139" t="s">
        <v>1233</v>
      </c>
      <c r="F106" s="63" t="s">
        <v>1443</v>
      </c>
      <c r="G106" s="129" t="s">
        <v>1397</v>
      </c>
      <c r="H106" s="133" t="s">
        <v>1938</v>
      </c>
      <c r="I106" s="129" t="s">
        <v>1913</v>
      </c>
      <c r="J106" s="129" t="s">
        <v>1913</v>
      </c>
      <c r="K106" s="129" t="s">
        <v>1913</v>
      </c>
      <c r="L106" s="130" t="s">
        <v>1923</v>
      </c>
      <c r="M106" s="129" t="s">
        <v>1913</v>
      </c>
      <c r="N106" s="140"/>
      <c r="O106" s="150"/>
      <c r="P106" s="150"/>
      <c r="Q106" s="134"/>
      <c r="R106" s="134"/>
      <c r="S106" s="134"/>
      <c r="T106" s="134"/>
      <c r="U106" s="134"/>
      <c r="V106" s="134"/>
      <c r="W106" s="134"/>
      <c r="X106" s="134"/>
      <c r="Y106" s="134"/>
    </row>
    <row r="107">
      <c r="A107" s="126" t="s">
        <v>1444</v>
      </c>
      <c r="B107" s="127" t="s">
        <v>370</v>
      </c>
      <c r="C107" s="135" t="s">
        <v>1395</v>
      </c>
      <c r="D107" s="144" t="s">
        <v>369</v>
      </c>
      <c r="E107" s="139" t="s">
        <v>1233</v>
      </c>
      <c r="F107" s="63" t="s">
        <v>1445</v>
      </c>
      <c r="G107" s="129" t="s">
        <v>1397</v>
      </c>
      <c r="H107" s="133"/>
      <c r="I107" s="129"/>
      <c r="J107" s="130"/>
      <c r="K107" s="130"/>
      <c r="L107" s="130"/>
      <c r="M107" s="130"/>
      <c r="N107" s="140"/>
      <c r="O107" s="150"/>
      <c r="P107" s="150"/>
      <c r="Q107" s="134"/>
      <c r="R107" s="134"/>
      <c r="S107" s="134"/>
      <c r="T107" s="134"/>
      <c r="U107" s="134"/>
      <c r="V107" s="134"/>
      <c r="W107" s="134"/>
      <c r="X107" s="134"/>
      <c r="Y107" s="134"/>
    </row>
    <row r="108">
      <c r="A108" s="126" t="s">
        <v>1446</v>
      </c>
      <c r="B108" s="127" t="s">
        <v>372</v>
      </c>
      <c r="C108" s="135" t="s">
        <v>1395</v>
      </c>
      <c r="D108" s="144" t="s">
        <v>371</v>
      </c>
      <c r="E108" s="139" t="s">
        <v>1233</v>
      </c>
      <c r="F108" s="63" t="s">
        <v>1447</v>
      </c>
      <c r="G108" s="129" t="s">
        <v>1397</v>
      </c>
      <c r="H108" s="133"/>
      <c r="I108" s="129"/>
      <c r="J108" s="130"/>
      <c r="K108" s="130"/>
      <c r="L108" s="130"/>
      <c r="M108" s="130"/>
      <c r="N108" s="140"/>
      <c r="O108" s="150"/>
      <c r="P108" s="150"/>
      <c r="Q108" s="134"/>
      <c r="R108" s="134"/>
      <c r="S108" s="134"/>
      <c r="T108" s="134"/>
      <c r="U108" s="134"/>
      <c r="V108" s="134"/>
      <c r="W108" s="134"/>
      <c r="X108" s="134"/>
      <c r="Y108" s="134"/>
    </row>
    <row r="109">
      <c r="A109" s="126" t="s">
        <v>1448</v>
      </c>
      <c r="B109" s="127" t="s">
        <v>374</v>
      </c>
      <c r="C109" s="135" t="s">
        <v>1395</v>
      </c>
      <c r="D109" s="144" t="s">
        <v>373</v>
      </c>
      <c r="E109" s="139" t="s">
        <v>1233</v>
      </c>
      <c r="F109" s="63" t="s">
        <v>1449</v>
      </c>
      <c r="G109" s="129" t="s">
        <v>1397</v>
      </c>
      <c r="H109" s="133"/>
      <c r="I109" s="129"/>
      <c r="J109" s="130"/>
      <c r="K109" s="130"/>
      <c r="L109" s="130"/>
      <c r="M109" s="130"/>
      <c r="N109" s="140"/>
      <c r="O109" s="150"/>
      <c r="P109" s="150"/>
      <c r="Q109" s="134"/>
      <c r="R109" s="134"/>
      <c r="S109" s="134"/>
      <c r="T109" s="134"/>
      <c r="U109" s="134"/>
      <c r="V109" s="134"/>
      <c r="W109" s="134"/>
      <c r="X109" s="134"/>
      <c r="Y109" s="134"/>
    </row>
    <row r="110">
      <c r="A110" s="126" t="s">
        <v>1450</v>
      </c>
      <c r="B110" s="127" t="s">
        <v>380</v>
      </c>
      <c r="C110" s="135" t="s">
        <v>1400</v>
      </c>
      <c r="D110" s="144" t="s">
        <v>379</v>
      </c>
      <c r="E110" s="139" t="s">
        <v>1233</v>
      </c>
      <c r="F110" s="63" t="s">
        <v>1451</v>
      </c>
      <c r="G110" s="129" t="s">
        <v>1397</v>
      </c>
      <c r="H110" s="133" t="s">
        <v>1938</v>
      </c>
      <c r="I110" s="129" t="s">
        <v>1913</v>
      </c>
      <c r="J110" s="129" t="s">
        <v>1913</v>
      </c>
      <c r="K110" s="129" t="s">
        <v>1913</v>
      </c>
      <c r="L110" s="130" t="s">
        <v>1923</v>
      </c>
      <c r="M110" s="129" t="s">
        <v>1913</v>
      </c>
      <c r="N110" s="140"/>
      <c r="O110" s="150"/>
      <c r="P110" s="150"/>
      <c r="Q110" s="134"/>
      <c r="R110" s="134"/>
      <c r="S110" s="134"/>
      <c r="T110" s="134"/>
      <c r="U110" s="134"/>
      <c r="V110" s="134"/>
      <c r="W110" s="134"/>
      <c r="X110" s="134"/>
      <c r="Y110" s="134"/>
    </row>
    <row r="111">
      <c r="A111" s="126" t="s">
        <v>1452</v>
      </c>
      <c r="B111" s="127" t="s">
        <v>384</v>
      </c>
      <c r="C111" s="135" t="s">
        <v>1402</v>
      </c>
      <c r="D111" s="144" t="s">
        <v>383</v>
      </c>
      <c r="E111" s="139" t="s">
        <v>1233</v>
      </c>
      <c r="F111" s="63" t="s">
        <v>1453</v>
      </c>
      <c r="G111" s="129" t="s">
        <v>1397</v>
      </c>
      <c r="H111" s="133" t="s">
        <v>1938</v>
      </c>
      <c r="I111" s="129" t="s">
        <v>1913</v>
      </c>
      <c r="J111" s="129" t="s">
        <v>1913</v>
      </c>
      <c r="K111" s="130" t="s">
        <v>1960</v>
      </c>
      <c r="L111" s="130" t="s">
        <v>1923</v>
      </c>
      <c r="M111" s="129" t="s">
        <v>1913</v>
      </c>
      <c r="N111" s="140"/>
      <c r="O111" s="150"/>
      <c r="P111" s="150"/>
      <c r="Q111" s="134"/>
      <c r="R111" s="134"/>
      <c r="S111" s="134"/>
      <c r="T111" s="134"/>
      <c r="U111" s="134"/>
      <c r="V111" s="134"/>
      <c r="W111" s="134"/>
      <c r="X111" s="134"/>
      <c r="Y111" s="134"/>
    </row>
    <row r="112">
      <c r="A112" s="126" t="s">
        <v>1454</v>
      </c>
      <c r="B112" s="127" t="s">
        <v>393</v>
      </c>
      <c r="C112" s="135" t="s">
        <v>1408</v>
      </c>
      <c r="D112" s="144" t="s">
        <v>392</v>
      </c>
      <c r="E112" s="139" t="s">
        <v>1233</v>
      </c>
      <c r="F112" s="63" t="s">
        <v>1455</v>
      </c>
      <c r="G112" s="129" t="s">
        <v>1397</v>
      </c>
      <c r="H112" s="133"/>
      <c r="I112" s="129"/>
      <c r="J112" s="130"/>
      <c r="K112" s="130"/>
      <c r="L112" s="130"/>
      <c r="M112" s="130"/>
      <c r="N112" s="140"/>
      <c r="O112" s="150"/>
      <c r="P112" s="150"/>
      <c r="Q112" s="134"/>
      <c r="R112" s="134"/>
      <c r="S112" s="134"/>
      <c r="T112" s="134"/>
      <c r="U112" s="134"/>
      <c r="V112" s="134"/>
      <c r="W112" s="134"/>
      <c r="X112" s="134"/>
      <c r="Y112" s="134"/>
    </row>
    <row r="113">
      <c r="A113" s="126" t="s">
        <v>1456</v>
      </c>
      <c r="B113" s="127" t="s">
        <v>395</v>
      </c>
      <c r="C113" s="135" t="s">
        <v>1408</v>
      </c>
      <c r="D113" s="144" t="s">
        <v>394</v>
      </c>
      <c r="E113" s="139" t="s">
        <v>1233</v>
      </c>
      <c r="F113" s="63" t="s">
        <v>1457</v>
      </c>
      <c r="G113" s="129" t="s">
        <v>1397</v>
      </c>
      <c r="H113" s="133"/>
      <c r="I113" s="129"/>
      <c r="J113" s="130"/>
      <c r="K113" s="130"/>
      <c r="L113" s="130"/>
      <c r="M113" s="130"/>
      <c r="N113" s="140"/>
      <c r="O113" s="150"/>
      <c r="P113" s="150"/>
      <c r="Q113" s="134"/>
      <c r="R113" s="134"/>
      <c r="S113" s="134"/>
      <c r="T113" s="134"/>
      <c r="U113" s="134"/>
      <c r="V113" s="134"/>
      <c r="W113" s="134"/>
      <c r="X113" s="134"/>
      <c r="Y113" s="134"/>
    </row>
    <row r="114">
      <c r="A114" s="126" t="s">
        <v>1458</v>
      </c>
      <c r="B114" s="127" t="s">
        <v>407</v>
      </c>
      <c r="C114" s="135" t="s">
        <v>1418</v>
      </c>
      <c r="D114" s="144" t="s">
        <v>406</v>
      </c>
      <c r="E114" s="139" t="s">
        <v>1233</v>
      </c>
      <c r="F114" s="63" t="s">
        <v>1459</v>
      </c>
      <c r="G114" s="129" t="s">
        <v>1397</v>
      </c>
      <c r="H114" s="133" t="s">
        <v>1938</v>
      </c>
      <c r="I114" s="129" t="s">
        <v>1913</v>
      </c>
      <c r="J114" s="129" t="s">
        <v>1913</v>
      </c>
      <c r="K114" s="129" t="s">
        <v>1913</v>
      </c>
      <c r="L114" s="130" t="s">
        <v>1923</v>
      </c>
      <c r="M114" s="129" t="s">
        <v>1913</v>
      </c>
      <c r="N114" s="140"/>
      <c r="O114" s="150"/>
      <c r="P114" s="150"/>
      <c r="Q114" s="134"/>
      <c r="R114" s="134"/>
      <c r="S114" s="134"/>
      <c r="T114" s="134"/>
      <c r="U114" s="134"/>
      <c r="V114" s="134"/>
      <c r="W114" s="134"/>
      <c r="X114" s="134"/>
      <c r="Y114" s="134"/>
    </row>
    <row r="115">
      <c r="A115" s="126" t="s">
        <v>1460</v>
      </c>
      <c r="B115" s="127" t="s">
        <v>412</v>
      </c>
      <c r="C115" s="135" t="s">
        <v>1420</v>
      </c>
      <c r="D115" s="144" t="s">
        <v>411</v>
      </c>
      <c r="E115" s="139" t="s">
        <v>1233</v>
      </c>
      <c r="F115" s="63" t="s">
        <v>1461</v>
      </c>
      <c r="G115" s="129" t="s">
        <v>1397</v>
      </c>
      <c r="H115" s="133"/>
      <c r="I115" s="129"/>
      <c r="J115" s="130"/>
      <c r="K115" s="130"/>
      <c r="L115" s="130"/>
      <c r="M115" s="130"/>
      <c r="N115" s="140"/>
      <c r="O115" s="150"/>
      <c r="P115" s="150"/>
      <c r="Q115" s="134"/>
      <c r="R115" s="134"/>
      <c r="S115" s="134"/>
      <c r="T115" s="134"/>
      <c r="U115" s="134"/>
      <c r="V115" s="134"/>
      <c r="W115" s="134"/>
      <c r="X115" s="134"/>
      <c r="Y115" s="134"/>
    </row>
    <row r="116">
      <c r="A116" s="126" t="s">
        <v>1462</v>
      </c>
      <c r="B116" s="127" t="s">
        <v>418</v>
      </c>
      <c r="C116" s="135" t="s">
        <v>1422</v>
      </c>
      <c r="D116" s="144" t="s">
        <v>417</v>
      </c>
      <c r="E116" s="139" t="s">
        <v>1233</v>
      </c>
      <c r="F116" s="63" t="s">
        <v>1463</v>
      </c>
      <c r="G116" s="129" t="s">
        <v>1397</v>
      </c>
      <c r="H116" s="133"/>
      <c r="I116" s="129"/>
      <c r="J116" s="130"/>
      <c r="K116" s="130"/>
      <c r="L116" s="130"/>
      <c r="M116" s="130"/>
      <c r="N116" s="140"/>
      <c r="O116" s="150"/>
      <c r="P116" s="150"/>
      <c r="Q116" s="134"/>
      <c r="R116" s="134"/>
      <c r="S116" s="134"/>
      <c r="T116" s="134"/>
      <c r="U116" s="134"/>
      <c r="V116" s="134"/>
      <c r="W116" s="134"/>
      <c r="X116" s="134"/>
      <c r="Y116" s="134"/>
    </row>
    <row r="117">
      <c r="A117" s="126" t="s">
        <v>1464</v>
      </c>
      <c r="B117" s="127" t="s">
        <v>421</v>
      </c>
      <c r="C117" s="135" t="s">
        <v>1424</v>
      </c>
      <c r="D117" s="144" t="s">
        <v>420</v>
      </c>
      <c r="E117" s="139" t="s">
        <v>1233</v>
      </c>
      <c r="F117" s="63" t="s">
        <v>1465</v>
      </c>
      <c r="G117" s="129" t="s">
        <v>1397</v>
      </c>
      <c r="H117" s="133" t="s">
        <v>1938</v>
      </c>
      <c r="I117" s="129" t="s">
        <v>1913</v>
      </c>
      <c r="J117" s="129" t="s">
        <v>1913</v>
      </c>
      <c r="K117" s="129" t="s">
        <v>1913</v>
      </c>
      <c r="L117" s="130" t="s">
        <v>1923</v>
      </c>
      <c r="M117" s="129" t="s">
        <v>1913</v>
      </c>
      <c r="N117" s="140"/>
      <c r="O117" s="150"/>
      <c r="P117" s="150"/>
      <c r="Q117" s="134"/>
      <c r="R117" s="134"/>
      <c r="S117" s="134"/>
      <c r="T117" s="134"/>
      <c r="U117" s="134"/>
      <c r="V117" s="134"/>
      <c r="W117" s="134"/>
      <c r="X117" s="134"/>
      <c r="Y117" s="134"/>
    </row>
    <row r="118">
      <c r="A118" s="126" t="s">
        <v>1466</v>
      </c>
      <c r="B118" s="127" t="s">
        <v>423</v>
      </c>
      <c r="C118" s="135" t="s">
        <v>1424</v>
      </c>
      <c r="D118" s="144" t="s">
        <v>422</v>
      </c>
      <c r="E118" s="139" t="s">
        <v>1233</v>
      </c>
      <c r="F118" s="63" t="s">
        <v>1467</v>
      </c>
      <c r="G118" s="129" t="s">
        <v>1397</v>
      </c>
      <c r="H118" s="133" t="s">
        <v>1938</v>
      </c>
      <c r="I118" s="129" t="s">
        <v>1913</v>
      </c>
      <c r="J118" s="129" t="s">
        <v>1913</v>
      </c>
      <c r="K118" s="129" t="s">
        <v>1913</v>
      </c>
      <c r="L118" s="130" t="s">
        <v>1923</v>
      </c>
      <c r="M118" s="129" t="s">
        <v>1913</v>
      </c>
      <c r="N118" s="140"/>
      <c r="O118" s="150"/>
      <c r="P118" s="150"/>
      <c r="Q118" s="134"/>
      <c r="R118" s="134"/>
      <c r="S118" s="134"/>
      <c r="T118" s="134"/>
      <c r="U118" s="134"/>
      <c r="V118" s="134"/>
      <c r="W118" s="134"/>
      <c r="X118" s="134"/>
      <c r="Y118" s="134"/>
    </row>
    <row r="119">
      <c r="A119" s="126" t="s">
        <v>1468</v>
      </c>
      <c r="B119" s="127" t="s">
        <v>425</v>
      </c>
      <c r="C119" s="135" t="s">
        <v>1424</v>
      </c>
      <c r="D119" s="144" t="s">
        <v>424</v>
      </c>
      <c r="E119" s="139" t="s">
        <v>1233</v>
      </c>
      <c r="F119" s="63" t="s">
        <v>1469</v>
      </c>
      <c r="G119" s="129" t="s">
        <v>1397</v>
      </c>
      <c r="H119" s="133" t="s">
        <v>1938</v>
      </c>
      <c r="I119" s="129" t="s">
        <v>1913</v>
      </c>
      <c r="J119" s="129" t="s">
        <v>1913</v>
      </c>
      <c r="K119" s="129" t="s">
        <v>1913</v>
      </c>
      <c r="L119" s="130" t="s">
        <v>1923</v>
      </c>
      <c r="M119" s="129" t="s">
        <v>1913</v>
      </c>
      <c r="N119" s="140"/>
      <c r="O119" s="150"/>
      <c r="P119" s="150"/>
      <c r="Q119" s="134"/>
      <c r="R119" s="134"/>
      <c r="S119" s="134"/>
      <c r="T119" s="134"/>
      <c r="U119" s="134"/>
      <c r="V119" s="134"/>
      <c r="W119" s="134"/>
      <c r="X119" s="134"/>
      <c r="Y119" s="134"/>
    </row>
    <row r="120">
      <c r="A120" s="126" t="s">
        <v>1470</v>
      </c>
      <c r="B120" s="127" t="s">
        <v>428</v>
      </c>
      <c r="C120" s="135" t="s">
        <v>1426</v>
      </c>
      <c r="D120" s="144" t="s">
        <v>427</v>
      </c>
      <c r="E120" s="139" t="s">
        <v>1233</v>
      </c>
      <c r="F120" s="63" t="s">
        <v>1471</v>
      </c>
      <c r="G120" s="129" t="s">
        <v>1397</v>
      </c>
      <c r="H120" s="133" t="s">
        <v>1938</v>
      </c>
      <c r="I120" s="129" t="s">
        <v>1913</v>
      </c>
      <c r="J120" s="129" t="s">
        <v>1913</v>
      </c>
      <c r="K120" s="130" t="s">
        <v>1961</v>
      </c>
      <c r="L120" s="130" t="s">
        <v>1923</v>
      </c>
      <c r="M120" s="129" t="s">
        <v>1913</v>
      </c>
      <c r="N120" s="140"/>
      <c r="O120" s="150"/>
      <c r="P120" s="150"/>
      <c r="Q120" s="134"/>
      <c r="R120" s="134"/>
      <c r="S120" s="134"/>
      <c r="T120" s="134"/>
      <c r="U120" s="134"/>
      <c r="V120" s="134"/>
      <c r="W120" s="134"/>
      <c r="X120" s="134"/>
      <c r="Y120" s="134"/>
    </row>
    <row r="121">
      <c r="A121" s="126" t="s">
        <v>1472</v>
      </c>
      <c r="B121" s="127" t="s">
        <v>434</v>
      </c>
      <c r="C121" s="135" t="s">
        <v>1430</v>
      </c>
      <c r="D121" s="144" t="s">
        <v>433</v>
      </c>
      <c r="E121" s="139" t="s">
        <v>1233</v>
      </c>
      <c r="F121" s="63" t="s">
        <v>1473</v>
      </c>
      <c r="G121" s="129" t="s">
        <v>1397</v>
      </c>
      <c r="H121" s="133" t="s">
        <v>1938</v>
      </c>
      <c r="I121" s="129" t="s">
        <v>1913</v>
      </c>
      <c r="J121" s="129" t="s">
        <v>1913</v>
      </c>
      <c r="K121" s="129" t="s">
        <v>1913</v>
      </c>
      <c r="L121" s="130" t="s">
        <v>1923</v>
      </c>
      <c r="M121" s="129" t="s">
        <v>1913</v>
      </c>
      <c r="N121" s="140"/>
      <c r="O121" s="150"/>
      <c r="P121" s="150"/>
      <c r="Q121" s="134"/>
      <c r="R121" s="134"/>
      <c r="S121" s="134"/>
      <c r="T121" s="134"/>
      <c r="U121" s="134"/>
      <c r="V121" s="134"/>
      <c r="W121" s="134"/>
      <c r="X121" s="134"/>
      <c r="Y121" s="134"/>
    </row>
    <row r="122">
      <c r="A122" s="126" t="s">
        <v>1474</v>
      </c>
      <c r="B122" s="127" t="s">
        <v>436</v>
      </c>
      <c r="C122" s="135" t="s">
        <v>1430</v>
      </c>
      <c r="D122" s="144" t="s">
        <v>435</v>
      </c>
      <c r="E122" s="139" t="s">
        <v>1233</v>
      </c>
      <c r="F122" s="63" t="s">
        <v>1475</v>
      </c>
      <c r="G122" s="129" t="s">
        <v>1397</v>
      </c>
      <c r="H122" s="133"/>
      <c r="I122" s="129"/>
      <c r="J122" s="130"/>
      <c r="K122" s="130"/>
      <c r="L122" s="130"/>
      <c r="M122" s="130"/>
      <c r="N122" s="140"/>
      <c r="O122" s="150"/>
      <c r="P122" s="150"/>
      <c r="Q122" s="134"/>
      <c r="R122" s="134"/>
      <c r="S122" s="134"/>
      <c r="T122" s="134"/>
      <c r="U122" s="134"/>
      <c r="V122" s="134"/>
      <c r="W122" s="134"/>
      <c r="X122" s="134"/>
      <c r="Y122" s="134"/>
    </row>
    <row r="123">
      <c r="A123" s="126" t="s">
        <v>1476</v>
      </c>
      <c r="B123" s="127" t="s">
        <v>438</v>
      </c>
      <c r="C123" s="135" t="s">
        <v>1430</v>
      </c>
      <c r="D123" s="144" t="s">
        <v>437</v>
      </c>
      <c r="E123" s="139" t="s">
        <v>1233</v>
      </c>
      <c r="F123" s="63" t="s">
        <v>1477</v>
      </c>
      <c r="G123" s="129" t="s">
        <v>1478</v>
      </c>
      <c r="H123" s="133" t="s">
        <v>1938</v>
      </c>
      <c r="I123" s="129" t="s">
        <v>1913</v>
      </c>
      <c r="J123" s="130" t="s">
        <v>1913</v>
      </c>
      <c r="K123" s="130" t="s">
        <v>1933</v>
      </c>
      <c r="L123" s="130" t="s">
        <v>1962</v>
      </c>
      <c r="M123" s="130" t="s">
        <v>1913</v>
      </c>
      <c r="N123" s="130" t="s">
        <v>1913</v>
      </c>
      <c r="O123" s="150"/>
      <c r="P123" s="150"/>
      <c r="Q123" s="134"/>
      <c r="R123" s="134"/>
      <c r="S123" s="134"/>
      <c r="T123" s="134"/>
      <c r="U123" s="134"/>
      <c r="V123" s="134"/>
      <c r="W123" s="134"/>
      <c r="X123" s="134"/>
      <c r="Y123" s="134"/>
    </row>
    <row r="124">
      <c r="A124" s="126" t="s">
        <v>1479</v>
      </c>
      <c r="B124" s="127" t="s">
        <v>440</v>
      </c>
      <c r="C124" s="135" t="s">
        <v>1430</v>
      </c>
      <c r="D124" s="144" t="s">
        <v>439</v>
      </c>
      <c r="E124" s="139" t="s">
        <v>1233</v>
      </c>
      <c r="F124" s="63" t="s">
        <v>1480</v>
      </c>
      <c r="G124" s="129" t="s">
        <v>1478</v>
      </c>
      <c r="H124" s="133"/>
      <c r="I124" s="129"/>
      <c r="J124" s="130"/>
      <c r="K124" s="130"/>
      <c r="L124" s="130"/>
      <c r="M124" s="130"/>
      <c r="N124" s="140"/>
      <c r="O124" s="150"/>
      <c r="P124" s="150"/>
      <c r="Q124" s="134"/>
      <c r="R124" s="134"/>
      <c r="S124" s="134"/>
      <c r="T124" s="134"/>
      <c r="U124" s="134"/>
      <c r="V124" s="134"/>
      <c r="W124" s="134"/>
      <c r="X124" s="134"/>
      <c r="Y124" s="134"/>
    </row>
    <row r="125">
      <c r="A125" s="126" t="s">
        <v>1481</v>
      </c>
      <c r="B125" s="127" t="s">
        <v>443</v>
      </c>
      <c r="C125" s="135" t="s">
        <v>1432</v>
      </c>
      <c r="D125" s="144" t="s">
        <v>442</v>
      </c>
      <c r="E125" s="139" t="s">
        <v>1233</v>
      </c>
      <c r="F125" s="63" t="s">
        <v>1482</v>
      </c>
      <c r="G125" s="129" t="s">
        <v>1478</v>
      </c>
      <c r="H125" s="133"/>
      <c r="I125" s="129"/>
      <c r="J125" s="130"/>
      <c r="K125" s="130"/>
      <c r="L125" s="130"/>
      <c r="M125" s="130"/>
      <c r="N125" s="140"/>
      <c r="O125" s="150"/>
      <c r="P125" s="150"/>
      <c r="Q125" s="134"/>
      <c r="R125" s="134"/>
      <c r="S125" s="134"/>
      <c r="T125" s="134"/>
      <c r="U125" s="134"/>
      <c r="V125" s="134"/>
      <c r="W125" s="134"/>
      <c r="X125" s="134"/>
      <c r="Y125" s="134"/>
    </row>
    <row r="126">
      <c r="A126" s="126" t="s">
        <v>1483</v>
      </c>
      <c r="B126" s="127" t="s">
        <v>445</v>
      </c>
      <c r="C126" s="135" t="s">
        <v>1432</v>
      </c>
      <c r="D126" s="144" t="s">
        <v>444</v>
      </c>
      <c r="E126" s="139" t="s">
        <v>1233</v>
      </c>
      <c r="F126" s="63" t="s">
        <v>1484</v>
      </c>
      <c r="G126" s="129" t="s">
        <v>1478</v>
      </c>
      <c r="H126" s="133"/>
      <c r="I126" s="129"/>
      <c r="J126" s="130"/>
      <c r="K126" s="130"/>
      <c r="L126" s="130"/>
      <c r="M126" s="130"/>
      <c r="N126" s="140"/>
      <c r="O126" s="150"/>
      <c r="P126" s="150"/>
      <c r="Q126" s="134"/>
      <c r="R126" s="134"/>
      <c r="S126" s="134"/>
      <c r="T126" s="134"/>
      <c r="U126" s="134"/>
      <c r="V126" s="134"/>
      <c r="W126" s="134"/>
      <c r="X126" s="134"/>
      <c r="Y126" s="134"/>
    </row>
    <row r="127">
      <c r="A127" s="126" t="s">
        <v>1485</v>
      </c>
      <c r="B127" s="127" t="s">
        <v>450</v>
      </c>
      <c r="C127" s="135" t="s">
        <v>1438</v>
      </c>
      <c r="D127" s="144" t="s">
        <v>449</v>
      </c>
      <c r="E127" s="139" t="s">
        <v>1233</v>
      </c>
      <c r="F127" s="63" t="s">
        <v>1486</v>
      </c>
      <c r="G127" s="129" t="s">
        <v>1478</v>
      </c>
      <c r="H127" s="133"/>
      <c r="I127" s="129"/>
      <c r="J127" s="130"/>
      <c r="K127" s="130"/>
      <c r="L127" s="130"/>
      <c r="M127" s="130"/>
      <c r="N127" s="140"/>
      <c r="O127" s="150"/>
      <c r="P127" s="150"/>
      <c r="Q127" s="134"/>
      <c r="R127" s="134"/>
      <c r="S127" s="134"/>
      <c r="T127" s="134"/>
      <c r="U127" s="134"/>
      <c r="V127" s="134"/>
      <c r="W127" s="134"/>
      <c r="X127" s="134"/>
      <c r="Y127" s="134"/>
    </row>
    <row r="128">
      <c r="A128" s="126" t="s">
        <v>1487</v>
      </c>
      <c r="B128" s="127" t="s">
        <v>453</v>
      </c>
      <c r="C128" s="135" t="s">
        <v>1440</v>
      </c>
      <c r="D128" s="144" t="s">
        <v>452</v>
      </c>
      <c r="E128" s="139" t="s">
        <v>1233</v>
      </c>
      <c r="F128" s="63" t="s">
        <v>1488</v>
      </c>
      <c r="G128" s="129" t="s">
        <v>1478</v>
      </c>
      <c r="H128" s="133"/>
      <c r="I128" s="129"/>
      <c r="J128" s="130"/>
      <c r="K128" s="130"/>
      <c r="L128" s="130"/>
      <c r="M128" s="130"/>
      <c r="N128" s="140"/>
      <c r="O128" s="150"/>
      <c r="P128" s="150"/>
      <c r="Q128" s="134"/>
      <c r="R128" s="134"/>
      <c r="S128" s="134"/>
      <c r="T128" s="134"/>
      <c r="U128" s="134"/>
      <c r="V128" s="134"/>
      <c r="W128" s="134"/>
      <c r="X128" s="134"/>
      <c r="Y128" s="134"/>
    </row>
    <row r="129">
      <c r="A129" s="126" t="s">
        <v>1489</v>
      </c>
      <c r="B129" s="127" t="s">
        <v>464</v>
      </c>
      <c r="C129" s="135" t="s">
        <v>1454</v>
      </c>
      <c r="D129" s="144" t="s">
        <v>463</v>
      </c>
      <c r="E129" s="139" t="s">
        <v>1233</v>
      </c>
      <c r="F129" s="63" t="s">
        <v>1490</v>
      </c>
      <c r="G129" s="129" t="s">
        <v>1478</v>
      </c>
      <c r="H129" s="133"/>
      <c r="I129" s="129"/>
      <c r="J129" s="130"/>
      <c r="K129" s="130"/>
      <c r="L129" s="130"/>
      <c r="M129" s="130"/>
      <c r="N129" s="140"/>
      <c r="O129" s="150"/>
      <c r="P129" s="150"/>
      <c r="Q129" s="134"/>
      <c r="R129" s="134"/>
      <c r="S129" s="134"/>
      <c r="T129" s="134"/>
      <c r="U129" s="134"/>
      <c r="V129" s="134"/>
      <c r="W129" s="134"/>
      <c r="X129" s="134"/>
      <c r="Y129" s="134"/>
    </row>
    <row r="130">
      <c r="A130" s="126" t="s">
        <v>1491</v>
      </c>
      <c r="B130" s="127" t="s">
        <v>466</v>
      </c>
      <c r="C130" s="135" t="s">
        <v>1454</v>
      </c>
      <c r="D130" s="144" t="s">
        <v>465</v>
      </c>
      <c r="E130" s="139" t="s">
        <v>1233</v>
      </c>
      <c r="F130" s="63" t="s">
        <v>1492</v>
      </c>
      <c r="G130" s="129" t="s">
        <v>1478</v>
      </c>
      <c r="H130" s="133"/>
      <c r="I130" s="129"/>
      <c r="J130" s="130"/>
      <c r="K130" s="130"/>
      <c r="L130" s="130"/>
      <c r="M130" s="130"/>
      <c r="N130" s="140"/>
      <c r="O130" s="150"/>
      <c r="P130" s="150"/>
      <c r="Q130" s="134"/>
      <c r="R130" s="134"/>
      <c r="S130" s="134"/>
      <c r="T130" s="134"/>
      <c r="U130" s="134"/>
      <c r="V130" s="134"/>
      <c r="W130" s="134"/>
      <c r="X130" s="134"/>
      <c r="Y130" s="134"/>
    </row>
    <row r="131">
      <c r="A131" s="126" t="s">
        <v>1493</v>
      </c>
      <c r="B131" s="127" t="s">
        <v>468</v>
      </c>
      <c r="C131" s="135" t="s">
        <v>1454</v>
      </c>
      <c r="D131" s="144" t="s">
        <v>467</v>
      </c>
      <c r="E131" s="139" t="s">
        <v>1233</v>
      </c>
      <c r="F131" s="63" t="s">
        <v>1494</v>
      </c>
      <c r="G131" s="129" t="s">
        <v>1478</v>
      </c>
      <c r="H131" s="133"/>
      <c r="I131" s="129"/>
      <c r="J131" s="130"/>
      <c r="K131" s="130"/>
      <c r="L131" s="130"/>
      <c r="M131" s="130"/>
      <c r="N131" s="140"/>
      <c r="O131" s="150"/>
      <c r="P131" s="150"/>
      <c r="Q131" s="134"/>
      <c r="R131" s="134"/>
      <c r="S131" s="134"/>
      <c r="T131" s="134"/>
      <c r="U131" s="134"/>
      <c r="V131" s="134"/>
      <c r="W131" s="134"/>
      <c r="X131" s="134"/>
      <c r="Y131" s="134"/>
    </row>
    <row r="132">
      <c r="A132" s="126" t="s">
        <v>1495</v>
      </c>
      <c r="B132" s="127" t="s">
        <v>470</v>
      </c>
      <c r="C132" s="135" t="s">
        <v>1454</v>
      </c>
      <c r="D132" s="144" t="s">
        <v>469</v>
      </c>
      <c r="E132" s="139" t="s">
        <v>1233</v>
      </c>
      <c r="F132" s="63" t="s">
        <v>1496</v>
      </c>
      <c r="G132" s="129" t="s">
        <v>1478</v>
      </c>
      <c r="H132" s="133"/>
      <c r="I132" s="129"/>
      <c r="J132" s="130"/>
      <c r="K132" s="130"/>
      <c r="L132" s="130"/>
      <c r="M132" s="130"/>
      <c r="N132" s="140"/>
      <c r="O132" s="150"/>
      <c r="P132" s="150"/>
      <c r="Q132" s="134"/>
      <c r="R132" s="134"/>
      <c r="S132" s="134"/>
      <c r="T132" s="134"/>
      <c r="U132" s="134"/>
      <c r="V132" s="134"/>
      <c r="W132" s="134"/>
      <c r="X132" s="134"/>
      <c r="Y132" s="134"/>
    </row>
    <row r="133">
      <c r="A133" s="126" t="s">
        <v>1497</v>
      </c>
      <c r="B133" s="127" t="s">
        <v>474</v>
      </c>
      <c r="C133" s="135" t="s">
        <v>1456</v>
      </c>
      <c r="D133" s="144" t="s">
        <v>473</v>
      </c>
      <c r="E133" s="139" t="s">
        <v>1233</v>
      </c>
      <c r="F133" s="63" t="s">
        <v>1498</v>
      </c>
      <c r="G133" s="129" t="s">
        <v>1478</v>
      </c>
      <c r="H133" s="133"/>
      <c r="I133" s="129"/>
      <c r="J133" s="130"/>
      <c r="K133" s="130"/>
      <c r="L133" s="130"/>
      <c r="M133" s="130"/>
      <c r="N133" s="140"/>
      <c r="O133" s="150"/>
      <c r="P133" s="150"/>
      <c r="Q133" s="134"/>
      <c r="R133" s="134"/>
      <c r="S133" s="134"/>
      <c r="T133" s="134"/>
      <c r="U133" s="134"/>
      <c r="V133" s="134"/>
      <c r="W133" s="134"/>
      <c r="X133" s="134"/>
      <c r="Y133" s="134"/>
    </row>
    <row r="134">
      <c r="A134" s="126" t="s">
        <v>1499</v>
      </c>
      <c r="B134" s="127" t="s">
        <v>476</v>
      </c>
      <c r="C134" s="135" t="s">
        <v>1456</v>
      </c>
      <c r="D134" s="144" t="s">
        <v>475</v>
      </c>
      <c r="E134" s="139" t="s">
        <v>1233</v>
      </c>
      <c r="F134" s="63" t="s">
        <v>1500</v>
      </c>
      <c r="G134" s="129" t="s">
        <v>1478</v>
      </c>
      <c r="H134" s="133"/>
      <c r="I134" s="129"/>
      <c r="J134" s="130"/>
      <c r="K134" s="130"/>
      <c r="L134" s="130"/>
      <c r="M134" s="130"/>
      <c r="N134" s="140"/>
      <c r="O134" s="150"/>
      <c r="P134" s="150"/>
      <c r="Q134" s="134"/>
      <c r="R134" s="134"/>
      <c r="S134" s="134"/>
      <c r="T134" s="134"/>
      <c r="U134" s="134"/>
      <c r="V134" s="134"/>
      <c r="W134" s="134"/>
      <c r="X134" s="134"/>
      <c r="Y134" s="134"/>
    </row>
    <row r="135">
      <c r="A135" s="126" t="s">
        <v>1501</v>
      </c>
      <c r="B135" s="127" t="s">
        <v>478</v>
      </c>
      <c r="C135" s="135" t="s">
        <v>1456</v>
      </c>
      <c r="D135" s="144" t="s">
        <v>477</v>
      </c>
      <c r="E135" s="139" t="s">
        <v>1233</v>
      </c>
      <c r="F135" s="63" t="s">
        <v>1502</v>
      </c>
      <c r="G135" s="129" t="s">
        <v>1478</v>
      </c>
      <c r="H135" s="133"/>
      <c r="I135" s="129"/>
      <c r="J135" s="130"/>
      <c r="K135" s="130"/>
      <c r="L135" s="130"/>
      <c r="M135" s="130"/>
      <c r="N135" s="140"/>
      <c r="O135" s="150"/>
      <c r="P135" s="150"/>
      <c r="Q135" s="134"/>
      <c r="R135" s="134"/>
      <c r="S135" s="134"/>
      <c r="T135" s="134"/>
      <c r="U135" s="134"/>
      <c r="V135" s="134"/>
      <c r="W135" s="134"/>
      <c r="X135" s="134"/>
      <c r="Y135" s="134"/>
    </row>
    <row r="136">
      <c r="A136" s="126" t="s">
        <v>1503</v>
      </c>
      <c r="B136" s="127" t="s">
        <v>480</v>
      </c>
      <c r="C136" s="135" t="s">
        <v>1456</v>
      </c>
      <c r="D136" s="144" t="s">
        <v>479</v>
      </c>
      <c r="E136" s="139" t="s">
        <v>1233</v>
      </c>
      <c r="F136" s="63" t="s">
        <v>1504</v>
      </c>
      <c r="G136" s="129" t="s">
        <v>1478</v>
      </c>
      <c r="H136" s="133"/>
      <c r="I136" s="129"/>
      <c r="J136" s="130"/>
      <c r="K136" s="130"/>
      <c r="L136" s="130"/>
      <c r="M136" s="130"/>
      <c r="N136" s="140"/>
      <c r="O136" s="150"/>
      <c r="P136" s="150"/>
      <c r="Q136" s="134"/>
      <c r="R136" s="134"/>
      <c r="S136" s="134"/>
      <c r="T136" s="134"/>
      <c r="U136" s="134"/>
      <c r="V136" s="134"/>
      <c r="W136" s="134"/>
      <c r="X136" s="134"/>
      <c r="Y136" s="134"/>
    </row>
    <row r="137">
      <c r="A137" s="126" t="s">
        <v>1505</v>
      </c>
      <c r="B137" s="127" t="s">
        <v>482</v>
      </c>
      <c r="C137" s="135" t="s">
        <v>1456</v>
      </c>
      <c r="D137" s="144" t="s">
        <v>481</v>
      </c>
      <c r="E137" s="139" t="s">
        <v>1233</v>
      </c>
      <c r="F137" s="63" t="s">
        <v>1506</v>
      </c>
      <c r="G137" s="129" t="s">
        <v>1478</v>
      </c>
      <c r="H137" s="133"/>
      <c r="I137" s="129"/>
      <c r="J137" s="130"/>
      <c r="K137" s="130"/>
      <c r="L137" s="130"/>
      <c r="M137" s="130"/>
      <c r="N137" s="140"/>
      <c r="O137" s="150"/>
      <c r="P137" s="150"/>
      <c r="Q137" s="134"/>
      <c r="R137" s="134"/>
      <c r="S137" s="134"/>
      <c r="T137" s="134"/>
      <c r="U137" s="134"/>
      <c r="V137" s="134"/>
      <c r="W137" s="134"/>
      <c r="X137" s="134"/>
      <c r="Y137" s="134"/>
    </row>
    <row r="138">
      <c r="A138" s="126" t="s">
        <v>1507</v>
      </c>
      <c r="B138" s="127" t="s">
        <v>484</v>
      </c>
      <c r="C138" s="135" t="s">
        <v>1456</v>
      </c>
      <c r="D138" s="144" t="s">
        <v>483</v>
      </c>
      <c r="E138" s="139" t="s">
        <v>1233</v>
      </c>
      <c r="F138" s="63" t="s">
        <v>1508</v>
      </c>
      <c r="G138" s="129" t="s">
        <v>1478</v>
      </c>
      <c r="H138" s="133"/>
      <c r="I138" s="129"/>
      <c r="J138" s="130"/>
      <c r="K138" s="130"/>
      <c r="L138" s="130"/>
      <c r="M138" s="130"/>
      <c r="N138" s="140"/>
      <c r="O138" s="150"/>
      <c r="P138" s="150"/>
      <c r="Q138" s="134"/>
      <c r="R138" s="134"/>
      <c r="S138" s="134"/>
      <c r="T138" s="134"/>
      <c r="U138" s="134"/>
      <c r="V138" s="134"/>
      <c r="W138" s="134"/>
      <c r="X138" s="134"/>
      <c r="Y138" s="134"/>
    </row>
    <row r="139">
      <c r="A139" s="126" t="s">
        <v>1509</v>
      </c>
      <c r="B139" s="127" t="s">
        <v>486</v>
      </c>
      <c r="C139" s="135" t="s">
        <v>1456</v>
      </c>
      <c r="D139" s="144" t="s">
        <v>485</v>
      </c>
      <c r="E139" s="139" t="s">
        <v>1233</v>
      </c>
      <c r="F139" s="63" t="s">
        <v>1510</v>
      </c>
      <c r="G139" s="129" t="s">
        <v>1478</v>
      </c>
      <c r="H139" s="133"/>
      <c r="I139" s="129"/>
      <c r="J139" s="130"/>
      <c r="K139" s="130"/>
      <c r="L139" s="130"/>
      <c r="M139" s="130"/>
      <c r="N139" s="140"/>
      <c r="O139" s="150"/>
      <c r="P139" s="150"/>
      <c r="Q139" s="134"/>
      <c r="R139" s="134"/>
      <c r="S139" s="134"/>
      <c r="T139" s="134"/>
      <c r="U139" s="134"/>
      <c r="V139" s="134"/>
      <c r="W139" s="134"/>
      <c r="X139" s="134"/>
      <c r="Y139" s="134"/>
    </row>
    <row r="140">
      <c r="A140" s="126" t="s">
        <v>1511</v>
      </c>
      <c r="B140" s="127" t="s">
        <v>488</v>
      </c>
      <c r="C140" s="135" t="s">
        <v>1456</v>
      </c>
      <c r="D140" s="144" t="s">
        <v>487</v>
      </c>
      <c r="E140" s="139" t="s">
        <v>1233</v>
      </c>
      <c r="F140" s="63" t="s">
        <v>1512</v>
      </c>
      <c r="G140" s="129" t="s">
        <v>1478</v>
      </c>
      <c r="H140" s="133"/>
      <c r="I140" s="129"/>
      <c r="J140" s="130"/>
      <c r="K140" s="130"/>
      <c r="L140" s="130"/>
      <c r="M140" s="130"/>
      <c r="N140" s="140"/>
      <c r="O140" s="150"/>
      <c r="P140" s="150"/>
      <c r="Q140" s="134"/>
      <c r="R140" s="134"/>
      <c r="S140" s="134"/>
      <c r="T140" s="134"/>
      <c r="U140" s="134"/>
      <c r="V140" s="134"/>
      <c r="W140" s="134"/>
      <c r="X140" s="134"/>
      <c r="Y140" s="134"/>
    </row>
    <row r="141">
      <c r="A141" s="126" t="s">
        <v>1513</v>
      </c>
      <c r="B141" s="127" t="s">
        <v>490</v>
      </c>
      <c r="C141" s="135" t="s">
        <v>1456</v>
      </c>
      <c r="D141" s="144" t="s">
        <v>489</v>
      </c>
      <c r="E141" s="139" t="s">
        <v>1233</v>
      </c>
      <c r="F141" s="63" t="s">
        <v>1514</v>
      </c>
      <c r="G141" s="129" t="s">
        <v>1478</v>
      </c>
      <c r="H141" s="133"/>
      <c r="I141" s="129"/>
      <c r="J141" s="130"/>
      <c r="K141" s="130"/>
      <c r="L141" s="130"/>
      <c r="M141" s="130"/>
      <c r="N141" s="140"/>
      <c r="O141" s="150"/>
      <c r="P141" s="150"/>
      <c r="Q141" s="134"/>
      <c r="R141" s="134"/>
      <c r="S141" s="134"/>
      <c r="T141" s="134"/>
      <c r="U141" s="134"/>
      <c r="V141" s="134"/>
      <c r="W141" s="134"/>
      <c r="X141" s="134"/>
      <c r="Y141" s="134"/>
    </row>
    <row r="142">
      <c r="A142" s="126" t="s">
        <v>1515</v>
      </c>
      <c r="B142" s="127" t="s">
        <v>494</v>
      </c>
      <c r="C142" s="135" t="s">
        <v>1458</v>
      </c>
      <c r="D142" s="144" t="s">
        <v>493</v>
      </c>
      <c r="E142" s="139" t="s">
        <v>1233</v>
      </c>
      <c r="F142" s="63" t="s">
        <v>1516</v>
      </c>
      <c r="G142" s="129" t="s">
        <v>1478</v>
      </c>
      <c r="H142" s="133"/>
      <c r="I142" s="129"/>
      <c r="J142" s="130"/>
      <c r="K142" s="130"/>
      <c r="L142" s="130"/>
      <c r="M142" s="130"/>
      <c r="N142" s="140"/>
      <c r="O142" s="150"/>
      <c r="P142" s="150"/>
      <c r="Q142" s="134"/>
      <c r="R142" s="134"/>
      <c r="S142" s="134"/>
      <c r="T142" s="134"/>
      <c r="U142" s="134"/>
      <c r="V142" s="134"/>
      <c r="W142" s="134"/>
      <c r="X142" s="134"/>
      <c r="Y142" s="134"/>
    </row>
    <row r="143">
      <c r="A143" s="126" t="s">
        <v>1517</v>
      </c>
      <c r="B143" s="127" t="s">
        <v>496</v>
      </c>
      <c r="C143" s="135" t="s">
        <v>1458</v>
      </c>
      <c r="D143" s="144" t="s">
        <v>495</v>
      </c>
      <c r="E143" s="139" t="s">
        <v>1233</v>
      </c>
      <c r="F143" s="63" t="s">
        <v>1518</v>
      </c>
      <c r="G143" s="129" t="s">
        <v>1478</v>
      </c>
      <c r="H143" s="133"/>
      <c r="I143" s="129"/>
      <c r="J143" s="130"/>
      <c r="K143" s="130"/>
      <c r="L143" s="130"/>
      <c r="M143" s="130"/>
      <c r="N143" s="140"/>
      <c r="O143" s="150"/>
      <c r="P143" s="150"/>
      <c r="Q143" s="134"/>
      <c r="R143" s="134"/>
      <c r="S143" s="134"/>
      <c r="T143" s="134"/>
      <c r="U143" s="134"/>
      <c r="V143" s="134"/>
      <c r="W143" s="134"/>
      <c r="X143" s="134"/>
      <c r="Y143" s="134"/>
    </row>
    <row r="144">
      <c r="A144" s="126" t="s">
        <v>1519</v>
      </c>
      <c r="B144" s="127" t="s">
        <v>498</v>
      </c>
      <c r="C144" s="135" t="s">
        <v>1458</v>
      </c>
      <c r="D144" s="144" t="s">
        <v>497</v>
      </c>
      <c r="E144" s="139" t="s">
        <v>1233</v>
      </c>
      <c r="F144" s="63" t="s">
        <v>1520</v>
      </c>
      <c r="G144" s="129" t="s">
        <v>1478</v>
      </c>
      <c r="H144" s="133"/>
      <c r="I144" s="129"/>
      <c r="J144" s="130"/>
      <c r="K144" s="130"/>
      <c r="L144" s="130"/>
      <c r="M144" s="130"/>
      <c r="N144" s="140"/>
      <c r="O144" s="150"/>
      <c r="P144" s="150"/>
      <c r="Q144" s="134"/>
      <c r="R144" s="134"/>
      <c r="S144" s="134"/>
      <c r="T144" s="134"/>
      <c r="U144" s="134"/>
      <c r="V144" s="134"/>
      <c r="W144" s="134"/>
      <c r="X144" s="134"/>
      <c r="Y144" s="134"/>
    </row>
    <row r="145">
      <c r="A145" s="126" t="s">
        <v>1521</v>
      </c>
      <c r="B145" s="127" t="s">
        <v>500</v>
      </c>
      <c r="C145" s="135" t="s">
        <v>1458</v>
      </c>
      <c r="D145" s="144" t="s">
        <v>499</v>
      </c>
      <c r="E145" s="139" t="s">
        <v>1233</v>
      </c>
      <c r="F145" s="63" t="s">
        <v>1522</v>
      </c>
      <c r="G145" s="129" t="s">
        <v>1478</v>
      </c>
      <c r="H145" s="133"/>
      <c r="I145" s="129"/>
      <c r="J145" s="130"/>
      <c r="K145" s="130"/>
      <c r="L145" s="130"/>
      <c r="M145" s="130"/>
      <c r="N145" s="140"/>
      <c r="O145" s="150"/>
      <c r="P145" s="150"/>
      <c r="Q145" s="134"/>
      <c r="R145" s="134"/>
      <c r="S145" s="134"/>
      <c r="T145" s="134"/>
      <c r="U145" s="134"/>
      <c r="V145" s="134"/>
      <c r="W145" s="134"/>
      <c r="X145" s="134"/>
      <c r="Y145" s="134"/>
    </row>
    <row r="146">
      <c r="A146" s="126" t="s">
        <v>1523</v>
      </c>
      <c r="B146" s="127" t="s">
        <v>502</v>
      </c>
      <c r="C146" s="135" t="s">
        <v>1458</v>
      </c>
      <c r="D146" s="144" t="s">
        <v>501</v>
      </c>
      <c r="E146" s="139" t="s">
        <v>1233</v>
      </c>
      <c r="F146" s="63" t="s">
        <v>1524</v>
      </c>
      <c r="G146" s="129" t="s">
        <v>1478</v>
      </c>
      <c r="H146" s="133"/>
      <c r="I146" s="129"/>
      <c r="J146" s="130"/>
      <c r="K146" s="130"/>
      <c r="L146" s="130"/>
      <c r="M146" s="130"/>
      <c r="N146" s="140"/>
      <c r="O146" s="150"/>
      <c r="P146" s="150"/>
      <c r="Q146" s="134"/>
      <c r="R146" s="134"/>
      <c r="S146" s="134"/>
      <c r="T146" s="134"/>
      <c r="U146" s="134"/>
      <c r="V146" s="134"/>
      <c r="W146" s="134"/>
      <c r="X146" s="134"/>
      <c r="Y146" s="134"/>
    </row>
    <row r="147">
      <c r="A147" s="126" t="s">
        <v>1525</v>
      </c>
      <c r="B147" s="127" t="s">
        <v>504</v>
      </c>
      <c r="C147" s="135" t="s">
        <v>1458</v>
      </c>
      <c r="D147" s="144" t="s">
        <v>503</v>
      </c>
      <c r="E147" s="139" t="s">
        <v>1233</v>
      </c>
      <c r="F147" s="63" t="s">
        <v>1526</v>
      </c>
      <c r="G147" s="129" t="s">
        <v>1478</v>
      </c>
      <c r="H147" s="133"/>
      <c r="I147" s="129"/>
      <c r="J147" s="130"/>
      <c r="K147" s="130"/>
      <c r="L147" s="130"/>
      <c r="M147" s="130"/>
      <c r="N147" s="140"/>
      <c r="O147" s="150"/>
      <c r="P147" s="150"/>
      <c r="Q147" s="134"/>
      <c r="R147" s="134"/>
      <c r="S147" s="134"/>
      <c r="T147" s="134"/>
      <c r="U147" s="134"/>
      <c r="V147" s="134"/>
      <c r="W147" s="134"/>
      <c r="X147" s="134"/>
      <c r="Y147" s="134"/>
    </row>
    <row r="148">
      <c r="A148" s="126" t="s">
        <v>1527</v>
      </c>
      <c r="B148" s="127" t="s">
        <v>507</v>
      </c>
      <c r="C148" s="135" t="s">
        <v>1460</v>
      </c>
      <c r="D148" s="144" t="s">
        <v>506</v>
      </c>
      <c r="E148" s="139" t="s">
        <v>1233</v>
      </c>
      <c r="F148" s="63" t="s">
        <v>1528</v>
      </c>
      <c r="G148" s="129" t="s">
        <v>1478</v>
      </c>
      <c r="H148" s="133"/>
      <c r="I148" s="129"/>
      <c r="J148" s="130"/>
      <c r="K148" s="130"/>
      <c r="L148" s="130"/>
      <c r="M148" s="130"/>
      <c r="N148" s="140"/>
      <c r="O148" s="150"/>
      <c r="P148" s="150"/>
      <c r="Q148" s="134"/>
      <c r="R148" s="134"/>
      <c r="S148" s="134"/>
      <c r="T148" s="134"/>
      <c r="U148" s="134"/>
      <c r="V148" s="134"/>
      <c r="W148" s="134"/>
      <c r="X148" s="134"/>
      <c r="Y148" s="134"/>
    </row>
    <row r="149">
      <c r="A149" s="126" t="s">
        <v>1529</v>
      </c>
      <c r="B149" s="127" t="s">
        <v>515</v>
      </c>
      <c r="C149" s="135" t="s">
        <v>1464</v>
      </c>
      <c r="D149" s="144" t="s">
        <v>514</v>
      </c>
      <c r="E149" s="139" t="s">
        <v>1233</v>
      </c>
      <c r="F149" s="63" t="s">
        <v>1530</v>
      </c>
      <c r="G149" s="129" t="s">
        <v>1478</v>
      </c>
      <c r="H149" s="133"/>
      <c r="I149" s="129"/>
      <c r="J149" s="130"/>
      <c r="K149" s="130"/>
      <c r="L149" s="130"/>
      <c r="M149" s="130"/>
      <c r="N149" s="140"/>
      <c r="O149" s="150"/>
      <c r="P149" s="150"/>
      <c r="Q149" s="134"/>
      <c r="R149" s="134"/>
      <c r="S149" s="134"/>
      <c r="T149" s="134"/>
      <c r="U149" s="134"/>
      <c r="V149" s="134"/>
      <c r="W149" s="134"/>
      <c r="X149" s="134"/>
      <c r="Y149" s="134"/>
    </row>
    <row r="150">
      <c r="A150" s="126" t="s">
        <v>1531</v>
      </c>
      <c r="B150" s="127" t="s">
        <v>517</v>
      </c>
      <c r="C150" s="135" t="s">
        <v>1464</v>
      </c>
      <c r="D150" s="144" t="s">
        <v>516</v>
      </c>
      <c r="E150" s="139" t="s">
        <v>1233</v>
      </c>
      <c r="F150" s="63" t="s">
        <v>1532</v>
      </c>
      <c r="G150" s="129" t="s">
        <v>1478</v>
      </c>
      <c r="H150" s="133"/>
      <c r="I150" s="129"/>
      <c r="J150" s="130"/>
      <c r="K150" s="130"/>
      <c r="L150" s="130"/>
      <c r="M150" s="130"/>
      <c r="N150" s="140"/>
      <c r="O150" s="150"/>
      <c r="P150" s="150"/>
      <c r="Q150" s="134"/>
      <c r="R150" s="134"/>
      <c r="S150" s="134"/>
      <c r="T150" s="134"/>
      <c r="U150" s="134"/>
      <c r="V150" s="134"/>
      <c r="W150" s="134"/>
      <c r="X150" s="134"/>
      <c r="Y150" s="134"/>
    </row>
    <row r="151">
      <c r="A151" s="126" t="s">
        <v>1533</v>
      </c>
      <c r="B151" s="127" t="s">
        <v>520</v>
      </c>
      <c r="C151" s="135" t="s">
        <v>1464</v>
      </c>
      <c r="D151" s="144" t="s">
        <v>519</v>
      </c>
      <c r="E151" s="139" t="s">
        <v>1233</v>
      </c>
      <c r="F151" s="63" t="s">
        <v>1534</v>
      </c>
      <c r="G151" s="129" t="s">
        <v>1478</v>
      </c>
      <c r="H151" s="133"/>
      <c r="I151" s="129"/>
      <c r="J151" s="130"/>
      <c r="K151" s="130"/>
      <c r="L151" s="130"/>
      <c r="M151" s="130"/>
      <c r="N151" s="140"/>
      <c r="O151" s="150"/>
      <c r="P151" s="150"/>
      <c r="Q151" s="134"/>
      <c r="R151" s="134"/>
      <c r="S151" s="134"/>
      <c r="T151" s="134"/>
      <c r="U151" s="134"/>
      <c r="V151" s="134"/>
      <c r="W151" s="134"/>
      <c r="X151" s="134"/>
      <c r="Y151" s="134"/>
    </row>
    <row r="152">
      <c r="A152" s="126" t="s">
        <v>1535</v>
      </c>
      <c r="B152" s="127" t="s">
        <v>522</v>
      </c>
      <c r="C152" s="135" t="s">
        <v>1464</v>
      </c>
      <c r="D152" s="144" t="s">
        <v>521</v>
      </c>
      <c r="E152" s="139" t="s">
        <v>1233</v>
      </c>
      <c r="F152" s="63" t="s">
        <v>1536</v>
      </c>
      <c r="G152" s="129" t="s">
        <v>1478</v>
      </c>
      <c r="H152" s="133"/>
      <c r="I152" s="129"/>
      <c r="J152" s="130"/>
      <c r="K152" s="130"/>
      <c r="L152" s="130"/>
      <c r="M152" s="130"/>
      <c r="N152" s="140"/>
      <c r="O152" s="150"/>
      <c r="P152" s="150"/>
      <c r="Q152" s="134"/>
      <c r="R152" s="134"/>
      <c r="S152" s="134"/>
      <c r="T152" s="134"/>
      <c r="U152" s="134"/>
      <c r="V152" s="134"/>
      <c r="W152" s="134"/>
      <c r="X152" s="134"/>
      <c r="Y152" s="134"/>
    </row>
    <row r="153">
      <c r="A153" s="126" t="s">
        <v>1537</v>
      </c>
      <c r="B153" s="127" t="s">
        <v>524</v>
      </c>
      <c r="C153" s="135" t="s">
        <v>1464</v>
      </c>
      <c r="D153" s="144" t="s">
        <v>523</v>
      </c>
      <c r="E153" s="139" t="s">
        <v>1233</v>
      </c>
      <c r="F153" s="63" t="s">
        <v>1538</v>
      </c>
      <c r="G153" s="129" t="s">
        <v>1478</v>
      </c>
      <c r="H153" s="133"/>
      <c r="I153" s="129"/>
      <c r="J153" s="130"/>
      <c r="K153" s="130"/>
      <c r="L153" s="130"/>
      <c r="M153" s="130"/>
      <c r="N153" s="140"/>
      <c r="O153" s="150"/>
      <c r="P153" s="150"/>
      <c r="Q153" s="134"/>
      <c r="R153" s="134"/>
      <c r="S153" s="134"/>
      <c r="T153" s="134"/>
      <c r="U153" s="134"/>
      <c r="V153" s="134"/>
      <c r="W153" s="134"/>
      <c r="X153" s="134"/>
      <c r="Y153" s="134"/>
    </row>
    <row r="154">
      <c r="A154" s="126" t="s">
        <v>1539</v>
      </c>
      <c r="B154" s="127" t="s">
        <v>526</v>
      </c>
      <c r="C154" s="135" t="s">
        <v>1464</v>
      </c>
      <c r="D154" s="144" t="s">
        <v>525</v>
      </c>
      <c r="E154" s="139" t="s">
        <v>1233</v>
      </c>
      <c r="F154" s="63" t="s">
        <v>1540</v>
      </c>
      <c r="G154" s="129" t="s">
        <v>1478</v>
      </c>
      <c r="H154" s="133"/>
      <c r="I154" s="129"/>
      <c r="J154" s="130"/>
      <c r="K154" s="130"/>
      <c r="L154" s="130"/>
      <c r="M154" s="130"/>
      <c r="N154" s="140"/>
      <c r="O154" s="150"/>
      <c r="P154" s="150"/>
      <c r="Q154" s="134"/>
      <c r="R154" s="134"/>
      <c r="S154" s="134"/>
      <c r="T154" s="134"/>
      <c r="U154" s="134"/>
      <c r="V154" s="134"/>
      <c r="W154" s="134"/>
      <c r="X154" s="134"/>
      <c r="Y154" s="134"/>
    </row>
    <row r="155">
      <c r="A155" s="126" t="s">
        <v>1541</v>
      </c>
      <c r="B155" s="127" t="s">
        <v>528</v>
      </c>
      <c r="C155" s="135" t="s">
        <v>1464</v>
      </c>
      <c r="D155" s="144" t="s">
        <v>527</v>
      </c>
      <c r="E155" s="139" t="s">
        <v>1233</v>
      </c>
      <c r="F155" s="63" t="s">
        <v>1542</v>
      </c>
      <c r="G155" s="129" t="s">
        <v>1478</v>
      </c>
      <c r="H155" s="133"/>
      <c r="I155" s="129"/>
      <c r="J155" s="130"/>
      <c r="K155" s="130"/>
      <c r="L155" s="130"/>
      <c r="M155" s="130"/>
      <c r="N155" s="140"/>
      <c r="O155" s="150"/>
      <c r="P155" s="150"/>
      <c r="Q155" s="134"/>
      <c r="R155" s="134"/>
      <c r="S155" s="134"/>
      <c r="T155" s="134"/>
      <c r="U155" s="134"/>
      <c r="V155" s="134"/>
      <c r="W155" s="134"/>
      <c r="X155" s="134"/>
      <c r="Y155" s="134"/>
    </row>
    <row r="156">
      <c r="A156" s="126" t="s">
        <v>1543</v>
      </c>
      <c r="B156" s="127" t="s">
        <v>531</v>
      </c>
      <c r="C156" s="135" t="s">
        <v>1466</v>
      </c>
      <c r="D156" s="144" t="s">
        <v>530</v>
      </c>
      <c r="E156" s="139" t="s">
        <v>1233</v>
      </c>
      <c r="F156" s="63" t="s">
        <v>1544</v>
      </c>
      <c r="G156" s="129" t="s">
        <v>1478</v>
      </c>
      <c r="H156" s="133"/>
      <c r="I156" s="129"/>
      <c r="J156" s="130"/>
      <c r="K156" s="130"/>
      <c r="L156" s="130"/>
      <c r="M156" s="130"/>
      <c r="N156" s="140"/>
      <c r="O156" s="150"/>
      <c r="P156" s="150"/>
      <c r="Q156" s="134"/>
      <c r="R156" s="134"/>
      <c r="S156" s="134"/>
      <c r="T156" s="134"/>
      <c r="U156" s="134"/>
      <c r="V156" s="134"/>
      <c r="W156" s="134"/>
      <c r="X156" s="134"/>
      <c r="Y156" s="134"/>
    </row>
    <row r="157">
      <c r="A157" s="126" t="s">
        <v>1545</v>
      </c>
      <c r="B157" s="127" t="s">
        <v>533</v>
      </c>
      <c r="C157" s="135" t="s">
        <v>1466</v>
      </c>
      <c r="D157" s="144" t="s">
        <v>532</v>
      </c>
      <c r="E157" s="139" t="s">
        <v>1233</v>
      </c>
      <c r="F157" s="63" t="s">
        <v>1546</v>
      </c>
      <c r="G157" s="129" t="s">
        <v>1478</v>
      </c>
      <c r="H157" s="133"/>
      <c r="I157" s="129"/>
      <c r="J157" s="130"/>
      <c r="K157" s="130"/>
      <c r="L157" s="130"/>
      <c r="M157" s="130"/>
      <c r="N157" s="140"/>
      <c r="O157" s="150"/>
      <c r="P157" s="150"/>
      <c r="Q157" s="134"/>
      <c r="R157" s="134"/>
      <c r="S157" s="134"/>
      <c r="T157" s="134"/>
      <c r="U157" s="134"/>
      <c r="V157" s="134"/>
      <c r="W157" s="134"/>
      <c r="X157" s="134"/>
      <c r="Y157" s="134"/>
    </row>
    <row r="158">
      <c r="A158" s="126" t="s">
        <v>1547</v>
      </c>
      <c r="B158" s="127" t="s">
        <v>535</v>
      </c>
      <c r="C158" s="135" t="s">
        <v>1466</v>
      </c>
      <c r="D158" s="144" t="s">
        <v>534</v>
      </c>
      <c r="E158" s="139" t="s">
        <v>1233</v>
      </c>
      <c r="F158" s="63" t="s">
        <v>1548</v>
      </c>
      <c r="G158" s="129" t="s">
        <v>1478</v>
      </c>
      <c r="H158" s="133"/>
      <c r="I158" s="129"/>
      <c r="J158" s="130"/>
      <c r="K158" s="130"/>
      <c r="L158" s="130"/>
      <c r="M158" s="130"/>
      <c r="N158" s="140"/>
      <c r="O158" s="150"/>
      <c r="P158" s="150"/>
      <c r="Q158" s="134"/>
      <c r="R158" s="134"/>
      <c r="S158" s="134"/>
      <c r="T158" s="134"/>
      <c r="U158" s="134"/>
      <c r="V158" s="134"/>
      <c r="W158" s="134"/>
      <c r="X158" s="134"/>
      <c r="Y158" s="134"/>
    </row>
    <row r="159">
      <c r="A159" s="126" t="s">
        <v>1549</v>
      </c>
      <c r="B159" s="127" t="s">
        <v>538</v>
      </c>
      <c r="C159" s="135" t="s">
        <v>1468</v>
      </c>
      <c r="D159" s="144" t="s">
        <v>537</v>
      </c>
      <c r="E159" s="139" t="s">
        <v>1233</v>
      </c>
      <c r="F159" s="63" t="s">
        <v>1550</v>
      </c>
      <c r="G159" s="129" t="s">
        <v>1478</v>
      </c>
      <c r="H159" s="133"/>
      <c r="I159" s="129"/>
      <c r="J159" s="130"/>
      <c r="K159" s="130"/>
      <c r="L159" s="130"/>
      <c r="M159" s="130"/>
      <c r="N159" s="140"/>
      <c r="O159" s="150"/>
      <c r="P159" s="150"/>
      <c r="Q159" s="134"/>
      <c r="R159" s="134"/>
      <c r="S159" s="134"/>
      <c r="T159" s="134"/>
      <c r="U159" s="134"/>
      <c r="V159" s="134"/>
      <c r="W159" s="134"/>
      <c r="X159" s="134"/>
      <c r="Y159" s="134"/>
    </row>
    <row r="160">
      <c r="A160" s="126" t="s">
        <v>1551</v>
      </c>
      <c r="B160" s="127" t="s">
        <v>543</v>
      </c>
      <c r="C160" s="135" t="s">
        <v>1472</v>
      </c>
      <c r="D160" s="144" t="s">
        <v>542</v>
      </c>
      <c r="E160" s="139" t="s">
        <v>1233</v>
      </c>
      <c r="F160" s="63" t="s">
        <v>1552</v>
      </c>
      <c r="G160" s="129" t="s">
        <v>1478</v>
      </c>
      <c r="H160" s="133"/>
      <c r="I160" s="129"/>
      <c r="J160" s="130"/>
      <c r="K160" s="130"/>
      <c r="L160" s="130"/>
      <c r="M160" s="130"/>
      <c r="N160" s="140"/>
      <c r="O160" s="150"/>
      <c r="P160" s="150"/>
      <c r="Q160" s="134"/>
      <c r="R160" s="134"/>
      <c r="S160" s="134"/>
      <c r="T160" s="134"/>
      <c r="U160" s="134"/>
      <c r="V160" s="134"/>
      <c r="W160" s="134"/>
      <c r="X160" s="134"/>
      <c r="Y160" s="134"/>
    </row>
    <row r="161">
      <c r="A161" s="126" t="s">
        <v>1553</v>
      </c>
      <c r="B161" s="127" t="s">
        <v>545</v>
      </c>
      <c r="C161" s="135" t="s">
        <v>1232</v>
      </c>
      <c r="D161" s="144" t="s">
        <v>544</v>
      </c>
      <c r="E161" s="139" t="s">
        <v>1233</v>
      </c>
      <c r="F161" s="63" t="s">
        <v>1554</v>
      </c>
      <c r="G161" s="129" t="s">
        <v>1478</v>
      </c>
      <c r="H161" s="133"/>
      <c r="I161" s="129"/>
      <c r="J161" s="130"/>
      <c r="K161" s="130"/>
      <c r="L161" s="130"/>
      <c r="M161" s="130"/>
      <c r="N161" s="140"/>
      <c r="O161" s="150"/>
      <c r="P161" s="150"/>
      <c r="Q161" s="134"/>
      <c r="R161" s="134"/>
      <c r="S161" s="134"/>
      <c r="T161" s="134"/>
      <c r="U161" s="134"/>
      <c r="V161" s="134"/>
      <c r="W161" s="134"/>
      <c r="X161" s="134"/>
      <c r="Y161" s="134"/>
    </row>
    <row r="162">
      <c r="A162" s="126" t="s">
        <v>1555</v>
      </c>
      <c r="B162" s="127" t="s">
        <v>558</v>
      </c>
      <c r="C162" s="135" t="s">
        <v>1483</v>
      </c>
      <c r="D162" s="144" t="s">
        <v>557</v>
      </c>
      <c r="E162" s="139" t="s">
        <v>1233</v>
      </c>
      <c r="F162" s="63" t="s">
        <v>1556</v>
      </c>
      <c r="G162" s="129" t="s">
        <v>1478</v>
      </c>
      <c r="H162" s="133"/>
      <c r="I162" s="129"/>
      <c r="J162" s="130"/>
      <c r="K162" s="130"/>
      <c r="L162" s="130"/>
      <c r="M162" s="130"/>
      <c r="N162" s="140"/>
      <c r="O162" s="150"/>
      <c r="P162" s="150"/>
      <c r="Q162" s="134"/>
      <c r="R162" s="134"/>
      <c r="S162" s="134"/>
      <c r="T162" s="134"/>
      <c r="U162" s="134"/>
      <c r="V162" s="134"/>
      <c r="W162" s="134"/>
      <c r="X162" s="134"/>
      <c r="Y162" s="134"/>
    </row>
    <row r="163">
      <c r="A163" s="126" t="s">
        <v>1557</v>
      </c>
      <c r="B163" s="127" t="s">
        <v>563</v>
      </c>
      <c r="C163" s="135" t="s">
        <v>1487</v>
      </c>
      <c r="D163" s="144" t="s">
        <v>562</v>
      </c>
      <c r="E163" s="74" t="s">
        <v>1233</v>
      </c>
      <c r="F163" s="63" t="s">
        <v>1558</v>
      </c>
      <c r="G163" s="129" t="s">
        <v>1559</v>
      </c>
      <c r="H163" s="133" t="s">
        <v>1938</v>
      </c>
      <c r="I163" s="129"/>
      <c r="J163" s="130"/>
      <c r="K163" s="130" t="s">
        <v>1933</v>
      </c>
      <c r="L163" s="130" t="s">
        <v>1963</v>
      </c>
      <c r="M163" s="130"/>
      <c r="N163" s="140"/>
      <c r="O163" s="150"/>
      <c r="P163" s="150"/>
      <c r="Q163" s="134"/>
      <c r="R163" s="134"/>
      <c r="S163" s="134"/>
      <c r="T163" s="134"/>
      <c r="U163" s="134"/>
      <c r="V163" s="134"/>
      <c r="W163" s="134"/>
      <c r="X163" s="134"/>
      <c r="Y163" s="134"/>
    </row>
    <row r="164">
      <c r="A164" s="126" t="s">
        <v>1560</v>
      </c>
      <c r="B164" s="127" t="s">
        <v>569</v>
      </c>
      <c r="C164" s="135" t="s">
        <v>1491</v>
      </c>
      <c r="D164" s="144" t="s">
        <v>568</v>
      </c>
      <c r="E164" s="74" t="s">
        <v>1233</v>
      </c>
      <c r="F164" s="63" t="s">
        <v>1561</v>
      </c>
      <c r="G164" s="129" t="s">
        <v>1559</v>
      </c>
      <c r="H164" s="133" t="s">
        <v>1938</v>
      </c>
      <c r="I164" s="129"/>
      <c r="J164" s="130"/>
      <c r="K164" s="130"/>
      <c r="L164" s="130"/>
      <c r="M164" s="130"/>
      <c r="N164" s="140"/>
      <c r="O164" s="150"/>
      <c r="P164" s="150"/>
      <c r="Q164" s="134"/>
      <c r="R164" s="134"/>
      <c r="S164" s="134"/>
      <c r="T164" s="134"/>
      <c r="U164" s="134"/>
      <c r="V164" s="134"/>
      <c r="W164" s="134"/>
      <c r="X164" s="134"/>
      <c r="Y164" s="134"/>
    </row>
    <row r="165">
      <c r="A165" s="126" t="s">
        <v>1562</v>
      </c>
      <c r="B165" s="127" t="s">
        <v>573</v>
      </c>
      <c r="C165" s="135" t="s">
        <v>1493</v>
      </c>
      <c r="D165" s="144" t="s">
        <v>572</v>
      </c>
      <c r="E165" s="74" t="s">
        <v>1233</v>
      </c>
      <c r="F165" s="63" t="s">
        <v>1563</v>
      </c>
      <c r="G165" s="129" t="s">
        <v>1559</v>
      </c>
      <c r="H165" s="133" t="s">
        <v>1938</v>
      </c>
      <c r="I165" s="129"/>
      <c r="J165" s="130"/>
      <c r="K165" s="130"/>
      <c r="L165" s="130"/>
      <c r="M165" s="130"/>
      <c r="N165" s="140"/>
      <c r="O165" s="150"/>
      <c r="P165" s="150"/>
      <c r="Q165" s="134"/>
      <c r="R165" s="134"/>
      <c r="S165" s="134"/>
      <c r="T165" s="134"/>
      <c r="U165" s="134"/>
      <c r="V165" s="134"/>
      <c r="W165" s="134"/>
      <c r="X165" s="134"/>
      <c r="Y165" s="134"/>
    </row>
    <row r="166">
      <c r="A166" s="126" t="s">
        <v>1564</v>
      </c>
      <c r="B166" s="127" t="s">
        <v>576</v>
      </c>
      <c r="C166" s="135" t="s">
        <v>1495</v>
      </c>
      <c r="D166" s="144" t="s">
        <v>575</v>
      </c>
      <c r="E166" s="74" t="s">
        <v>1233</v>
      </c>
      <c r="F166" s="63" t="s">
        <v>1565</v>
      </c>
      <c r="G166" s="129" t="s">
        <v>1559</v>
      </c>
      <c r="H166" s="133" t="s">
        <v>1938</v>
      </c>
      <c r="I166" s="129"/>
      <c r="J166" s="130"/>
      <c r="K166" s="130"/>
      <c r="L166" s="130"/>
      <c r="M166" s="130"/>
      <c r="N166" s="140"/>
      <c r="O166" s="150"/>
      <c r="P166" s="150"/>
      <c r="Q166" s="134"/>
      <c r="R166" s="134"/>
      <c r="S166" s="134"/>
      <c r="T166" s="134"/>
      <c r="U166" s="134"/>
      <c r="V166" s="134"/>
      <c r="W166" s="134"/>
      <c r="X166" s="134"/>
      <c r="Y166" s="134"/>
    </row>
    <row r="167">
      <c r="A167" s="126" t="s">
        <v>1566</v>
      </c>
      <c r="B167" s="127" t="s">
        <v>583</v>
      </c>
      <c r="C167" s="135" t="s">
        <v>1501</v>
      </c>
      <c r="D167" s="144" t="s">
        <v>582</v>
      </c>
      <c r="E167" s="74" t="s">
        <v>1233</v>
      </c>
      <c r="F167" s="63" t="s">
        <v>1567</v>
      </c>
      <c r="G167" s="129" t="s">
        <v>1559</v>
      </c>
      <c r="H167" s="133" t="s">
        <v>1938</v>
      </c>
      <c r="I167" s="129"/>
      <c r="J167" s="130"/>
      <c r="K167" s="130"/>
      <c r="L167" s="130"/>
      <c r="M167" s="130"/>
      <c r="N167" s="140"/>
      <c r="O167" s="150"/>
      <c r="P167" s="150"/>
      <c r="Q167" s="134"/>
      <c r="R167" s="134"/>
      <c r="S167" s="134"/>
      <c r="T167" s="134"/>
      <c r="U167" s="134"/>
      <c r="V167" s="134"/>
      <c r="W167" s="134"/>
      <c r="X167" s="134"/>
      <c r="Y167" s="134"/>
    </row>
    <row r="168">
      <c r="A168" s="126" t="s">
        <v>1568</v>
      </c>
      <c r="B168" s="127" t="s">
        <v>586</v>
      </c>
      <c r="C168" s="135" t="s">
        <v>1503</v>
      </c>
      <c r="D168" s="144" t="s">
        <v>585</v>
      </c>
      <c r="E168" s="74" t="s">
        <v>1233</v>
      </c>
      <c r="F168" s="63" t="s">
        <v>1569</v>
      </c>
      <c r="G168" s="129" t="s">
        <v>1559</v>
      </c>
      <c r="H168" s="133" t="s">
        <v>1938</v>
      </c>
      <c r="I168" s="129"/>
      <c r="J168" s="130"/>
      <c r="K168" s="130" t="s">
        <v>1933</v>
      </c>
      <c r="L168" s="130" t="s">
        <v>1962</v>
      </c>
      <c r="M168" s="130"/>
      <c r="N168" s="140"/>
      <c r="O168" s="150"/>
      <c r="P168" s="150"/>
      <c r="Q168" s="134"/>
      <c r="R168" s="134"/>
      <c r="S168" s="134"/>
      <c r="T168" s="134"/>
      <c r="U168" s="134"/>
      <c r="V168" s="134"/>
      <c r="W168" s="134"/>
      <c r="X168" s="134"/>
      <c r="Y168" s="134"/>
    </row>
    <row r="169">
      <c r="A169" s="126" t="s">
        <v>1570</v>
      </c>
      <c r="B169" s="127" t="s">
        <v>588</v>
      </c>
      <c r="C169" s="135" t="s">
        <v>1503</v>
      </c>
      <c r="D169" s="144" t="s">
        <v>587</v>
      </c>
      <c r="E169" s="74" t="s">
        <v>1233</v>
      </c>
      <c r="F169" s="63" t="s">
        <v>1571</v>
      </c>
      <c r="G169" s="129" t="s">
        <v>1559</v>
      </c>
      <c r="H169" s="133" t="s">
        <v>1938</v>
      </c>
      <c r="I169" s="129"/>
      <c r="J169" s="130"/>
      <c r="K169" s="130" t="s">
        <v>1933</v>
      </c>
      <c r="L169" s="130" t="s">
        <v>1962</v>
      </c>
      <c r="M169" s="130"/>
      <c r="N169" s="140"/>
      <c r="O169" s="150"/>
      <c r="P169" s="150"/>
      <c r="Q169" s="134"/>
      <c r="R169" s="134"/>
      <c r="S169" s="134"/>
      <c r="T169" s="134"/>
      <c r="U169" s="134"/>
      <c r="V169" s="134"/>
      <c r="W169" s="134"/>
      <c r="X169" s="134"/>
      <c r="Y169" s="134"/>
    </row>
    <row r="170">
      <c r="A170" s="126" t="s">
        <v>1572</v>
      </c>
      <c r="B170" s="127" t="s">
        <v>591</v>
      </c>
      <c r="C170" s="135" t="s">
        <v>1505</v>
      </c>
      <c r="D170" s="144" t="s">
        <v>590</v>
      </c>
      <c r="E170" s="74" t="s">
        <v>1233</v>
      </c>
      <c r="F170" s="63" t="s">
        <v>1573</v>
      </c>
      <c r="G170" s="129" t="s">
        <v>1559</v>
      </c>
      <c r="H170" s="133" t="s">
        <v>1938</v>
      </c>
      <c r="I170" s="129"/>
      <c r="J170" s="130"/>
      <c r="K170" s="130" t="s">
        <v>1933</v>
      </c>
      <c r="L170" s="130" t="s">
        <v>1962</v>
      </c>
      <c r="M170" s="130"/>
      <c r="N170" s="140"/>
      <c r="O170" s="150"/>
      <c r="P170" s="150"/>
      <c r="Q170" s="134"/>
      <c r="R170" s="134"/>
      <c r="S170" s="134"/>
      <c r="T170" s="134"/>
      <c r="U170" s="134"/>
      <c r="V170" s="134"/>
      <c r="W170" s="134"/>
      <c r="X170" s="134"/>
      <c r="Y170" s="134"/>
    </row>
    <row r="171">
      <c r="A171" s="126" t="s">
        <v>1574</v>
      </c>
      <c r="B171" s="127" t="s">
        <v>593</v>
      </c>
      <c r="C171" s="135" t="s">
        <v>1505</v>
      </c>
      <c r="D171" s="144" t="s">
        <v>592</v>
      </c>
      <c r="E171" s="74" t="s">
        <v>1233</v>
      </c>
      <c r="F171" s="63" t="s">
        <v>1575</v>
      </c>
      <c r="G171" s="129" t="s">
        <v>1559</v>
      </c>
      <c r="H171" s="133" t="s">
        <v>1938</v>
      </c>
      <c r="I171" s="129"/>
      <c r="J171" s="130"/>
      <c r="K171" s="130" t="s">
        <v>1933</v>
      </c>
      <c r="L171" s="130" t="s">
        <v>1962</v>
      </c>
      <c r="M171" s="130"/>
      <c r="N171" s="140"/>
      <c r="O171" s="150"/>
      <c r="P171" s="150"/>
      <c r="Q171" s="134"/>
      <c r="R171" s="134"/>
      <c r="S171" s="134"/>
      <c r="T171" s="134"/>
      <c r="U171" s="134"/>
      <c r="V171" s="134"/>
      <c r="W171" s="134"/>
      <c r="X171" s="134"/>
      <c r="Y171" s="134"/>
    </row>
    <row r="172">
      <c r="A172" s="126" t="s">
        <v>1576</v>
      </c>
      <c r="B172" s="127" t="s">
        <v>595</v>
      </c>
      <c r="C172" s="135" t="s">
        <v>1505</v>
      </c>
      <c r="D172" s="144" t="s">
        <v>594</v>
      </c>
      <c r="E172" s="74" t="s">
        <v>1233</v>
      </c>
      <c r="F172" s="63" t="s">
        <v>1577</v>
      </c>
      <c r="G172" s="129" t="s">
        <v>1559</v>
      </c>
      <c r="H172" s="133" t="s">
        <v>1938</v>
      </c>
      <c r="I172" s="129"/>
      <c r="J172" s="130"/>
      <c r="K172" s="130" t="s">
        <v>1933</v>
      </c>
      <c r="L172" s="130" t="s">
        <v>1964</v>
      </c>
      <c r="M172" s="130"/>
      <c r="N172" s="130" t="s">
        <v>1965</v>
      </c>
      <c r="O172" s="150"/>
      <c r="P172" s="150"/>
      <c r="Q172" s="134"/>
      <c r="R172" s="134"/>
      <c r="S172" s="134"/>
      <c r="T172" s="134"/>
      <c r="U172" s="134"/>
      <c r="V172" s="134"/>
      <c r="W172" s="134"/>
      <c r="X172" s="134"/>
      <c r="Y172" s="134"/>
    </row>
    <row r="173">
      <c r="A173" s="126" t="s">
        <v>1578</v>
      </c>
      <c r="B173" s="127" t="s">
        <v>597</v>
      </c>
      <c r="C173" s="135" t="s">
        <v>1505</v>
      </c>
      <c r="D173" s="144" t="s">
        <v>596</v>
      </c>
      <c r="E173" s="74" t="s">
        <v>1233</v>
      </c>
      <c r="F173" s="63" t="s">
        <v>1579</v>
      </c>
      <c r="G173" s="129" t="s">
        <v>1559</v>
      </c>
      <c r="H173" s="133" t="s">
        <v>1938</v>
      </c>
      <c r="I173" s="129"/>
      <c r="J173" s="130"/>
      <c r="K173" s="130" t="s">
        <v>1933</v>
      </c>
      <c r="L173" s="130" t="s">
        <v>1962</v>
      </c>
      <c r="M173" s="130"/>
      <c r="N173" s="140"/>
      <c r="O173" s="150"/>
      <c r="P173" s="150"/>
      <c r="Q173" s="134"/>
      <c r="R173" s="134"/>
      <c r="S173" s="134"/>
      <c r="T173" s="134"/>
      <c r="U173" s="134"/>
      <c r="V173" s="134"/>
      <c r="W173" s="134"/>
      <c r="X173" s="134"/>
      <c r="Y173" s="134"/>
    </row>
    <row r="174">
      <c r="A174" s="126" t="s">
        <v>1580</v>
      </c>
      <c r="B174" s="127" t="s">
        <v>600</v>
      </c>
      <c r="C174" s="135" t="s">
        <v>1507</v>
      </c>
      <c r="D174" s="144" t="s">
        <v>599</v>
      </c>
      <c r="E174" s="74" t="s">
        <v>1233</v>
      </c>
      <c r="F174" s="63" t="s">
        <v>1581</v>
      </c>
      <c r="G174" s="129" t="s">
        <v>1559</v>
      </c>
      <c r="H174" s="133" t="s">
        <v>1938</v>
      </c>
      <c r="I174" s="129"/>
      <c r="J174" s="130"/>
      <c r="K174" s="130" t="s">
        <v>1933</v>
      </c>
      <c r="L174" s="130" t="s">
        <v>1962</v>
      </c>
      <c r="M174" s="130"/>
      <c r="N174" s="140"/>
      <c r="O174" s="150"/>
      <c r="P174" s="150"/>
      <c r="Q174" s="134"/>
      <c r="R174" s="134"/>
      <c r="S174" s="134"/>
      <c r="T174" s="134"/>
      <c r="U174" s="134"/>
      <c r="V174" s="134"/>
      <c r="W174" s="134"/>
      <c r="X174" s="134"/>
      <c r="Y174" s="134"/>
    </row>
    <row r="175">
      <c r="A175" s="126" t="s">
        <v>1582</v>
      </c>
      <c r="B175" s="127" t="s">
        <v>602</v>
      </c>
      <c r="C175" s="135" t="s">
        <v>1507</v>
      </c>
      <c r="D175" s="144" t="s">
        <v>601</v>
      </c>
      <c r="E175" s="74" t="s">
        <v>1233</v>
      </c>
      <c r="F175" s="63" t="s">
        <v>1583</v>
      </c>
      <c r="G175" s="129" t="s">
        <v>1559</v>
      </c>
      <c r="H175" s="133" t="s">
        <v>1938</v>
      </c>
      <c r="I175" s="129"/>
      <c r="J175" s="130"/>
      <c r="K175" s="130" t="s">
        <v>1933</v>
      </c>
      <c r="L175" s="130" t="s">
        <v>1962</v>
      </c>
      <c r="M175" s="130"/>
      <c r="N175" s="140"/>
      <c r="O175" s="150"/>
      <c r="P175" s="150"/>
      <c r="Q175" s="134"/>
      <c r="R175" s="134"/>
      <c r="S175" s="134"/>
      <c r="T175" s="134"/>
      <c r="U175" s="134"/>
      <c r="V175" s="134"/>
      <c r="W175" s="134"/>
      <c r="X175" s="134"/>
      <c r="Y175" s="134"/>
    </row>
    <row r="176">
      <c r="A176" s="126" t="s">
        <v>1584</v>
      </c>
      <c r="B176" s="127" t="s">
        <v>610</v>
      </c>
      <c r="C176" s="135" t="s">
        <v>1511</v>
      </c>
      <c r="D176" s="144" t="s">
        <v>609</v>
      </c>
      <c r="E176" s="74" t="s">
        <v>1233</v>
      </c>
      <c r="F176" s="63" t="s">
        <v>1585</v>
      </c>
      <c r="G176" s="129" t="s">
        <v>1559</v>
      </c>
      <c r="H176" s="133" t="s">
        <v>1938</v>
      </c>
      <c r="I176" s="129"/>
      <c r="J176" s="130"/>
      <c r="K176" s="130" t="s">
        <v>1933</v>
      </c>
      <c r="L176" s="130" t="s">
        <v>1963</v>
      </c>
      <c r="M176" s="130"/>
      <c r="N176" s="140"/>
      <c r="O176" s="150"/>
      <c r="P176" s="150"/>
      <c r="Q176" s="134"/>
      <c r="R176" s="134"/>
      <c r="S176" s="134"/>
      <c r="T176" s="134"/>
      <c r="U176" s="134"/>
      <c r="V176" s="134"/>
      <c r="W176" s="134"/>
      <c r="X176" s="134"/>
      <c r="Y176" s="134"/>
    </row>
    <row r="177">
      <c r="A177" s="126" t="s">
        <v>1586</v>
      </c>
      <c r="B177" s="127" t="s">
        <v>616</v>
      </c>
      <c r="C177" s="135" t="s">
        <v>1513</v>
      </c>
      <c r="D177" s="144" t="s">
        <v>615</v>
      </c>
      <c r="E177" s="74" t="s">
        <v>1233</v>
      </c>
      <c r="F177" s="63" t="s">
        <v>1587</v>
      </c>
      <c r="G177" s="129" t="s">
        <v>1559</v>
      </c>
      <c r="H177" s="133" t="s">
        <v>1938</v>
      </c>
      <c r="I177" s="129"/>
      <c r="J177" s="130"/>
      <c r="K177" s="130"/>
      <c r="L177" s="130"/>
      <c r="M177" s="130"/>
      <c r="N177" s="140"/>
      <c r="O177" s="150"/>
      <c r="P177" s="150"/>
      <c r="Q177" s="134"/>
      <c r="R177" s="134"/>
      <c r="S177" s="134"/>
      <c r="T177" s="134"/>
      <c r="U177" s="134"/>
      <c r="V177" s="134"/>
      <c r="W177" s="134"/>
      <c r="X177" s="134"/>
      <c r="Y177" s="134"/>
    </row>
    <row r="178">
      <c r="A178" s="126" t="s">
        <v>1588</v>
      </c>
      <c r="B178" s="127" t="s">
        <v>619</v>
      </c>
      <c r="C178" s="135" t="s">
        <v>1515</v>
      </c>
      <c r="D178" s="144" t="s">
        <v>618</v>
      </c>
      <c r="E178" s="74" t="s">
        <v>1233</v>
      </c>
      <c r="F178" s="63" t="s">
        <v>1589</v>
      </c>
      <c r="G178" s="129" t="s">
        <v>1559</v>
      </c>
      <c r="H178" s="133" t="s">
        <v>1938</v>
      </c>
      <c r="I178" s="129"/>
      <c r="J178" s="130"/>
      <c r="K178" s="130" t="s">
        <v>1933</v>
      </c>
      <c r="L178" s="130" t="s">
        <v>1962</v>
      </c>
      <c r="M178" s="130"/>
      <c r="N178" s="140"/>
      <c r="O178" s="150"/>
      <c r="P178" s="150"/>
      <c r="Q178" s="134"/>
      <c r="R178" s="134"/>
      <c r="S178" s="134"/>
      <c r="T178" s="134"/>
      <c r="U178" s="134"/>
      <c r="V178" s="134"/>
      <c r="W178" s="134"/>
      <c r="X178" s="134"/>
      <c r="Y178" s="134"/>
    </row>
    <row r="179">
      <c r="A179" s="126" t="s">
        <v>1590</v>
      </c>
      <c r="B179" s="127" t="s">
        <v>625</v>
      </c>
      <c r="C179" s="135" t="s">
        <v>1519</v>
      </c>
      <c r="D179" s="144" t="s">
        <v>624</v>
      </c>
      <c r="E179" s="74" t="s">
        <v>1233</v>
      </c>
      <c r="F179" s="63" t="s">
        <v>1591</v>
      </c>
      <c r="G179" s="129" t="s">
        <v>1559</v>
      </c>
      <c r="H179" s="133" t="s">
        <v>1938</v>
      </c>
      <c r="I179" s="129"/>
      <c r="J179" s="130"/>
      <c r="K179" s="130" t="s">
        <v>1933</v>
      </c>
      <c r="L179" s="130" t="s">
        <v>1962</v>
      </c>
      <c r="M179" s="130"/>
      <c r="N179" s="140"/>
      <c r="O179" s="150"/>
      <c r="P179" s="150"/>
      <c r="Q179" s="134"/>
      <c r="R179" s="134"/>
      <c r="S179" s="134"/>
      <c r="T179" s="134"/>
      <c r="U179" s="134"/>
      <c r="V179" s="134"/>
      <c r="W179" s="134"/>
      <c r="X179" s="134"/>
      <c r="Y179" s="134"/>
    </row>
    <row r="180">
      <c r="A180" s="126" t="s">
        <v>1592</v>
      </c>
      <c r="B180" s="127" t="s">
        <v>629</v>
      </c>
      <c r="C180" s="135" t="s">
        <v>1521</v>
      </c>
      <c r="D180" s="144" t="s">
        <v>628</v>
      </c>
      <c r="E180" s="74" t="s">
        <v>1233</v>
      </c>
      <c r="F180" s="63" t="s">
        <v>1593</v>
      </c>
      <c r="G180" s="129" t="s">
        <v>1559</v>
      </c>
      <c r="H180" s="133" t="s">
        <v>1938</v>
      </c>
      <c r="I180" s="129"/>
      <c r="J180" s="130"/>
      <c r="K180" s="130" t="s">
        <v>1933</v>
      </c>
      <c r="L180" s="130" t="s">
        <v>1964</v>
      </c>
      <c r="M180" s="130"/>
      <c r="N180" s="130" t="s">
        <v>1965</v>
      </c>
      <c r="O180" s="150"/>
      <c r="P180" s="150"/>
      <c r="Q180" s="134"/>
      <c r="R180" s="134"/>
      <c r="S180" s="134"/>
      <c r="T180" s="134"/>
      <c r="U180" s="134"/>
      <c r="V180" s="134"/>
      <c r="W180" s="134"/>
      <c r="X180" s="134"/>
      <c r="Y180" s="134"/>
    </row>
    <row r="181">
      <c r="A181" s="126" t="s">
        <v>1594</v>
      </c>
      <c r="B181" s="127" t="s">
        <v>632</v>
      </c>
      <c r="C181" s="135" t="s">
        <v>1523</v>
      </c>
      <c r="D181" s="144" t="s">
        <v>631</v>
      </c>
      <c r="E181" s="74" t="s">
        <v>1233</v>
      </c>
      <c r="F181" s="63" t="s">
        <v>1595</v>
      </c>
      <c r="G181" s="129" t="s">
        <v>1559</v>
      </c>
      <c r="H181" s="133" t="s">
        <v>1938</v>
      </c>
      <c r="I181" s="129"/>
      <c r="J181" s="130"/>
      <c r="K181" s="130" t="s">
        <v>1933</v>
      </c>
      <c r="L181" s="130" t="s">
        <v>1962</v>
      </c>
      <c r="M181" s="130"/>
      <c r="N181" s="140"/>
      <c r="O181" s="150"/>
      <c r="P181" s="150"/>
      <c r="Q181" s="134"/>
      <c r="R181" s="134"/>
      <c r="S181" s="134"/>
      <c r="T181" s="134"/>
      <c r="U181" s="134"/>
      <c r="V181" s="134"/>
      <c r="W181" s="134"/>
      <c r="X181" s="134"/>
      <c r="Y181" s="134"/>
    </row>
    <row r="182">
      <c r="A182" s="126" t="s">
        <v>1596</v>
      </c>
      <c r="B182" s="127" t="s">
        <v>638</v>
      </c>
      <c r="C182" s="135" t="s">
        <v>1525</v>
      </c>
      <c r="D182" s="144" t="s">
        <v>637</v>
      </c>
      <c r="E182" s="74" t="s">
        <v>1233</v>
      </c>
      <c r="F182" s="63" t="s">
        <v>1597</v>
      </c>
      <c r="G182" s="129" t="s">
        <v>1559</v>
      </c>
      <c r="H182" s="133" t="s">
        <v>1938</v>
      </c>
      <c r="I182" s="129"/>
      <c r="J182" s="130"/>
      <c r="K182" s="130" t="s">
        <v>1933</v>
      </c>
      <c r="L182" s="130" t="s">
        <v>1962</v>
      </c>
      <c r="M182" s="130"/>
      <c r="N182" s="140"/>
      <c r="O182" s="150"/>
      <c r="P182" s="150"/>
      <c r="Q182" s="134"/>
      <c r="R182" s="134"/>
      <c r="S182" s="134"/>
      <c r="T182" s="134"/>
      <c r="U182" s="134"/>
      <c r="V182" s="134"/>
      <c r="W182" s="134"/>
      <c r="X182" s="134"/>
      <c r="Y182" s="134"/>
    </row>
    <row r="183">
      <c r="A183" s="126" t="s">
        <v>1598</v>
      </c>
      <c r="B183" s="127" t="s">
        <v>640</v>
      </c>
      <c r="C183" s="135" t="s">
        <v>1525</v>
      </c>
      <c r="D183" s="144" t="s">
        <v>639</v>
      </c>
      <c r="E183" s="74" t="s">
        <v>1233</v>
      </c>
      <c r="F183" s="63" t="s">
        <v>1599</v>
      </c>
      <c r="G183" s="129" t="s">
        <v>1559</v>
      </c>
      <c r="H183" s="133" t="s">
        <v>1938</v>
      </c>
      <c r="I183" s="129"/>
      <c r="J183" s="130"/>
      <c r="K183" s="130" t="s">
        <v>1966</v>
      </c>
      <c r="L183" s="130" t="s">
        <v>1962</v>
      </c>
      <c r="M183" s="130"/>
      <c r="N183" s="140"/>
      <c r="O183" s="150"/>
      <c r="P183" s="150"/>
      <c r="Q183" s="134"/>
      <c r="R183" s="134"/>
      <c r="S183" s="134"/>
      <c r="T183" s="134"/>
      <c r="U183" s="134"/>
      <c r="V183" s="134"/>
      <c r="W183" s="134"/>
      <c r="X183" s="134"/>
      <c r="Y183" s="134"/>
    </row>
    <row r="184">
      <c r="A184" s="126" t="s">
        <v>1600</v>
      </c>
      <c r="B184" s="127" t="s">
        <v>644</v>
      </c>
      <c r="C184" s="135" t="s">
        <v>1527</v>
      </c>
      <c r="D184" s="144" t="s">
        <v>643</v>
      </c>
      <c r="E184" s="74" t="s">
        <v>1233</v>
      </c>
      <c r="F184" s="63" t="s">
        <v>1601</v>
      </c>
      <c r="G184" s="129" t="s">
        <v>1559</v>
      </c>
      <c r="H184" s="133" t="s">
        <v>1938</v>
      </c>
      <c r="I184" s="129"/>
      <c r="J184" s="130"/>
      <c r="K184" s="130" t="s">
        <v>1933</v>
      </c>
      <c r="L184" s="130" t="s">
        <v>1962</v>
      </c>
      <c r="M184" s="130"/>
      <c r="N184" s="140"/>
      <c r="O184" s="150"/>
      <c r="P184" s="150"/>
      <c r="Q184" s="134"/>
      <c r="R184" s="134"/>
      <c r="S184" s="134"/>
      <c r="T184" s="134"/>
      <c r="U184" s="134"/>
      <c r="V184" s="134"/>
      <c r="W184" s="134"/>
      <c r="X184" s="134"/>
      <c r="Y184" s="134"/>
    </row>
    <row r="185">
      <c r="A185" s="126" t="s">
        <v>1602</v>
      </c>
      <c r="B185" s="127" t="s">
        <v>646</v>
      </c>
      <c r="C185" s="135" t="s">
        <v>1527</v>
      </c>
      <c r="D185" s="144" t="s">
        <v>645</v>
      </c>
      <c r="E185" s="74" t="s">
        <v>1233</v>
      </c>
      <c r="F185" s="63" t="s">
        <v>1603</v>
      </c>
      <c r="G185" s="129" t="s">
        <v>1559</v>
      </c>
      <c r="H185" s="133" t="s">
        <v>1938</v>
      </c>
      <c r="I185" s="129"/>
      <c r="J185" s="130"/>
      <c r="K185" s="130" t="s">
        <v>1933</v>
      </c>
      <c r="L185" s="130" t="s">
        <v>1962</v>
      </c>
      <c r="M185" s="130"/>
      <c r="N185" s="140"/>
      <c r="O185" s="150"/>
      <c r="P185" s="150"/>
      <c r="Q185" s="134"/>
      <c r="R185" s="134"/>
      <c r="S185" s="134"/>
      <c r="T185" s="134"/>
      <c r="U185" s="134"/>
      <c r="V185" s="134"/>
      <c r="W185" s="134"/>
      <c r="X185" s="134"/>
      <c r="Y185" s="134"/>
    </row>
    <row r="186">
      <c r="A186" s="126" t="s">
        <v>1604</v>
      </c>
      <c r="B186" s="127" t="s">
        <v>649</v>
      </c>
      <c r="C186" s="135" t="s">
        <v>1529</v>
      </c>
      <c r="D186" s="144" t="s">
        <v>648</v>
      </c>
      <c r="E186" s="74" t="s">
        <v>1233</v>
      </c>
      <c r="F186" s="63" t="s">
        <v>1605</v>
      </c>
      <c r="G186" s="129" t="s">
        <v>1559</v>
      </c>
      <c r="H186" s="133" t="s">
        <v>1938</v>
      </c>
      <c r="I186" s="129"/>
      <c r="J186" s="130"/>
      <c r="K186" s="130" t="s">
        <v>1933</v>
      </c>
      <c r="L186" s="130" t="s">
        <v>1962</v>
      </c>
      <c r="M186" s="130"/>
      <c r="N186" s="140"/>
      <c r="O186" s="150"/>
      <c r="P186" s="150"/>
      <c r="Q186" s="134"/>
      <c r="R186" s="134"/>
      <c r="S186" s="134"/>
      <c r="T186" s="134"/>
      <c r="U186" s="134"/>
      <c r="V186" s="134"/>
      <c r="W186" s="134"/>
      <c r="X186" s="134"/>
      <c r="Y186" s="134"/>
    </row>
    <row r="187">
      <c r="A187" s="126" t="s">
        <v>1606</v>
      </c>
      <c r="B187" s="127" t="s">
        <v>651</v>
      </c>
      <c r="C187" s="135" t="s">
        <v>1529</v>
      </c>
      <c r="D187" s="144" t="s">
        <v>650</v>
      </c>
      <c r="E187" s="74" t="s">
        <v>1233</v>
      </c>
      <c r="F187" s="63" t="s">
        <v>1607</v>
      </c>
      <c r="G187" s="129" t="s">
        <v>1559</v>
      </c>
      <c r="H187" s="133" t="s">
        <v>1938</v>
      </c>
      <c r="I187" s="129"/>
      <c r="J187" s="130"/>
      <c r="K187" s="130" t="s">
        <v>1933</v>
      </c>
      <c r="L187" s="130" t="s">
        <v>1962</v>
      </c>
      <c r="M187" s="130"/>
      <c r="N187" s="140"/>
      <c r="O187" s="150"/>
      <c r="P187" s="150"/>
      <c r="Q187" s="134"/>
      <c r="R187" s="134"/>
      <c r="S187" s="134"/>
      <c r="T187" s="134"/>
      <c r="U187" s="134"/>
      <c r="V187" s="134"/>
      <c r="W187" s="134"/>
      <c r="X187" s="134"/>
      <c r="Y187" s="134"/>
    </row>
    <row r="188">
      <c r="A188" s="126" t="s">
        <v>1608</v>
      </c>
      <c r="B188" s="127" t="s">
        <v>653</v>
      </c>
      <c r="C188" s="135" t="s">
        <v>1529</v>
      </c>
      <c r="D188" s="144" t="s">
        <v>652</v>
      </c>
      <c r="E188" s="74" t="s">
        <v>1233</v>
      </c>
      <c r="F188" s="63" t="s">
        <v>1609</v>
      </c>
      <c r="G188" s="129" t="s">
        <v>1559</v>
      </c>
      <c r="H188" s="133" t="s">
        <v>1938</v>
      </c>
      <c r="I188" s="129"/>
      <c r="J188" s="130"/>
      <c r="K188" s="130" t="s">
        <v>1933</v>
      </c>
      <c r="L188" s="130" t="s">
        <v>1962</v>
      </c>
      <c r="M188" s="130"/>
      <c r="N188" s="140"/>
      <c r="O188" s="150"/>
      <c r="P188" s="150"/>
      <c r="Q188" s="134"/>
      <c r="R188" s="134"/>
      <c r="S188" s="134"/>
      <c r="T188" s="134"/>
      <c r="U188" s="134"/>
      <c r="V188" s="134"/>
      <c r="W188" s="134"/>
      <c r="X188" s="134"/>
      <c r="Y188" s="134"/>
    </row>
    <row r="189">
      <c r="A189" s="126" t="s">
        <v>1610</v>
      </c>
      <c r="B189" s="127" t="s">
        <v>655</v>
      </c>
      <c r="C189" s="135" t="s">
        <v>1529</v>
      </c>
      <c r="D189" s="144" t="s">
        <v>654</v>
      </c>
      <c r="E189" s="74" t="s">
        <v>1233</v>
      </c>
      <c r="F189" s="63" t="s">
        <v>1611</v>
      </c>
      <c r="G189" s="129" t="s">
        <v>1559</v>
      </c>
      <c r="H189" s="133" t="s">
        <v>1938</v>
      </c>
      <c r="I189" s="129"/>
      <c r="J189" s="130"/>
      <c r="K189" s="130" t="s">
        <v>1933</v>
      </c>
      <c r="L189" s="130" t="s">
        <v>1962</v>
      </c>
      <c r="M189" s="130"/>
      <c r="N189" s="140"/>
      <c r="O189" s="150"/>
      <c r="P189" s="150"/>
      <c r="Q189" s="134"/>
      <c r="R189" s="134"/>
      <c r="S189" s="134"/>
      <c r="T189" s="134"/>
      <c r="U189" s="134"/>
      <c r="V189" s="134"/>
      <c r="W189" s="134"/>
      <c r="X189" s="134"/>
      <c r="Y189" s="134"/>
    </row>
    <row r="190">
      <c r="A190" s="126" t="s">
        <v>1612</v>
      </c>
      <c r="B190" s="127" t="s">
        <v>657</v>
      </c>
      <c r="C190" s="135" t="s">
        <v>1529</v>
      </c>
      <c r="D190" s="144" t="s">
        <v>656</v>
      </c>
      <c r="E190" s="74" t="s">
        <v>1233</v>
      </c>
      <c r="F190" s="63" t="s">
        <v>1613</v>
      </c>
      <c r="G190" s="129" t="s">
        <v>1559</v>
      </c>
      <c r="H190" s="133" t="s">
        <v>1938</v>
      </c>
      <c r="I190" s="129"/>
      <c r="J190" s="130"/>
      <c r="K190" s="130" t="s">
        <v>1933</v>
      </c>
      <c r="L190" s="130" t="s">
        <v>1964</v>
      </c>
      <c r="M190" s="130"/>
      <c r="N190" s="130" t="s">
        <v>1965</v>
      </c>
      <c r="O190" s="150"/>
      <c r="P190" s="150"/>
      <c r="Q190" s="134"/>
      <c r="R190" s="134"/>
      <c r="S190" s="134"/>
      <c r="T190" s="134"/>
      <c r="U190" s="134"/>
      <c r="V190" s="134"/>
      <c r="W190" s="134"/>
      <c r="X190" s="134"/>
      <c r="Y190" s="134"/>
    </row>
    <row r="191">
      <c r="A191" s="126" t="s">
        <v>1614</v>
      </c>
      <c r="B191" s="127" t="s">
        <v>661</v>
      </c>
      <c r="C191" s="135" t="s">
        <v>1531</v>
      </c>
      <c r="D191" s="144" t="s">
        <v>660</v>
      </c>
      <c r="E191" s="74" t="s">
        <v>1233</v>
      </c>
      <c r="F191" s="63" t="s">
        <v>1615</v>
      </c>
      <c r="G191" s="129" t="s">
        <v>1559</v>
      </c>
      <c r="H191" s="133" t="s">
        <v>1938</v>
      </c>
      <c r="I191" s="129"/>
      <c r="J191" s="130"/>
      <c r="K191" s="130" t="s">
        <v>1933</v>
      </c>
      <c r="L191" s="130" t="s">
        <v>1962</v>
      </c>
      <c r="M191" s="130"/>
      <c r="N191" s="140"/>
      <c r="O191" s="150"/>
      <c r="P191" s="150"/>
      <c r="Q191" s="134"/>
      <c r="R191" s="134"/>
      <c r="S191" s="134"/>
      <c r="T191" s="134"/>
      <c r="U191" s="134"/>
      <c r="V191" s="134"/>
      <c r="W191" s="134"/>
      <c r="X191" s="134"/>
      <c r="Y191" s="134"/>
    </row>
    <row r="192">
      <c r="A192" s="126" t="s">
        <v>1616</v>
      </c>
      <c r="B192" s="127" t="s">
        <v>664</v>
      </c>
      <c r="C192" s="135" t="s">
        <v>1533</v>
      </c>
      <c r="D192" s="144" t="s">
        <v>663</v>
      </c>
      <c r="E192" s="74" t="s">
        <v>1233</v>
      </c>
      <c r="F192" s="63" t="s">
        <v>1617</v>
      </c>
      <c r="G192" s="129" t="s">
        <v>1559</v>
      </c>
      <c r="H192" s="133" t="s">
        <v>1938</v>
      </c>
      <c r="I192" s="129"/>
      <c r="J192" s="130"/>
      <c r="K192" s="130" t="s">
        <v>1933</v>
      </c>
      <c r="L192" s="130" t="s">
        <v>1962</v>
      </c>
      <c r="M192" s="130"/>
      <c r="N192" s="130" t="s">
        <v>1967</v>
      </c>
      <c r="O192" s="150"/>
      <c r="P192" s="150"/>
      <c r="Q192" s="134"/>
      <c r="R192" s="134"/>
      <c r="S192" s="134"/>
      <c r="T192" s="134"/>
      <c r="U192" s="134"/>
      <c r="V192" s="134"/>
      <c r="W192" s="134"/>
      <c r="X192" s="134"/>
      <c r="Y192" s="134"/>
    </row>
    <row r="193">
      <c r="A193" s="126" t="s">
        <v>1618</v>
      </c>
      <c r="B193" s="127" t="s">
        <v>666</v>
      </c>
      <c r="C193" s="135" t="s">
        <v>1533</v>
      </c>
      <c r="D193" s="144" t="s">
        <v>665</v>
      </c>
      <c r="E193" s="74" t="s">
        <v>1233</v>
      </c>
      <c r="F193" s="63" t="s">
        <v>1619</v>
      </c>
      <c r="G193" s="129" t="s">
        <v>1559</v>
      </c>
      <c r="H193" s="133" t="s">
        <v>1938</v>
      </c>
      <c r="I193" s="129"/>
      <c r="J193" s="130"/>
      <c r="K193" s="130" t="s">
        <v>1933</v>
      </c>
      <c r="L193" s="130" t="s">
        <v>1964</v>
      </c>
      <c r="M193" s="130"/>
      <c r="N193" s="130" t="s">
        <v>1965</v>
      </c>
      <c r="O193" s="150"/>
      <c r="P193" s="150"/>
      <c r="Q193" s="134"/>
      <c r="R193" s="134"/>
      <c r="S193" s="134"/>
      <c r="T193" s="134"/>
      <c r="U193" s="134"/>
      <c r="V193" s="134"/>
      <c r="W193" s="134"/>
      <c r="X193" s="134"/>
      <c r="Y193" s="134"/>
    </row>
    <row r="194">
      <c r="A194" s="126" t="s">
        <v>1620</v>
      </c>
      <c r="B194" s="127" t="s">
        <v>669</v>
      </c>
      <c r="C194" s="135" t="s">
        <v>1535</v>
      </c>
      <c r="D194" s="144" t="s">
        <v>668</v>
      </c>
      <c r="E194" s="74" t="s">
        <v>1233</v>
      </c>
      <c r="F194" s="63" t="s">
        <v>1621</v>
      </c>
      <c r="G194" s="129" t="s">
        <v>1559</v>
      </c>
      <c r="H194" s="133" t="s">
        <v>1938</v>
      </c>
      <c r="I194" s="129"/>
      <c r="J194" s="130"/>
      <c r="K194" s="130" t="s">
        <v>1933</v>
      </c>
      <c r="L194" s="130" t="s">
        <v>1962</v>
      </c>
      <c r="M194" s="130"/>
      <c r="N194" s="140"/>
      <c r="O194" s="150"/>
      <c r="P194" s="150"/>
      <c r="Q194" s="134"/>
      <c r="R194" s="134"/>
      <c r="S194" s="134"/>
      <c r="T194" s="134"/>
      <c r="U194" s="134"/>
      <c r="V194" s="134"/>
      <c r="W194" s="134"/>
      <c r="X194" s="134"/>
      <c r="Y194" s="134"/>
    </row>
    <row r="195">
      <c r="A195" s="126" t="s">
        <v>1622</v>
      </c>
      <c r="B195" s="127" t="s">
        <v>672</v>
      </c>
      <c r="C195" s="135" t="s">
        <v>1535</v>
      </c>
      <c r="D195" s="144" t="s">
        <v>671</v>
      </c>
      <c r="E195" s="74" t="s">
        <v>1233</v>
      </c>
      <c r="F195" s="63" t="s">
        <v>1623</v>
      </c>
      <c r="G195" s="129" t="s">
        <v>1559</v>
      </c>
      <c r="H195" s="133" t="s">
        <v>1938</v>
      </c>
      <c r="I195" s="129"/>
      <c r="J195" s="130"/>
      <c r="K195" s="130" t="s">
        <v>1933</v>
      </c>
      <c r="L195" s="130" t="s">
        <v>1963</v>
      </c>
      <c r="M195" s="130"/>
      <c r="N195" s="130" t="s">
        <v>1968</v>
      </c>
      <c r="O195" s="150"/>
      <c r="P195" s="150"/>
      <c r="Q195" s="134"/>
      <c r="R195" s="134"/>
      <c r="S195" s="134"/>
      <c r="T195" s="134"/>
      <c r="U195" s="134"/>
      <c r="V195" s="134"/>
      <c r="W195" s="134"/>
      <c r="X195" s="134"/>
      <c r="Y195" s="134"/>
    </row>
    <row r="196">
      <c r="A196" s="126" t="s">
        <v>1624</v>
      </c>
      <c r="B196" s="127" t="s">
        <v>674</v>
      </c>
      <c r="C196" s="135" t="s">
        <v>1535</v>
      </c>
      <c r="D196" s="144" t="s">
        <v>673</v>
      </c>
      <c r="E196" s="74" t="s">
        <v>1233</v>
      </c>
      <c r="F196" s="63" t="s">
        <v>1625</v>
      </c>
      <c r="G196" s="129" t="s">
        <v>1559</v>
      </c>
      <c r="H196" s="133" t="s">
        <v>1938</v>
      </c>
      <c r="I196" s="129"/>
      <c r="J196" s="130"/>
      <c r="K196" s="130" t="s">
        <v>1933</v>
      </c>
      <c r="L196" s="130" t="s">
        <v>1962</v>
      </c>
      <c r="M196" s="130"/>
      <c r="N196" s="140"/>
      <c r="O196" s="150"/>
      <c r="P196" s="150"/>
      <c r="Q196" s="134"/>
      <c r="R196" s="134"/>
      <c r="S196" s="134"/>
      <c r="T196" s="134"/>
      <c r="U196" s="134"/>
      <c r="V196" s="134"/>
      <c r="W196" s="134"/>
      <c r="X196" s="134"/>
      <c r="Y196" s="134"/>
    </row>
    <row r="197">
      <c r="A197" s="126" t="s">
        <v>1626</v>
      </c>
      <c r="B197" s="127" t="s">
        <v>677</v>
      </c>
      <c r="C197" s="135" t="s">
        <v>1537</v>
      </c>
      <c r="D197" s="144" t="s">
        <v>676</v>
      </c>
      <c r="E197" s="74" t="s">
        <v>1233</v>
      </c>
      <c r="F197" s="63" t="s">
        <v>1627</v>
      </c>
      <c r="G197" s="129" t="s">
        <v>1559</v>
      </c>
      <c r="H197" s="133" t="s">
        <v>1938</v>
      </c>
      <c r="I197" s="129"/>
      <c r="J197" s="130"/>
      <c r="K197" s="130" t="s">
        <v>1933</v>
      </c>
      <c r="L197" s="130" t="s">
        <v>1962</v>
      </c>
      <c r="M197" s="130"/>
      <c r="N197" s="140"/>
      <c r="O197" s="150"/>
      <c r="P197" s="150"/>
      <c r="Q197" s="134"/>
      <c r="R197" s="134"/>
      <c r="S197" s="134"/>
      <c r="T197" s="134"/>
      <c r="U197" s="134"/>
      <c r="V197" s="134"/>
      <c r="W197" s="134"/>
      <c r="X197" s="134"/>
      <c r="Y197" s="134"/>
    </row>
    <row r="198">
      <c r="A198" s="126" t="s">
        <v>1628</v>
      </c>
      <c r="B198" s="127" t="s">
        <v>680</v>
      </c>
      <c r="C198" s="135" t="s">
        <v>1539</v>
      </c>
      <c r="D198" s="144" t="s">
        <v>679</v>
      </c>
      <c r="E198" s="74" t="s">
        <v>1233</v>
      </c>
      <c r="F198" s="63" t="s">
        <v>1629</v>
      </c>
      <c r="G198" s="129" t="s">
        <v>1559</v>
      </c>
      <c r="H198" s="133" t="s">
        <v>1938</v>
      </c>
      <c r="I198" s="129"/>
      <c r="J198" s="130"/>
      <c r="K198" s="130" t="s">
        <v>1933</v>
      </c>
      <c r="L198" s="130" t="s">
        <v>1963</v>
      </c>
      <c r="M198" s="130"/>
      <c r="N198" s="130" t="s">
        <v>1969</v>
      </c>
      <c r="O198" s="150"/>
      <c r="P198" s="150"/>
      <c r="Q198" s="134"/>
      <c r="R198" s="134"/>
      <c r="S198" s="134"/>
      <c r="T198" s="134"/>
      <c r="U198" s="134"/>
      <c r="V198" s="134"/>
      <c r="W198" s="134"/>
      <c r="X198" s="134"/>
      <c r="Y198" s="134"/>
    </row>
    <row r="199">
      <c r="A199" s="126" t="s">
        <v>1630</v>
      </c>
      <c r="B199" s="127" t="s">
        <v>683</v>
      </c>
      <c r="C199" s="135" t="s">
        <v>1541</v>
      </c>
      <c r="D199" s="144" t="s">
        <v>682</v>
      </c>
      <c r="E199" s="74" t="s">
        <v>1233</v>
      </c>
      <c r="F199" s="63" t="s">
        <v>1631</v>
      </c>
      <c r="G199" s="129" t="s">
        <v>1559</v>
      </c>
      <c r="H199" s="133" t="s">
        <v>1938</v>
      </c>
      <c r="I199" s="129"/>
      <c r="J199" s="130"/>
      <c r="K199" s="130" t="s">
        <v>1970</v>
      </c>
      <c r="L199" s="130" t="s">
        <v>1962</v>
      </c>
      <c r="M199" s="130"/>
      <c r="N199" s="130" t="s">
        <v>1971</v>
      </c>
      <c r="O199" s="150"/>
      <c r="P199" s="150"/>
      <c r="Q199" s="134"/>
      <c r="R199" s="134"/>
      <c r="S199" s="134"/>
      <c r="T199" s="134"/>
      <c r="U199" s="134"/>
      <c r="V199" s="134"/>
      <c r="W199" s="134"/>
      <c r="X199" s="134"/>
      <c r="Y199" s="134"/>
    </row>
    <row r="200">
      <c r="A200" s="126" t="s">
        <v>1632</v>
      </c>
      <c r="B200" s="127" t="s">
        <v>686</v>
      </c>
      <c r="C200" s="135" t="s">
        <v>1543</v>
      </c>
      <c r="D200" s="144" t="s">
        <v>685</v>
      </c>
      <c r="E200" s="74" t="s">
        <v>1233</v>
      </c>
      <c r="F200" s="63" t="s">
        <v>1633</v>
      </c>
      <c r="G200" s="129" t="s">
        <v>1559</v>
      </c>
      <c r="H200" s="133" t="s">
        <v>1938</v>
      </c>
      <c r="I200" s="129"/>
      <c r="J200" s="130"/>
      <c r="K200" s="130" t="s">
        <v>1933</v>
      </c>
      <c r="L200" s="130" t="s">
        <v>1962</v>
      </c>
      <c r="M200" s="130"/>
      <c r="N200" s="140"/>
      <c r="O200" s="150"/>
      <c r="P200" s="150"/>
      <c r="Q200" s="134"/>
      <c r="R200" s="134"/>
      <c r="S200" s="134"/>
      <c r="T200" s="134"/>
      <c r="U200" s="134"/>
      <c r="V200" s="134"/>
      <c r="W200" s="134"/>
      <c r="X200" s="134"/>
      <c r="Y200" s="134"/>
    </row>
    <row r="201">
      <c r="A201" s="126" t="s">
        <v>1634</v>
      </c>
      <c r="B201" s="127" t="s">
        <v>693</v>
      </c>
      <c r="C201" s="135" t="s">
        <v>1547</v>
      </c>
      <c r="D201" s="144" t="s">
        <v>692</v>
      </c>
      <c r="E201" s="74" t="s">
        <v>1233</v>
      </c>
      <c r="F201" s="63" t="s">
        <v>1635</v>
      </c>
      <c r="G201" s="129" t="s">
        <v>1559</v>
      </c>
      <c r="H201" s="133" t="s">
        <v>1938</v>
      </c>
      <c r="I201" s="129"/>
      <c r="J201" s="130"/>
      <c r="K201" s="130" t="s">
        <v>1933</v>
      </c>
      <c r="L201" s="130" t="s">
        <v>1962</v>
      </c>
      <c r="M201" s="130"/>
      <c r="N201" s="140"/>
      <c r="O201" s="150"/>
      <c r="P201" s="150"/>
      <c r="Q201" s="134"/>
      <c r="R201" s="134"/>
      <c r="S201" s="134"/>
      <c r="T201" s="134"/>
      <c r="U201" s="134"/>
      <c r="V201" s="134"/>
      <c r="W201" s="134"/>
      <c r="X201" s="134"/>
      <c r="Y201" s="134"/>
    </row>
    <row r="202">
      <c r="A202" s="126" t="s">
        <v>1636</v>
      </c>
      <c r="B202" s="127" t="s">
        <v>696</v>
      </c>
      <c r="C202" s="135" t="s">
        <v>1549</v>
      </c>
      <c r="D202" s="144" t="s">
        <v>695</v>
      </c>
      <c r="E202" s="74" t="s">
        <v>1233</v>
      </c>
      <c r="F202" s="63" t="s">
        <v>1637</v>
      </c>
      <c r="G202" s="129" t="s">
        <v>1559</v>
      </c>
      <c r="H202" s="133" t="s">
        <v>1938</v>
      </c>
      <c r="I202" s="129"/>
      <c r="J202" s="130"/>
      <c r="K202" s="130" t="s">
        <v>1933</v>
      </c>
      <c r="L202" s="130" t="s">
        <v>1962</v>
      </c>
      <c r="M202" s="130"/>
      <c r="N202" s="130" t="s">
        <v>1967</v>
      </c>
      <c r="O202" s="150"/>
      <c r="P202" s="150"/>
      <c r="Q202" s="134"/>
      <c r="R202" s="134"/>
      <c r="S202" s="134"/>
      <c r="T202" s="134"/>
      <c r="U202" s="134"/>
      <c r="V202" s="134"/>
      <c r="W202" s="134"/>
      <c r="X202" s="134"/>
      <c r="Y202" s="134"/>
    </row>
    <row r="203">
      <c r="A203" s="126" t="s">
        <v>1638</v>
      </c>
      <c r="B203" s="127" t="s">
        <v>698</v>
      </c>
      <c r="C203" s="135" t="s">
        <v>1549</v>
      </c>
      <c r="D203" s="144" t="s">
        <v>697</v>
      </c>
      <c r="E203" s="74" t="s">
        <v>1233</v>
      </c>
      <c r="F203" s="63" t="s">
        <v>1639</v>
      </c>
      <c r="G203" s="129" t="s">
        <v>1640</v>
      </c>
      <c r="H203" s="133" t="s">
        <v>1972</v>
      </c>
      <c r="I203" s="129" t="s">
        <v>1973</v>
      </c>
      <c r="J203" s="130" t="s">
        <v>1973</v>
      </c>
      <c r="K203" s="130" t="s">
        <v>1974</v>
      </c>
      <c r="L203" s="130" t="s">
        <v>1963</v>
      </c>
      <c r="M203" s="130"/>
      <c r="N203" s="140"/>
      <c r="O203" s="150"/>
      <c r="P203" s="150"/>
      <c r="Q203" s="134"/>
      <c r="R203" s="134"/>
      <c r="S203" s="134"/>
      <c r="T203" s="134"/>
      <c r="U203" s="134"/>
      <c r="V203" s="134"/>
      <c r="W203" s="134"/>
      <c r="X203" s="134"/>
      <c r="Y203" s="134"/>
    </row>
    <row r="204">
      <c r="A204" s="126" t="s">
        <v>1641</v>
      </c>
      <c r="B204" s="127" t="s">
        <v>707</v>
      </c>
      <c r="C204" s="135" t="s">
        <v>1555</v>
      </c>
      <c r="D204" s="144" t="s">
        <v>706</v>
      </c>
      <c r="E204" s="139" t="s">
        <v>1233</v>
      </c>
      <c r="F204" s="63" t="s">
        <v>1642</v>
      </c>
      <c r="G204" s="129" t="s">
        <v>1640</v>
      </c>
      <c r="H204" s="133"/>
      <c r="I204" s="129"/>
      <c r="J204" s="130"/>
      <c r="K204" s="130"/>
      <c r="L204" s="130"/>
      <c r="M204" s="130"/>
      <c r="N204" s="140"/>
      <c r="O204" s="150"/>
      <c r="P204" s="150"/>
      <c r="Q204" s="134"/>
      <c r="R204" s="134"/>
      <c r="S204" s="134"/>
      <c r="T204" s="134"/>
      <c r="U204" s="134"/>
      <c r="V204" s="134"/>
      <c r="W204" s="134"/>
      <c r="X204" s="134"/>
      <c r="Y204" s="134"/>
    </row>
    <row r="205">
      <c r="A205" s="126" t="s">
        <v>1643</v>
      </c>
      <c r="B205" s="127" t="s">
        <v>709</v>
      </c>
      <c r="C205" s="135" t="s">
        <v>1555</v>
      </c>
      <c r="D205" s="144" t="s">
        <v>708</v>
      </c>
      <c r="E205" s="74" t="s">
        <v>1233</v>
      </c>
      <c r="F205" s="63" t="s">
        <v>1644</v>
      </c>
      <c r="G205" s="129" t="s">
        <v>1640</v>
      </c>
      <c r="H205" s="133" t="s">
        <v>1972</v>
      </c>
      <c r="I205" s="129" t="s">
        <v>1973</v>
      </c>
      <c r="J205" s="129" t="s">
        <v>1973</v>
      </c>
      <c r="K205" s="129" t="s">
        <v>1973</v>
      </c>
      <c r="L205" s="129" t="s">
        <v>1963</v>
      </c>
      <c r="M205" s="130"/>
      <c r="N205" s="140"/>
      <c r="O205" s="150"/>
      <c r="P205" s="150"/>
      <c r="Q205" s="134"/>
      <c r="R205" s="134"/>
      <c r="S205" s="134"/>
      <c r="T205" s="134"/>
      <c r="U205" s="134"/>
      <c r="V205" s="134"/>
      <c r="W205" s="134"/>
      <c r="X205" s="134"/>
      <c r="Y205" s="134"/>
    </row>
    <row r="206">
      <c r="A206" s="126" t="s">
        <v>1645</v>
      </c>
      <c r="B206" s="127" t="s">
        <v>717</v>
      </c>
      <c r="C206" s="135" t="s">
        <v>1564</v>
      </c>
      <c r="D206" s="144" t="s">
        <v>716</v>
      </c>
      <c r="E206" s="74" t="s">
        <v>1233</v>
      </c>
      <c r="F206" s="63" t="s">
        <v>1646</v>
      </c>
      <c r="G206" s="129" t="s">
        <v>1640</v>
      </c>
      <c r="H206" s="133" t="s">
        <v>1972</v>
      </c>
      <c r="I206" s="129" t="s">
        <v>1973</v>
      </c>
      <c r="J206" s="130" t="s">
        <v>1973</v>
      </c>
      <c r="K206" s="129" t="s">
        <v>1973</v>
      </c>
      <c r="L206" s="129" t="s">
        <v>1963</v>
      </c>
      <c r="M206" s="130"/>
      <c r="N206" s="140"/>
      <c r="O206" s="150"/>
      <c r="P206" s="150"/>
      <c r="Q206" s="134"/>
      <c r="R206" s="134"/>
      <c r="S206" s="134"/>
      <c r="T206" s="134"/>
      <c r="U206" s="134"/>
      <c r="V206" s="134"/>
      <c r="W206" s="134"/>
      <c r="X206" s="134"/>
      <c r="Y206" s="134"/>
    </row>
    <row r="207">
      <c r="A207" s="126" t="s">
        <v>1647</v>
      </c>
      <c r="B207" s="127" t="s">
        <v>719</v>
      </c>
      <c r="C207" s="135" t="s">
        <v>1564</v>
      </c>
      <c r="D207" s="144" t="s">
        <v>718</v>
      </c>
      <c r="E207" s="74" t="s">
        <v>1233</v>
      </c>
      <c r="F207" s="63" t="s">
        <v>1648</v>
      </c>
      <c r="G207" s="129" t="s">
        <v>1640</v>
      </c>
      <c r="H207" s="133" t="s">
        <v>1972</v>
      </c>
      <c r="I207" s="129" t="s">
        <v>1973</v>
      </c>
      <c r="J207" s="130" t="s">
        <v>1973</v>
      </c>
      <c r="K207" s="129" t="s">
        <v>1973</v>
      </c>
      <c r="L207" s="129" t="s">
        <v>1963</v>
      </c>
      <c r="M207" s="130"/>
      <c r="N207" s="140"/>
      <c r="O207" s="150"/>
      <c r="P207" s="150"/>
      <c r="Q207" s="134"/>
      <c r="R207" s="134"/>
      <c r="S207" s="134"/>
      <c r="T207" s="134"/>
      <c r="U207" s="134"/>
      <c r="V207" s="134"/>
      <c r="W207" s="134"/>
      <c r="X207" s="134"/>
      <c r="Y207" s="134"/>
    </row>
    <row r="208">
      <c r="A208" s="126" t="s">
        <v>1649</v>
      </c>
      <c r="B208" s="127" t="s">
        <v>721</v>
      </c>
      <c r="C208" s="135" t="s">
        <v>1564</v>
      </c>
      <c r="D208" s="144" t="s">
        <v>720</v>
      </c>
      <c r="E208" s="74" t="s">
        <v>1233</v>
      </c>
      <c r="F208" s="63" t="s">
        <v>1650</v>
      </c>
      <c r="G208" s="129" t="s">
        <v>1640</v>
      </c>
      <c r="H208" s="133" t="s">
        <v>1972</v>
      </c>
      <c r="I208" s="129" t="s">
        <v>1973</v>
      </c>
      <c r="J208" s="130" t="s">
        <v>1973</v>
      </c>
      <c r="K208" s="129" t="s">
        <v>1973</v>
      </c>
      <c r="L208" s="129" t="s">
        <v>1963</v>
      </c>
      <c r="M208" s="130"/>
      <c r="N208" s="130" t="s">
        <v>1975</v>
      </c>
      <c r="O208" s="150"/>
      <c r="P208" s="150"/>
      <c r="Q208" s="134"/>
      <c r="R208" s="134"/>
      <c r="S208" s="134"/>
      <c r="T208" s="134"/>
      <c r="U208" s="134"/>
      <c r="V208" s="134"/>
      <c r="W208" s="134"/>
      <c r="X208" s="134"/>
      <c r="Y208" s="134"/>
    </row>
    <row r="209">
      <c r="A209" s="126" t="s">
        <v>1651</v>
      </c>
      <c r="B209" s="127" t="s">
        <v>723</v>
      </c>
      <c r="C209" s="135" t="s">
        <v>1564</v>
      </c>
      <c r="D209" s="144" t="s">
        <v>722</v>
      </c>
      <c r="E209" s="139" t="s">
        <v>1233</v>
      </c>
      <c r="F209" s="63" t="s">
        <v>1652</v>
      </c>
      <c r="G209" s="129" t="s">
        <v>1640</v>
      </c>
      <c r="H209" s="133"/>
      <c r="I209" s="129"/>
      <c r="J209" s="130"/>
      <c r="K209" s="130"/>
      <c r="L209" s="130"/>
      <c r="M209" s="130"/>
      <c r="N209" s="140"/>
      <c r="O209" s="150"/>
      <c r="P209" s="150"/>
      <c r="Q209" s="134"/>
      <c r="R209" s="134"/>
      <c r="S209" s="134"/>
      <c r="T209" s="134"/>
      <c r="U209" s="134"/>
      <c r="V209" s="134"/>
      <c r="W209" s="134"/>
      <c r="X209" s="134"/>
      <c r="Y209" s="134"/>
    </row>
    <row r="210">
      <c r="A210" s="126" t="s">
        <v>1653</v>
      </c>
      <c r="B210" s="127" t="s">
        <v>726</v>
      </c>
      <c r="C210" s="135" t="s">
        <v>1566</v>
      </c>
      <c r="D210" s="144" t="s">
        <v>725</v>
      </c>
      <c r="E210" s="74" t="s">
        <v>1233</v>
      </c>
      <c r="F210" s="63" t="s">
        <v>1654</v>
      </c>
      <c r="G210" s="129" t="s">
        <v>1973</v>
      </c>
      <c r="H210" s="129" t="s">
        <v>1972</v>
      </c>
      <c r="I210" s="129" t="s">
        <v>1973</v>
      </c>
      <c r="J210" s="129" t="s">
        <v>1973</v>
      </c>
      <c r="K210" s="129" t="s">
        <v>1973</v>
      </c>
      <c r="L210" s="130" t="s">
        <v>1963</v>
      </c>
      <c r="M210" s="130"/>
      <c r="N210" s="140"/>
      <c r="O210" s="150"/>
      <c r="P210" s="150"/>
      <c r="Q210" s="134"/>
      <c r="R210" s="134"/>
      <c r="S210" s="134"/>
      <c r="T210" s="134"/>
      <c r="U210" s="134"/>
      <c r="V210" s="134"/>
      <c r="W210" s="134"/>
      <c r="X210" s="134"/>
      <c r="Y210" s="134"/>
    </row>
    <row r="211">
      <c r="A211" s="126" t="s">
        <v>1655</v>
      </c>
      <c r="B211" s="127" t="s">
        <v>728</v>
      </c>
      <c r="C211" s="135" t="s">
        <v>1566</v>
      </c>
      <c r="D211" s="144" t="s">
        <v>727</v>
      </c>
      <c r="E211" s="74" t="s">
        <v>1233</v>
      </c>
      <c r="F211" s="63" t="s">
        <v>1656</v>
      </c>
      <c r="G211" s="129" t="s">
        <v>1640</v>
      </c>
      <c r="H211" s="133" t="s">
        <v>1972</v>
      </c>
      <c r="I211" s="129" t="s">
        <v>1973</v>
      </c>
      <c r="J211" s="130" t="s">
        <v>1973</v>
      </c>
      <c r="K211" s="130" t="s">
        <v>1973</v>
      </c>
      <c r="L211" s="130" t="s">
        <v>1963</v>
      </c>
      <c r="M211" s="130"/>
      <c r="N211" s="130" t="s">
        <v>1976</v>
      </c>
      <c r="O211" s="150"/>
      <c r="P211" s="150"/>
      <c r="Q211" s="134"/>
      <c r="R211" s="134"/>
      <c r="S211" s="134"/>
      <c r="T211" s="134"/>
      <c r="U211" s="134"/>
      <c r="V211" s="134"/>
      <c r="W211" s="134"/>
      <c r="X211" s="134"/>
      <c r="Y211" s="134"/>
    </row>
    <row r="212">
      <c r="A212" s="126" t="s">
        <v>1657</v>
      </c>
      <c r="B212" s="127" t="s">
        <v>731</v>
      </c>
      <c r="C212" s="135" t="s">
        <v>1568</v>
      </c>
      <c r="D212" s="144" t="s">
        <v>730</v>
      </c>
      <c r="E212" s="74" t="s">
        <v>1233</v>
      </c>
      <c r="F212" s="63" t="s">
        <v>1658</v>
      </c>
      <c r="G212" s="129" t="s">
        <v>1640</v>
      </c>
      <c r="H212" s="133" t="s">
        <v>1972</v>
      </c>
      <c r="I212" s="133" t="s">
        <v>1973</v>
      </c>
      <c r="J212" s="133" t="s">
        <v>1973</v>
      </c>
      <c r="K212" s="133" t="s">
        <v>1973</v>
      </c>
      <c r="L212" s="130" t="s">
        <v>1963</v>
      </c>
      <c r="M212" s="130"/>
      <c r="N212" s="140"/>
      <c r="O212" s="150"/>
      <c r="P212" s="150"/>
      <c r="Q212" s="134"/>
      <c r="R212" s="134"/>
      <c r="S212" s="134"/>
      <c r="T212" s="134"/>
      <c r="U212" s="134"/>
      <c r="V212" s="134"/>
      <c r="W212" s="134"/>
      <c r="X212" s="134"/>
      <c r="Y212" s="134"/>
    </row>
    <row r="213">
      <c r="A213" s="126" t="s">
        <v>1659</v>
      </c>
      <c r="B213" s="127" t="s">
        <v>736</v>
      </c>
      <c r="C213" s="135" t="s">
        <v>1568</v>
      </c>
      <c r="D213" s="144" t="s">
        <v>735</v>
      </c>
      <c r="E213" s="74" t="s">
        <v>1233</v>
      </c>
      <c r="F213" s="63" t="s">
        <v>1660</v>
      </c>
      <c r="G213" s="129" t="s">
        <v>1640</v>
      </c>
      <c r="H213" s="133" t="s">
        <v>1972</v>
      </c>
      <c r="I213" s="133" t="s">
        <v>1973</v>
      </c>
      <c r="J213" s="133" t="s">
        <v>1973</v>
      </c>
      <c r="K213" s="133" t="s">
        <v>1973</v>
      </c>
      <c r="L213" s="130" t="s">
        <v>1977</v>
      </c>
      <c r="M213" s="130"/>
      <c r="N213" s="130" t="s">
        <v>1978</v>
      </c>
      <c r="O213" s="150"/>
      <c r="P213" s="150"/>
      <c r="Q213" s="134"/>
      <c r="R213" s="134"/>
      <c r="S213" s="134"/>
      <c r="T213" s="134"/>
      <c r="U213" s="134"/>
      <c r="V213" s="134"/>
      <c r="W213" s="134"/>
      <c r="X213" s="134"/>
      <c r="Y213" s="134"/>
    </row>
    <row r="214">
      <c r="A214" s="126" t="s">
        <v>1661</v>
      </c>
      <c r="B214" s="127" t="s">
        <v>738</v>
      </c>
      <c r="C214" s="135" t="s">
        <v>1568</v>
      </c>
      <c r="D214" s="144" t="s">
        <v>737</v>
      </c>
      <c r="E214" s="139" t="s">
        <v>1233</v>
      </c>
      <c r="F214" s="63" t="s">
        <v>1662</v>
      </c>
      <c r="G214" s="129" t="s">
        <v>1640</v>
      </c>
      <c r="H214" s="133"/>
      <c r="I214" s="129"/>
      <c r="J214" s="130"/>
      <c r="K214" s="130"/>
      <c r="L214" s="130"/>
      <c r="M214" s="130"/>
      <c r="N214" s="140"/>
      <c r="O214" s="150"/>
      <c r="P214" s="150"/>
      <c r="Q214" s="134"/>
      <c r="R214" s="134"/>
      <c r="S214" s="134"/>
      <c r="T214" s="134"/>
      <c r="U214" s="134"/>
      <c r="V214" s="134"/>
      <c r="W214" s="134"/>
      <c r="X214" s="134"/>
      <c r="Y214" s="134"/>
    </row>
    <row r="215">
      <c r="A215" s="126" t="s">
        <v>1663</v>
      </c>
      <c r="B215" s="127" t="s">
        <v>742</v>
      </c>
      <c r="C215" s="135" t="s">
        <v>1570</v>
      </c>
      <c r="D215" s="144" t="s">
        <v>741</v>
      </c>
      <c r="E215" s="74" t="s">
        <v>1233</v>
      </c>
      <c r="F215" s="63" t="s">
        <v>1664</v>
      </c>
      <c r="G215" s="129" t="s">
        <v>1640</v>
      </c>
      <c r="H215" s="133" t="s">
        <v>1972</v>
      </c>
      <c r="I215" s="129" t="s">
        <v>1973</v>
      </c>
      <c r="J215" s="129" t="s">
        <v>1973</v>
      </c>
      <c r="K215" s="129" t="s">
        <v>1973</v>
      </c>
      <c r="L215" s="130" t="s">
        <v>1963</v>
      </c>
      <c r="M215" s="130"/>
      <c r="N215" s="140"/>
      <c r="O215" s="150"/>
      <c r="P215" s="150"/>
      <c r="Q215" s="134"/>
      <c r="R215" s="134"/>
      <c r="S215" s="134"/>
      <c r="T215" s="134"/>
      <c r="U215" s="134"/>
      <c r="V215" s="134"/>
      <c r="W215" s="134"/>
      <c r="X215" s="134"/>
      <c r="Y215" s="134"/>
    </row>
    <row r="216">
      <c r="A216" s="126" t="s">
        <v>1665</v>
      </c>
      <c r="B216" s="127" t="s">
        <v>745</v>
      </c>
      <c r="C216" s="135" t="s">
        <v>1570</v>
      </c>
      <c r="D216" s="144" t="s">
        <v>744</v>
      </c>
      <c r="E216" s="74" t="s">
        <v>1233</v>
      </c>
      <c r="F216" s="63" t="s">
        <v>1666</v>
      </c>
      <c r="G216" s="129" t="s">
        <v>1640</v>
      </c>
      <c r="H216" s="133" t="s">
        <v>1972</v>
      </c>
      <c r="I216" s="129" t="s">
        <v>1973</v>
      </c>
      <c r="J216" s="129" t="s">
        <v>1973</v>
      </c>
      <c r="K216" s="129" t="s">
        <v>1973</v>
      </c>
      <c r="L216" s="130" t="s">
        <v>1963</v>
      </c>
      <c r="M216" s="130"/>
      <c r="N216" s="140"/>
      <c r="O216" s="150"/>
      <c r="P216" s="150"/>
      <c r="Q216" s="134"/>
      <c r="R216" s="134"/>
      <c r="S216" s="134"/>
      <c r="T216" s="134"/>
      <c r="U216" s="134"/>
      <c r="V216" s="134"/>
      <c r="W216" s="134"/>
      <c r="X216" s="134"/>
      <c r="Y216" s="134"/>
    </row>
    <row r="217">
      <c r="A217" s="126" t="s">
        <v>1667</v>
      </c>
      <c r="B217" s="127" t="s">
        <v>751</v>
      </c>
      <c r="C217" s="135" t="s">
        <v>1576</v>
      </c>
      <c r="D217" s="144" t="s">
        <v>750</v>
      </c>
      <c r="E217" s="74" t="s">
        <v>1233</v>
      </c>
      <c r="F217" s="63" t="s">
        <v>1668</v>
      </c>
      <c r="G217" s="129" t="s">
        <v>1640</v>
      </c>
      <c r="H217" s="133" t="s">
        <v>1972</v>
      </c>
      <c r="I217" s="129" t="s">
        <v>1973</v>
      </c>
      <c r="J217" s="129" t="s">
        <v>1973</v>
      </c>
      <c r="K217" s="129" t="s">
        <v>1973</v>
      </c>
      <c r="L217" s="130" t="s">
        <v>1963</v>
      </c>
      <c r="M217" s="130"/>
      <c r="N217" s="140"/>
      <c r="O217" s="150"/>
      <c r="P217" s="150"/>
      <c r="Q217" s="134"/>
      <c r="R217" s="134"/>
      <c r="S217" s="134"/>
      <c r="T217" s="134"/>
      <c r="U217" s="134"/>
      <c r="V217" s="134"/>
      <c r="W217" s="134"/>
      <c r="X217" s="134"/>
      <c r="Y217" s="134"/>
    </row>
    <row r="218">
      <c r="A218" s="126" t="s">
        <v>1669</v>
      </c>
      <c r="B218" s="127" t="s">
        <v>756</v>
      </c>
      <c r="C218" s="135" t="s">
        <v>1580</v>
      </c>
      <c r="D218" s="144" t="s">
        <v>755</v>
      </c>
      <c r="E218" s="139" t="s">
        <v>1233</v>
      </c>
      <c r="F218" s="63" t="s">
        <v>1670</v>
      </c>
      <c r="G218" s="129" t="s">
        <v>1640</v>
      </c>
      <c r="H218" s="133"/>
      <c r="I218" s="129"/>
      <c r="J218" s="130"/>
      <c r="K218" s="130"/>
      <c r="L218" s="130"/>
      <c r="M218" s="130"/>
      <c r="N218" s="140"/>
      <c r="O218" s="150"/>
      <c r="P218" s="150"/>
      <c r="Q218" s="134"/>
      <c r="R218" s="134"/>
      <c r="S218" s="134"/>
      <c r="T218" s="134"/>
      <c r="U218" s="134"/>
      <c r="V218" s="134"/>
      <c r="W218" s="134"/>
      <c r="X218" s="134"/>
      <c r="Y218" s="134"/>
    </row>
    <row r="219">
      <c r="A219" s="126" t="s">
        <v>1671</v>
      </c>
      <c r="B219" s="127" t="s">
        <v>758</v>
      </c>
      <c r="C219" s="135" t="s">
        <v>1580</v>
      </c>
      <c r="D219" s="144" t="s">
        <v>757</v>
      </c>
      <c r="E219" s="74" t="s">
        <v>1233</v>
      </c>
      <c r="F219" s="63" t="s">
        <v>1672</v>
      </c>
      <c r="G219" s="129" t="s">
        <v>1640</v>
      </c>
      <c r="H219" s="133" t="s">
        <v>1972</v>
      </c>
      <c r="I219" s="129" t="s">
        <v>1973</v>
      </c>
      <c r="J219" s="129" t="s">
        <v>1973</v>
      </c>
      <c r="K219" s="129" t="s">
        <v>1973</v>
      </c>
      <c r="L219" s="130" t="s">
        <v>1963</v>
      </c>
      <c r="M219" s="130"/>
      <c r="N219" s="140"/>
      <c r="O219" s="150"/>
      <c r="P219" s="150"/>
      <c r="Q219" s="134"/>
      <c r="R219" s="134"/>
      <c r="S219" s="134"/>
      <c r="T219" s="134"/>
      <c r="U219" s="134"/>
      <c r="V219" s="134"/>
      <c r="W219" s="134"/>
      <c r="X219" s="134"/>
      <c r="Y219" s="134"/>
    </row>
    <row r="220">
      <c r="A220" s="126" t="s">
        <v>1673</v>
      </c>
      <c r="B220" s="127" t="s">
        <v>763</v>
      </c>
      <c r="C220" s="135" t="s">
        <v>1584</v>
      </c>
      <c r="D220" s="144" t="s">
        <v>762</v>
      </c>
      <c r="E220" s="74" t="s">
        <v>1233</v>
      </c>
      <c r="F220" s="63" t="s">
        <v>1674</v>
      </c>
      <c r="G220" s="129" t="s">
        <v>1640</v>
      </c>
      <c r="H220" s="133" t="s">
        <v>1972</v>
      </c>
      <c r="I220" s="129" t="s">
        <v>1973</v>
      </c>
      <c r="J220" s="129" t="s">
        <v>1973</v>
      </c>
      <c r="K220" s="129" t="s">
        <v>1973</v>
      </c>
      <c r="L220" s="130" t="s">
        <v>1963</v>
      </c>
      <c r="M220" s="130"/>
      <c r="N220" s="140"/>
      <c r="O220" s="150"/>
      <c r="P220" s="150"/>
      <c r="Q220" s="134"/>
      <c r="R220" s="134"/>
      <c r="S220" s="134"/>
      <c r="T220" s="134"/>
      <c r="U220" s="134"/>
      <c r="V220" s="134"/>
      <c r="W220" s="134"/>
      <c r="X220" s="134"/>
      <c r="Y220" s="134"/>
    </row>
    <row r="221">
      <c r="A221" s="126" t="s">
        <v>1675</v>
      </c>
      <c r="B221" s="127" t="s">
        <v>766</v>
      </c>
      <c r="C221" s="135" t="s">
        <v>1586</v>
      </c>
      <c r="D221" s="144" t="s">
        <v>765</v>
      </c>
      <c r="E221" s="74" t="s">
        <v>1233</v>
      </c>
      <c r="F221" s="63" t="s">
        <v>1676</v>
      </c>
      <c r="G221" s="129" t="s">
        <v>1640</v>
      </c>
      <c r="H221" s="133" t="s">
        <v>1972</v>
      </c>
      <c r="I221" s="129" t="s">
        <v>1973</v>
      </c>
      <c r="J221" s="129" t="s">
        <v>1973</v>
      </c>
      <c r="K221" s="129" t="s">
        <v>1973</v>
      </c>
      <c r="L221" s="130" t="s">
        <v>1963</v>
      </c>
      <c r="M221" s="130"/>
      <c r="N221" s="140"/>
      <c r="O221" s="150"/>
      <c r="P221" s="150"/>
      <c r="Q221" s="134"/>
      <c r="R221" s="134"/>
      <c r="S221" s="134"/>
      <c r="T221" s="134"/>
      <c r="U221" s="134"/>
      <c r="V221" s="134"/>
      <c r="W221" s="134"/>
      <c r="X221" s="134"/>
      <c r="Y221" s="134"/>
    </row>
    <row r="222">
      <c r="A222" s="126" t="s">
        <v>1677</v>
      </c>
      <c r="B222" s="127" t="s">
        <v>769</v>
      </c>
      <c r="C222" s="135" t="s">
        <v>1588</v>
      </c>
      <c r="D222" s="144" t="s">
        <v>769</v>
      </c>
      <c r="E222" s="74" t="s">
        <v>1233</v>
      </c>
      <c r="F222" s="63" t="s">
        <v>1678</v>
      </c>
      <c r="G222" s="129" t="s">
        <v>1640</v>
      </c>
      <c r="H222" s="133" t="s">
        <v>1972</v>
      </c>
      <c r="I222" s="129" t="s">
        <v>1973</v>
      </c>
      <c r="J222" s="129" t="s">
        <v>1973</v>
      </c>
      <c r="K222" s="129" t="s">
        <v>1973</v>
      </c>
      <c r="L222" s="130" t="s">
        <v>1963</v>
      </c>
      <c r="M222" s="130"/>
      <c r="N222" s="140"/>
      <c r="O222" s="150"/>
      <c r="P222" s="150"/>
      <c r="Q222" s="134"/>
      <c r="R222" s="134"/>
      <c r="S222" s="134"/>
      <c r="T222" s="134"/>
      <c r="U222" s="134"/>
      <c r="V222" s="134"/>
      <c r="W222" s="134"/>
      <c r="X222" s="134"/>
      <c r="Y222" s="134"/>
    </row>
    <row r="223">
      <c r="A223" s="126" t="s">
        <v>1679</v>
      </c>
      <c r="B223" s="127" t="s">
        <v>773</v>
      </c>
      <c r="C223" s="135" t="s">
        <v>1588</v>
      </c>
      <c r="D223" s="144" t="s">
        <v>772</v>
      </c>
      <c r="E223" s="74" t="s">
        <v>1233</v>
      </c>
      <c r="F223" s="63" t="s">
        <v>1680</v>
      </c>
      <c r="G223" s="129" t="s">
        <v>1640</v>
      </c>
      <c r="H223" s="133" t="s">
        <v>1972</v>
      </c>
      <c r="I223" s="129" t="s">
        <v>1973</v>
      </c>
      <c r="J223" s="129" t="s">
        <v>1973</v>
      </c>
      <c r="K223" s="129" t="s">
        <v>1973</v>
      </c>
      <c r="L223" s="130" t="s">
        <v>1963</v>
      </c>
      <c r="M223" s="130"/>
      <c r="N223" s="140"/>
      <c r="O223" s="150"/>
      <c r="P223" s="150"/>
      <c r="Q223" s="134"/>
      <c r="R223" s="134"/>
      <c r="S223" s="134"/>
      <c r="T223" s="134"/>
      <c r="U223" s="134"/>
      <c r="V223" s="134"/>
      <c r="W223" s="134"/>
      <c r="X223" s="134"/>
      <c r="Y223" s="134"/>
    </row>
    <row r="224">
      <c r="A224" s="126" t="s">
        <v>1681</v>
      </c>
      <c r="B224" s="127" t="s">
        <v>777</v>
      </c>
      <c r="C224" s="135" t="s">
        <v>1590</v>
      </c>
      <c r="D224" s="144" t="s">
        <v>776</v>
      </c>
      <c r="E224" s="74" t="s">
        <v>1233</v>
      </c>
      <c r="F224" s="63" t="s">
        <v>1682</v>
      </c>
      <c r="G224" s="129" t="s">
        <v>1640</v>
      </c>
      <c r="H224" s="133" t="s">
        <v>1972</v>
      </c>
      <c r="I224" s="129" t="s">
        <v>1973</v>
      </c>
      <c r="J224" s="129" t="s">
        <v>1973</v>
      </c>
      <c r="K224" s="129" t="s">
        <v>1973</v>
      </c>
      <c r="L224" s="130" t="s">
        <v>1963</v>
      </c>
      <c r="M224" s="130"/>
      <c r="N224" s="130" t="s">
        <v>1976</v>
      </c>
      <c r="O224" s="150"/>
      <c r="P224" s="150"/>
      <c r="Q224" s="134"/>
      <c r="R224" s="134"/>
      <c r="S224" s="134"/>
      <c r="T224" s="134"/>
      <c r="U224" s="134"/>
      <c r="V224" s="134"/>
      <c r="W224" s="134"/>
      <c r="X224" s="134"/>
      <c r="Y224" s="134"/>
    </row>
    <row r="225">
      <c r="A225" s="126" t="s">
        <v>1683</v>
      </c>
      <c r="B225" s="127" t="s">
        <v>782</v>
      </c>
      <c r="C225" s="135" t="s">
        <v>1590</v>
      </c>
      <c r="D225" s="144" t="s">
        <v>781</v>
      </c>
      <c r="E225" s="74" t="s">
        <v>1233</v>
      </c>
      <c r="F225" s="63" t="s">
        <v>1684</v>
      </c>
      <c r="G225" s="129" t="s">
        <v>1640</v>
      </c>
      <c r="H225" s="133" t="s">
        <v>1972</v>
      </c>
      <c r="I225" s="129" t="s">
        <v>1973</v>
      </c>
      <c r="J225" s="129" t="s">
        <v>1973</v>
      </c>
      <c r="K225" s="129" t="s">
        <v>1973</v>
      </c>
      <c r="L225" s="130" t="s">
        <v>1963</v>
      </c>
      <c r="M225" s="129"/>
      <c r="N225" s="129"/>
      <c r="O225" s="150"/>
      <c r="P225" s="150"/>
      <c r="Q225" s="134"/>
      <c r="R225" s="134"/>
      <c r="S225" s="134"/>
      <c r="T225" s="134"/>
      <c r="U225" s="134"/>
      <c r="V225" s="134"/>
      <c r="W225" s="134"/>
      <c r="X225" s="134"/>
      <c r="Y225" s="134"/>
    </row>
    <row r="226">
      <c r="A226" s="126" t="s">
        <v>1685</v>
      </c>
      <c r="B226" s="127" t="s">
        <v>784</v>
      </c>
      <c r="C226" s="135" t="s">
        <v>1590</v>
      </c>
      <c r="D226" s="144" t="s">
        <v>783</v>
      </c>
      <c r="E226" s="74" t="s">
        <v>1233</v>
      </c>
      <c r="F226" s="63" t="s">
        <v>1686</v>
      </c>
      <c r="G226" s="129" t="s">
        <v>1640</v>
      </c>
      <c r="H226" s="133" t="s">
        <v>1972</v>
      </c>
      <c r="I226" s="129" t="s">
        <v>1973</v>
      </c>
      <c r="J226" s="129" t="s">
        <v>1973</v>
      </c>
      <c r="K226" s="129" t="s">
        <v>1973</v>
      </c>
      <c r="L226" s="130" t="s">
        <v>1963</v>
      </c>
      <c r="M226" s="130"/>
      <c r="N226" s="140"/>
      <c r="O226" s="150"/>
      <c r="P226" s="150"/>
      <c r="Q226" s="134"/>
      <c r="R226" s="134"/>
      <c r="S226" s="134"/>
      <c r="T226" s="134"/>
      <c r="U226" s="134"/>
      <c r="V226" s="134"/>
      <c r="W226" s="134"/>
      <c r="X226" s="134"/>
      <c r="Y226" s="134"/>
    </row>
    <row r="227">
      <c r="A227" s="126" t="s">
        <v>1687</v>
      </c>
      <c r="B227" s="127" t="s">
        <v>786</v>
      </c>
      <c r="C227" s="135" t="s">
        <v>1590</v>
      </c>
      <c r="D227" s="144" t="s">
        <v>785</v>
      </c>
      <c r="E227" s="74" t="s">
        <v>1233</v>
      </c>
      <c r="F227" s="63" t="s">
        <v>1688</v>
      </c>
      <c r="G227" s="129" t="s">
        <v>1640</v>
      </c>
      <c r="H227" s="133" t="s">
        <v>1972</v>
      </c>
      <c r="I227" s="129" t="s">
        <v>1973</v>
      </c>
      <c r="J227" s="129" t="s">
        <v>1973</v>
      </c>
      <c r="K227" s="129" t="s">
        <v>1973</v>
      </c>
      <c r="L227" s="130" t="s">
        <v>1963</v>
      </c>
      <c r="M227" s="130"/>
      <c r="N227" s="130" t="s">
        <v>1976</v>
      </c>
      <c r="O227" s="150"/>
      <c r="P227" s="150"/>
      <c r="Q227" s="134"/>
      <c r="R227" s="134"/>
      <c r="S227" s="134"/>
      <c r="T227" s="134"/>
      <c r="U227" s="134"/>
      <c r="V227" s="134"/>
      <c r="W227" s="134"/>
      <c r="X227" s="134"/>
      <c r="Y227" s="134"/>
    </row>
    <row r="228">
      <c r="A228" s="126" t="s">
        <v>1689</v>
      </c>
      <c r="B228" s="127" t="s">
        <v>790</v>
      </c>
      <c r="C228" s="135" t="s">
        <v>1592</v>
      </c>
      <c r="D228" s="144" t="s">
        <v>789</v>
      </c>
      <c r="E228" s="139" t="s">
        <v>1233</v>
      </c>
      <c r="F228" s="63" t="s">
        <v>1690</v>
      </c>
      <c r="G228" s="129" t="s">
        <v>1640</v>
      </c>
      <c r="H228" s="133" t="s">
        <v>1972</v>
      </c>
      <c r="I228" s="129" t="s">
        <v>1973</v>
      </c>
      <c r="J228" s="129" t="s">
        <v>1973</v>
      </c>
      <c r="K228" s="129" t="s">
        <v>1973</v>
      </c>
      <c r="L228" s="130" t="s">
        <v>1963</v>
      </c>
      <c r="M228" s="130"/>
      <c r="N228" s="140"/>
      <c r="O228" s="150"/>
      <c r="P228" s="150"/>
      <c r="Q228" s="134"/>
      <c r="R228" s="134"/>
      <c r="S228" s="134"/>
      <c r="T228" s="134"/>
      <c r="U228" s="134"/>
      <c r="V228" s="134"/>
      <c r="W228" s="134"/>
      <c r="X228" s="134"/>
      <c r="Y228" s="134"/>
    </row>
    <row r="229">
      <c r="A229" s="126" t="s">
        <v>1691</v>
      </c>
      <c r="B229" s="127" t="s">
        <v>795</v>
      </c>
      <c r="C229" s="135" t="s">
        <v>1594</v>
      </c>
      <c r="D229" s="144" t="s">
        <v>794</v>
      </c>
      <c r="E229" s="74" t="s">
        <v>1233</v>
      </c>
      <c r="F229" s="63" t="s">
        <v>1692</v>
      </c>
      <c r="G229" s="129" t="s">
        <v>1640</v>
      </c>
      <c r="H229" s="133" t="s">
        <v>1972</v>
      </c>
      <c r="I229" s="129" t="s">
        <v>1973</v>
      </c>
      <c r="J229" s="129" t="s">
        <v>1973</v>
      </c>
      <c r="K229" s="129" t="s">
        <v>1973</v>
      </c>
      <c r="L229" s="130" t="s">
        <v>1963</v>
      </c>
      <c r="M229" s="130"/>
      <c r="N229" s="130" t="s">
        <v>1963</v>
      </c>
      <c r="O229" s="150"/>
      <c r="P229" s="150"/>
      <c r="Q229" s="134"/>
      <c r="R229" s="134"/>
      <c r="S229" s="134"/>
      <c r="T229" s="134"/>
      <c r="U229" s="134"/>
      <c r="V229" s="134"/>
      <c r="W229" s="134"/>
      <c r="X229" s="134"/>
      <c r="Y229" s="134"/>
    </row>
    <row r="230">
      <c r="A230" s="126" t="s">
        <v>1693</v>
      </c>
      <c r="B230" s="127" t="s">
        <v>802</v>
      </c>
      <c r="C230" s="135" t="s">
        <v>1602</v>
      </c>
      <c r="D230" s="144" t="s">
        <v>801</v>
      </c>
      <c r="E230" s="139" t="s">
        <v>1233</v>
      </c>
      <c r="F230" s="63" t="s">
        <v>1694</v>
      </c>
      <c r="G230" s="129" t="s">
        <v>1640</v>
      </c>
      <c r="H230" s="133"/>
      <c r="I230" s="129"/>
      <c r="J230" s="130"/>
      <c r="K230" s="130"/>
      <c r="L230" s="130"/>
      <c r="M230" s="130"/>
      <c r="N230" s="140"/>
      <c r="O230" s="150"/>
      <c r="P230" s="150"/>
      <c r="Q230" s="134"/>
      <c r="R230" s="134"/>
      <c r="S230" s="134"/>
      <c r="T230" s="134"/>
      <c r="U230" s="134"/>
      <c r="V230" s="134"/>
      <c r="W230" s="134"/>
      <c r="X230" s="134"/>
      <c r="Y230" s="134"/>
    </row>
    <row r="231">
      <c r="A231" s="126" t="s">
        <v>1695</v>
      </c>
      <c r="B231" s="127" t="s">
        <v>809</v>
      </c>
      <c r="C231" s="135" t="s">
        <v>1606</v>
      </c>
      <c r="D231" s="144" t="s">
        <v>808</v>
      </c>
      <c r="E231" s="139" t="s">
        <v>1233</v>
      </c>
      <c r="F231" s="63" t="s">
        <v>1696</v>
      </c>
      <c r="G231" s="129" t="s">
        <v>1640</v>
      </c>
      <c r="H231" s="133"/>
      <c r="I231" s="129"/>
      <c r="J231" s="130"/>
      <c r="K231" s="130"/>
      <c r="L231" s="130"/>
      <c r="M231" s="130"/>
      <c r="N231" s="140"/>
      <c r="O231" s="150"/>
      <c r="P231" s="150"/>
      <c r="Q231" s="134"/>
      <c r="R231" s="134"/>
      <c r="S231" s="134"/>
      <c r="T231" s="134"/>
      <c r="U231" s="134"/>
      <c r="V231" s="134"/>
      <c r="W231" s="134"/>
      <c r="X231" s="134"/>
      <c r="Y231" s="134"/>
    </row>
    <row r="232">
      <c r="A232" s="126" t="s">
        <v>1697</v>
      </c>
      <c r="B232" s="127" t="s">
        <v>813</v>
      </c>
      <c r="C232" s="135" t="s">
        <v>1608</v>
      </c>
      <c r="D232" s="144" t="s">
        <v>812</v>
      </c>
      <c r="E232" s="139" t="s">
        <v>1233</v>
      </c>
      <c r="F232" s="63" t="s">
        <v>1698</v>
      </c>
      <c r="G232" s="129" t="s">
        <v>1640</v>
      </c>
      <c r="H232" s="133"/>
      <c r="I232" s="129"/>
      <c r="J232" s="130"/>
      <c r="K232" s="130"/>
      <c r="L232" s="130"/>
      <c r="M232" s="130"/>
      <c r="N232" s="140"/>
      <c r="O232" s="150"/>
      <c r="P232" s="150"/>
      <c r="Q232" s="134"/>
      <c r="R232" s="134"/>
      <c r="S232" s="134"/>
      <c r="T232" s="134"/>
      <c r="U232" s="134"/>
      <c r="V232" s="134"/>
      <c r="W232" s="134"/>
      <c r="X232" s="134"/>
      <c r="Y232" s="134"/>
    </row>
    <row r="233">
      <c r="A233" s="126" t="s">
        <v>1699</v>
      </c>
      <c r="B233" s="127" t="s">
        <v>818</v>
      </c>
      <c r="C233" s="135" t="s">
        <v>1612</v>
      </c>
      <c r="D233" s="144" t="s">
        <v>817</v>
      </c>
      <c r="E233" s="139" t="s">
        <v>1233</v>
      </c>
      <c r="F233" s="63" t="s">
        <v>1700</v>
      </c>
      <c r="G233" s="129" t="s">
        <v>1640</v>
      </c>
      <c r="H233" s="133"/>
      <c r="I233" s="129"/>
      <c r="J233" s="130"/>
      <c r="K233" s="130"/>
      <c r="L233" s="130"/>
      <c r="M233" s="130"/>
      <c r="N233" s="140"/>
      <c r="O233" s="150"/>
      <c r="P233" s="150"/>
      <c r="Q233" s="134"/>
      <c r="R233" s="134"/>
      <c r="S233" s="134"/>
      <c r="T233" s="134"/>
      <c r="U233" s="134"/>
      <c r="V233" s="134"/>
      <c r="W233" s="134"/>
      <c r="X233" s="134"/>
      <c r="Y233" s="134"/>
    </row>
    <row r="234">
      <c r="A234" s="126" t="s">
        <v>1701</v>
      </c>
      <c r="B234" s="127" t="s">
        <v>821</v>
      </c>
      <c r="C234" s="135" t="s">
        <v>1614</v>
      </c>
      <c r="D234" s="144" t="s">
        <v>820</v>
      </c>
      <c r="E234" s="139" t="s">
        <v>1233</v>
      </c>
      <c r="F234" s="63" t="s">
        <v>1702</v>
      </c>
      <c r="G234" s="129" t="s">
        <v>1640</v>
      </c>
      <c r="H234" s="133"/>
      <c r="I234" s="129"/>
      <c r="J234" s="130"/>
      <c r="K234" s="130"/>
      <c r="L234" s="130"/>
      <c r="M234" s="130"/>
      <c r="N234" s="140"/>
      <c r="O234" s="150"/>
      <c r="P234" s="150"/>
      <c r="Q234" s="134"/>
      <c r="R234" s="134"/>
      <c r="S234" s="134"/>
      <c r="T234" s="134"/>
      <c r="U234" s="134"/>
      <c r="V234" s="134"/>
      <c r="W234" s="134"/>
      <c r="X234" s="134"/>
      <c r="Y234" s="134"/>
    </row>
    <row r="235">
      <c r="A235" s="126" t="s">
        <v>1703</v>
      </c>
      <c r="B235" s="127" t="s">
        <v>829</v>
      </c>
      <c r="C235" s="135" t="s">
        <v>1622</v>
      </c>
      <c r="D235" s="144" t="s">
        <v>828</v>
      </c>
      <c r="E235" s="139" t="s">
        <v>1233</v>
      </c>
      <c r="F235" s="63" t="s">
        <v>1704</v>
      </c>
      <c r="G235" s="129" t="s">
        <v>1640</v>
      </c>
      <c r="H235" s="133"/>
      <c r="I235" s="129"/>
      <c r="J235" s="130"/>
      <c r="K235" s="130"/>
      <c r="L235" s="130"/>
      <c r="M235" s="130"/>
      <c r="N235" s="140"/>
      <c r="O235" s="150"/>
      <c r="P235" s="150"/>
      <c r="Q235" s="134"/>
      <c r="R235" s="134"/>
      <c r="S235" s="134"/>
      <c r="T235" s="134"/>
      <c r="U235" s="134"/>
      <c r="V235" s="134"/>
      <c r="W235" s="134"/>
      <c r="X235" s="134"/>
      <c r="Y235" s="134"/>
    </row>
    <row r="236">
      <c r="A236" s="126" t="s">
        <v>1705</v>
      </c>
      <c r="B236" s="127" t="s">
        <v>831</v>
      </c>
      <c r="C236" s="135" t="s">
        <v>1622</v>
      </c>
      <c r="D236" s="144" t="s">
        <v>830</v>
      </c>
      <c r="E236" s="139" t="s">
        <v>1233</v>
      </c>
      <c r="F236" s="63" t="s">
        <v>1706</v>
      </c>
      <c r="G236" s="129" t="s">
        <v>1640</v>
      </c>
      <c r="H236" s="133"/>
      <c r="I236" s="129"/>
      <c r="J236" s="130"/>
      <c r="K236" s="130"/>
      <c r="L236" s="130"/>
      <c r="M236" s="130"/>
      <c r="N236" s="140"/>
      <c r="O236" s="150"/>
      <c r="P236" s="150"/>
      <c r="Q236" s="134"/>
      <c r="R236" s="134"/>
      <c r="S236" s="134"/>
      <c r="T236" s="134"/>
      <c r="U236" s="134"/>
      <c r="V236" s="134"/>
      <c r="W236" s="134"/>
      <c r="X236" s="134"/>
      <c r="Y236" s="134"/>
    </row>
    <row r="237">
      <c r="A237" s="126" t="s">
        <v>1707</v>
      </c>
      <c r="B237" s="127" t="s">
        <v>835</v>
      </c>
      <c r="C237" s="135" t="s">
        <v>1624</v>
      </c>
      <c r="D237" s="144" t="s">
        <v>834</v>
      </c>
      <c r="E237" s="139" t="s">
        <v>1233</v>
      </c>
      <c r="F237" s="63" t="s">
        <v>1708</v>
      </c>
      <c r="G237" s="129" t="s">
        <v>1640</v>
      </c>
      <c r="H237" s="133"/>
      <c r="I237" s="129"/>
      <c r="J237" s="130"/>
      <c r="K237" s="130"/>
      <c r="L237" s="130"/>
      <c r="M237" s="130"/>
      <c r="N237" s="140"/>
      <c r="O237" s="150"/>
      <c r="P237" s="150"/>
      <c r="Q237" s="134"/>
      <c r="R237" s="134"/>
      <c r="S237" s="134"/>
      <c r="T237" s="134"/>
      <c r="U237" s="134"/>
      <c r="V237" s="134"/>
      <c r="W237" s="134"/>
      <c r="X237" s="134"/>
      <c r="Y237" s="134"/>
    </row>
    <row r="238">
      <c r="A238" s="126" t="s">
        <v>1709</v>
      </c>
      <c r="B238" s="127" t="s">
        <v>837</v>
      </c>
      <c r="C238" s="135" t="s">
        <v>1624</v>
      </c>
      <c r="D238" s="144" t="s">
        <v>836</v>
      </c>
      <c r="E238" s="139" t="s">
        <v>1233</v>
      </c>
      <c r="F238" s="63" t="s">
        <v>1710</v>
      </c>
      <c r="G238" s="129" t="s">
        <v>1640</v>
      </c>
      <c r="H238" s="133"/>
      <c r="I238" s="129"/>
      <c r="J238" s="130"/>
      <c r="K238" s="130"/>
      <c r="L238" s="130"/>
      <c r="M238" s="130"/>
      <c r="N238" s="140"/>
      <c r="O238" s="150"/>
      <c r="P238" s="150"/>
      <c r="Q238" s="134"/>
      <c r="R238" s="134"/>
      <c r="S238" s="134"/>
      <c r="T238" s="134"/>
      <c r="U238" s="134"/>
      <c r="V238" s="134"/>
      <c r="W238" s="134"/>
      <c r="X238" s="134"/>
      <c r="Y238" s="134"/>
    </row>
    <row r="239">
      <c r="A239" s="126" t="s">
        <v>1711</v>
      </c>
      <c r="B239" s="127" t="s">
        <v>839</v>
      </c>
      <c r="C239" s="135" t="s">
        <v>1624</v>
      </c>
      <c r="D239" s="144" t="s">
        <v>838</v>
      </c>
      <c r="E239" s="139" t="s">
        <v>1233</v>
      </c>
      <c r="F239" s="63" t="s">
        <v>1712</v>
      </c>
      <c r="G239" s="129" t="s">
        <v>1640</v>
      </c>
      <c r="H239" s="133"/>
      <c r="I239" s="129"/>
      <c r="J239" s="130"/>
      <c r="K239" s="130"/>
      <c r="L239" s="130"/>
      <c r="M239" s="130"/>
      <c r="N239" s="140"/>
      <c r="O239" s="150"/>
      <c r="P239" s="150"/>
      <c r="Q239" s="134"/>
      <c r="R239" s="134"/>
      <c r="S239" s="134"/>
      <c r="T239" s="134"/>
      <c r="U239" s="134"/>
      <c r="V239" s="134"/>
      <c r="W239" s="134"/>
      <c r="X239" s="134"/>
      <c r="Y239" s="134"/>
    </row>
    <row r="240">
      <c r="A240" s="126" t="s">
        <v>1713</v>
      </c>
      <c r="B240" s="127" t="s">
        <v>842</v>
      </c>
      <c r="C240" s="135" t="s">
        <v>1626</v>
      </c>
      <c r="D240" s="144" t="s">
        <v>841</v>
      </c>
      <c r="E240" s="139" t="s">
        <v>1233</v>
      </c>
      <c r="F240" s="63" t="s">
        <v>1714</v>
      </c>
      <c r="G240" s="129" t="s">
        <v>1640</v>
      </c>
      <c r="H240" s="133"/>
      <c r="I240" s="129"/>
      <c r="J240" s="130"/>
      <c r="K240" s="130"/>
      <c r="L240" s="130"/>
      <c r="M240" s="130"/>
      <c r="N240" s="140"/>
      <c r="O240" s="150"/>
      <c r="P240" s="150"/>
      <c r="Q240" s="134"/>
      <c r="R240" s="134"/>
      <c r="S240" s="134"/>
      <c r="T240" s="134"/>
      <c r="U240" s="134"/>
      <c r="V240" s="134"/>
      <c r="W240" s="134"/>
      <c r="X240" s="134"/>
      <c r="Y240" s="134"/>
    </row>
    <row r="241">
      <c r="A241" s="126" t="s">
        <v>1715</v>
      </c>
      <c r="B241" s="127" t="s">
        <v>855</v>
      </c>
      <c r="C241" s="135" t="s">
        <v>1634</v>
      </c>
      <c r="D241" s="144" t="s">
        <v>854</v>
      </c>
      <c r="E241" s="139" t="s">
        <v>1233</v>
      </c>
      <c r="F241" s="63" t="s">
        <v>1716</v>
      </c>
      <c r="G241" s="129" t="s">
        <v>1640</v>
      </c>
      <c r="H241" s="133"/>
      <c r="I241" s="129"/>
      <c r="J241" s="130"/>
      <c r="K241" s="130"/>
      <c r="L241" s="130"/>
      <c r="M241" s="130"/>
      <c r="N241" s="140"/>
      <c r="O241" s="150"/>
      <c r="P241" s="150"/>
      <c r="Q241" s="134"/>
      <c r="R241" s="134"/>
      <c r="S241" s="134"/>
      <c r="T241" s="134"/>
      <c r="U241" s="134"/>
      <c r="V241" s="134"/>
      <c r="W241" s="134"/>
      <c r="X241" s="134"/>
      <c r="Y241" s="134"/>
    </row>
    <row r="242">
      <c r="A242" s="126" t="s">
        <v>1717</v>
      </c>
      <c r="B242" s="127" t="s">
        <v>857</v>
      </c>
      <c r="C242" s="135" t="s">
        <v>1634</v>
      </c>
      <c r="D242" s="144" t="s">
        <v>856</v>
      </c>
      <c r="E242" s="139" t="s">
        <v>1233</v>
      </c>
      <c r="F242" s="63" t="s">
        <v>1718</v>
      </c>
      <c r="G242" s="129" t="s">
        <v>1640</v>
      </c>
      <c r="H242" s="133"/>
      <c r="I242" s="129"/>
      <c r="J242" s="130"/>
      <c r="K242" s="130"/>
      <c r="L242" s="130"/>
      <c r="M242" s="130"/>
      <c r="N242" s="140"/>
      <c r="O242" s="150"/>
      <c r="P242" s="150"/>
      <c r="Q242" s="134"/>
      <c r="R242" s="134"/>
      <c r="S242" s="134"/>
      <c r="T242" s="134"/>
      <c r="U242" s="134"/>
      <c r="V242" s="134"/>
      <c r="W242" s="134"/>
      <c r="X242" s="134"/>
      <c r="Y242" s="134"/>
    </row>
    <row r="243">
      <c r="A243" s="126" t="s">
        <v>1719</v>
      </c>
      <c r="B243" s="127" t="s">
        <v>859</v>
      </c>
      <c r="C243" s="135" t="s">
        <v>1634</v>
      </c>
      <c r="D243" s="144" t="s">
        <v>858</v>
      </c>
      <c r="E243" s="139" t="s">
        <v>1233</v>
      </c>
      <c r="F243" s="63" t="s">
        <v>1720</v>
      </c>
      <c r="G243" s="155" t="s">
        <v>1721</v>
      </c>
      <c r="H243" s="133" t="s">
        <v>1938</v>
      </c>
      <c r="I243" s="129" t="s">
        <v>1913</v>
      </c>
      <c r="J243" s="130" t="s">
        <v>1938</v>
      </c>
      <c r="K243" s="130" t="s">
        <v>1913</v>
      </c>
      <c r="L243" s="130" t="s">
        <v>1929</v>
      </c>
      <c r="M243" s="130"/>
      <c r="N243" s="140"/>
      <c r="O243" s="150"/>
      <c r="P243" s="150"/>
      <c r="Q243" s="134"/>
      <c r="R243" s="134"/>
      <c r="S243" s="134"/>
      <c r="T243" s="134"/>
      <c r="U243" s="134"/>
      <c r="V243" s="134"/>
      <c r="W243" s="134"/>
      <c r="X243" s="134"/>
      <c r="Y243" s="134"/>
    </row>
    <row r="244">
      <c r="A244" s="126" t="s">
        <v>1722</v>
      </c>
      <c r="B244" s="127" t="s">
        <v>863</v>
      </c>
      <c r="C244" s="135" t="s">
        <v>1636</v>
      </c>
      <c r="D244" s="144" t="s">
        <v>862</v>
      </c>
      <c r="E244" s="139" t="s">
        <v>1233</v>
      </c>
      <c r="F244" s="63" t="s">
        <v>1723</v>
      </c>
      <c r="G244" s="129" t="s">
        <v>1721</v>
      </c>
      <c r="H244" s="133" t="s">
        <v>1938</v>
      </c>
      <c r="I244" s="129" t="s">
        <v>1913</v>
      </c>
      <c r="J244" s="130" t="s">
        <v>1938</v>
      </c>
      <c r="K244" s="130" t="s">
        <v>1913</v>
      </c>
      <c r="L244" s="130" t="s">
        <v>1929</v>
      </c>
      <c r="M244" s="130"/>
      <c r="N244" s="140"/>
      <c r="O244" s="150"/>
      <c r="P244" s="150"/>
      <c r="Q244" s="134"/>
      <c r="R244" s="134"/>
      <c r="S244" s="134"/>
      <c r="T244" s="134"/>
      <c r="U244" s="134"/>
      <c r="V244" s="134"/>
      <c r="W244" s="134"/>
      <c r="X244" s="134"/>
      <c r="Y244" s="134"/>
    </row>
    <row r="245">
      <c r="A245" s="126" t="s">
        <v>1724</v>
      </c>
      <c r="B245" s="127" t="s">
        <v>866</v>
      </c>
      <c r="C245" s="135" t="s">
        <v>1636</v>
      </c>
      <c r="D245" s="144" t="s">
        <v>865</v>
      </c>
      <c r="E245" s="139" t="s">
        <v>1233</v>
      </c>
      <c r="F245" s="63" t="s">
        <v>1725</v>
      </c>
      <c r="G245" s="129" t="s">
        <v>1721</v>
      </c>
      <c r="H245" s="133" t="s">
        <v>1979</v>
      </c>
      <c r="I245" s="129" t="s">
        <v>1913</v>
      </c>
      <c r="J245" s="130" t="s">
        <v>1938</v>
      </c>
      <c r="K245" s="130" t="s">
        <v>1913</v>
      </c>
      <c r="L245" s="130" t="s">
        <v>1929</v>
      </c>
      <c r="M245" s="130"/>
      <c r="N245" s="140"/>
      <c r="O245" s="150"/>
      <c r="P245" s="150"/>
      <c r="Q245" s="134"/>
      <c r="R245" s="134"/>
      <c r="S245" s="134"/>
      <c r="T245" s="134"/>
      <c r="U245" s="134"/>
      <c r="V245" s="134"/>
      <c r="W245" s="134"/>
      <c r="X245" s="134"/>
      <c r="Y245" s="134"/>
    </row>
    <row r="246">
      <c r="A246" s="126" t="s">
        <v>1726</v>
      </c>
      <c r="B246" s="127" t="s">
        <v>868</v>
      </c>
      <c r="C246" s="135" t="s">
        <v>1636</v>
      </c>
      <c r="D246" s="144" t="s">
        <v>867</v>
      </c>
      <c r="E246" s="139" t="s">
        <v>1233</v>
      </c>
      <c r="F246" s="63" t="s">
        <v>1727</v>
      </c>
      <c r="G246" s="129" t="s">
        <v>1721</v>
      </c>
      <c r="H246" s="133" t="s">
        <v>1938</v>
      </c>
      <c r="I246" s="129" t="s">
        <v>1913</v>
      </c>
      <c r="J246" s="130" t="s">
        <v>1938</v>
      </c>
      <c r="K246" s="130" t="s">
        <v>1913</v>
      </c>
      <c r="L246" s="130" t="s">
        <v>1929</v>
      </c>
      <c r="M246" s="130"/>
      <c r="N246" s="140"/>
      <c r="O246" s="150"/>
      <c r="P246" s="150"/>
      <c r="Q246" s="134"/>
      <c r="R246" s="134"/>
      <c r="S246" s="134"/>
      <c r="T246" s="134"/>
      <c r="U246" s="134"/>
      <c r="V246" s="134"/>
      <c r="W246" s="134"/>
      <c r="X246" s="134"/>
      <c r="Y246" s="134"/>
    </row>
    <row r="247">
      <c r="A247" s="126" t="s">
        <v>1728</v>
      </c>
      <c r="B247" s="127" t="s">
        <v>870</v>
      </c>
      <c r="C247" s="135" t="s">
        <v>1636</v>
      </c>
      <c r="D247" s="144" t="s">
        <v>869</v>
      </c>
      <c r="E247" s="139" t="s">
        <v>1233</v>
      </c>
      <c r="F247" s="63" t="s">
        <v>1729</v>
      </c>
      <c r="G247" s="155" t="s">
        <v>1721</v>
      </c>
      <c r="H247" s="133" t="s">
        <v>1938</v>
      </c>
      <c r="I247" s="129" t="s">
        <v>1913</v>
      </c>
      <c r="J247" s="130" t="s">
        <v>1938</v>
      </c>
      <c r="K247" s="130" t="s">
        <v>1913</v>
      </c>
      <c r="L247" s="130" t="s">
        <v>1929</v>
      </c>
      <c r="M247" s="130"/>
      <c r="N247" s="140"/>
      <c r="O247" s="150"/>
      <c r="P247" s="150"/>
      <c r="Q247" s="134"/>
      <c r="R247" s="134"/>
      <c r="S247" s="134"/>
      <c r="T247" s="134"/>
      <c r="U247" s="134"/>
      <c r="V247" s="134"/>
      <c r="W247" s="134"/>
      <c r="X247" s="134"/>
      <c r="Y247" s="134"/>
    </row>
    <row r="248">
      <c r="A248" s="126" t="s">
        <v>1730</v>
      </c>
      <c r="B248" s="127" t="s">
        <v>873</v>
      </c>
      <c r="C248" s="135" t="s">
        <v>1638</v>
      </c>
      <c r="D248" s="144" t="s">
        <v>872</v>
      </c>
      <c r="E248" s="139" t="s">
        <v>1233</v>
      </c>
      <c r="F248" s="63" t="s">
        <v>1731</v>
      </c>
      <c r="G248" s="129" t="s">
        <v>1721</v>
      </c>
      <c r="H248" s="133" t="s">
        <v>1938</v>
      </c>
      <c r="I248" s="129" t="s">
        <v>1913</v>
      </c>
      <c r="J248" s="130" t="s">
        <v>1938</v>
      </c>
      <c r="K248" s="130" t="s">
        <v>1913</v>
      </c>
      <c r="L248" s="130" t="s">
        <v>1929</v>
      </c>
      <c r="M248" s="130"/>
      <c r="N248" s="140"/>
      <c r="O248" s="150"/>
      <c r="P248" s="150"/>
      <c r="Q248" s="134"/>
      <c r="R248" s="134"/>
      <c r="S248" s="134"/>
      <c r="T248" s="134"/>
      <c r="U248" s="134"/>
      <c r="V248" s="134"/>
      <c r="W248" s="134"/>
      <c r="X248" s="134"/>
      <c r="Y248" s="134"/>
    </row>
    <row r="249">
      <c r="A249" s="126" t="s">
        <v>1732</v>
      </c>
      <c r="B249" s="127" t="s">
        <v>875</v>
      </c>
      <c r="C249" s="135" t="s">
        <v>1638</v>
      </c>
      <c r="D249" s="144" t="s">
        <v>874</v>
      </c>
      <c r="E249" s="139" t="s">
        <v>1233</v>
      </c>
      <c r="F249" s="63" t="s">
        <v>1733</v>
      </c>
      <c r="G249" s="155" t="s">
        <v>1721</v>
      </c>
      <c r="H249" s="133"/>
      <c r="I249" s="129"/>
      <c r="J249" s="130"/>
      <c r="K249" s="130"/>
      <c r="L249" s="130"/>
      <c r="M249" s="130"/>
      <c r="N249" s="140"/>
      <c r="O249" s="150"/>
      <c r="P249" s="150"/>
      <c r="Q249" s="134"/>
      <c r="R249" s="134"/>
      <c r="S249" s="134"/>
      <c r="T249" s="134"/>
      <c r="U249" s="134"/>
      <c r="V249" s="134"/>
      <c r="W249" s="134"/>
      <c r="X249" s="134"/>
      <c r="Y249" s="134"/>
    </row>
    <row r="250">
      <c r="A250" s="126" t="s">
        <v>1734</v>
      </c>
      <c r="B250" s="127" t="s">
        <v>878</v>
      </c>
      <c r="C250" s="135" t="s">
        <v>1641</v>
      </c>
      <c r="D250" s="144" t="s">
        <v>877</v>
      </c>
      <c r="E250" s="139" t="s">
        <v>1233</v>
      </c>
      <c r="F250" s="63" t="s">
        <v>1735</v>
      </c>
      <c r="G250" s="129" t="s">
        <v>1721</v>
      </c>
      <c r="H250" s="133" t="s">
        <v>1938</v>
      </c>
      <c r="I250" s="129" t="s">
        <v>1913</v>
      </c>
      <c r="J250" s="130" t="s">
        <v>1938</v>
      </c>
      <c r="K250" s="130" t="s">
        <v>1913</v>
      </c>
      <c r="L250" s="130" t="s">
        <v>1929</v>
      </c>
      <c r="M250" s="130"/>
      <c r="N250" s="140"/>
      <c r="O250" s="150"/>
      <c r="P250" s="150"/>
      <c r="Q250" s="134"/>
      <c r="R250" s="134"/>
      <c r="S250" s="134"/>
      <c r="T250" s="134"/>
      <c r="U250" s="134"/>
      <c r="V250" s="134"/>
      <c r="W250" s="134"/>
      <c r="X250" s="134"/>
      <c r="Y250" s="134"/>
    </row>
    <row r="251">
      <c r="A251" s="126" t="s">
        <v>1736</v>
      </c>
      <c r="B251" s="127" t="s">
        <v>881</v>
      </c>
      <c r="C251" s="135" t="s">
        <v>1641</v>
      </c>
      <c r="D251" s="144" t="s">
        <v>880</v>
      </c>
      <c r="E251" s="139" t="s">
        <v>1233</v>
      </c>
      <c r="F251" s="63" t="s">
        <v>1737</v>
      </c>
      <c r="G251" s="129" t="s">
        <v>1721</v>
      </c>
      <c r="H251" s="133" t="s">
        <v>1979</v>
      </c>
      <c r="I251" s="129" t="s">
        <v>1913</v>
      </c>
      <c r="J251" s="130" t="s">
        <v>1938</v>
      </c>
      <c r="K251" s="130" t="s">
        <v>1913</v>
      </c>
      <c r="L251" s="130" t="s">
        <v>1929</v>
      </c>
      <c r="M251" s="130"/>
      <c r="N251" s="140"/>
      <c r="O251" s="150"/>
      <c r="P251" s="150"/>
      <c r="Q251" s="134"/>
      <c r="R251" s="134"/>
      <c r="S251" s="134"/>
      <c r="T251" s="134"/>
      <c r="U251" s="134"/>
      <c r="V251" s="134"/>
      <c r="W251" s="134"/>
      <c r="X251" s="134"/>
      <c r="Y251" s="134"/>
    </row>
    <row r="252">
      <c r="A252" s="126" t="s">
        <v>1738</v>
      </c>
      <c r="B252" s="127" t="s">
        <v>884</v>
      </c>
      <c r="C252" s="135" t="s">
        <v>1643</v>
      </c>
      <c r="D252" s="144" t="s">
        <v>883</v>
      </c>
      <c r="E252" s="139" t="s">
        <v>1233</v>
      </c>
      <c r="F252" s="63" t="s">
        <v>1739</v>
      </c>
      <c r="G252" s="129" t="s">
        <v>1721</v>
      </c>
      <c r="H252" s="133" t="s">
        <v>1938</v>
      </c>
      <c r="I252" s="129" t="s">
        <v>1913</v>
      </c>
      <c r="J252" s="130" t="s">
        <v>1938</v>
      </c>
      <c r="K252" s="130" t="s">
        <v>1913</v>
      </c>
      <c r="L252" s="130" t="s">
        <v>1929</v>
      </c>
      <c r="M252" s="130"/>
      <c r="N252" s="140"/>
      <c r="O252" s="150"/>
      <c r="P252" s="150"/>
      <c r="Q252" s="134"/>
      <c r="R252" s="134"/>
      <c r="S252" s="134"/>
      <c r="T252" s="134"/>
      <c r="U252" s="134"/>
      <c r="V252" s="134"/>
      <c r="W252" s="134"/>
      <c r="X252" s="134"/>
      <c r="Y252" s="134"/>
    </row>
    <row r="253">
      <c r="A253" s="126" t="s">
        <v>1740</v>
      </c>
      <c r="B253" s="127" t="s">
        <v>891</v>
      </c>
      <c r="C253" s="135" t="s">
        <v>1647</v>
      </c>
      <c r="D253" s="136" t="s">
        <v>1980</v>
      </c>
      <c r="E253" s="139" t="s">
        <v>1233</v>
      </c>
      <c r="F253" s="63" t="s">
        <v>1741</v>
      </c>
      <c r="G253" s="155" t="s">
        <v>1721</v>
      </c>
      <c r="H253" s="133" t="s">
        <v>1938</v>
      </c>
      <c r="I253" s="129" t="s">
        <v>1913</v>
      </c>
      <c r="J253" s="130" t="s">
        <v>1933</v>
      </c>
      <c r="K253" s="130" t="s">
        <v>1913</v>
      </c>
      <c r="L253" s="130"/>
      <c r="M253" s="130"/>
      <c r="N253" s="140"/>
      <c r="O253" s="150"/>
      <c r="P253" s="150"/>
      <c r="Q253" s="134"/>
      <c r="R253" s="134"/>
      <c r="S253" s="134"/>
      <c r="T253" s="134"/>
      <c r="U253" s="134"/>
      <c r="V253" s="134"/>
      <c r="W253" s="134"/>
      <c r="X253" s="134"/>
      <c r="Y253" s="134"/>
    </row>
    <row r="254">
      <c r="A254" s="126" t="s">
        <v>1742</v>
      </c>
      <c r="B254" s="127" t="s">
        <v>893</v>
      </c>
      <c r="C254" s="135" t="s">
        <v>1647</v>
      </c>
      <c r="D254" s="136" t="s">
        <v>1981</v>
      </c>
      <c r="E254" s="139" t="s">
        <v>1233</v>
      </c>
      <c r="F254" s="63" t="s">
        <v>1743</v>
      </c>
      <c r="G254" s="155" t="s">
        <v>1721</v>
      </c>
      <c r="H254" s="133" t="s">
        <v>1938</v>
      </c>
      <c r="I254" s="129" t="s">
        <v>1913</v>
      </c>
      <c r="J254" s="130" t="s">
        <v>1933</v>
      </c>
      <c r="K254" s="130" t="s">
        <v>1913</v>
      </c>
      <c r="L254" s="130"/>
      <c r="M254" s="130"/>
      <c r="N254" s="140"/>
      <c r="O254" s="150"/>
      <c r="P254" s="150"/>
      <c r="Q254" s="134"/>
      <c r="R254" s="134"/>
      <c r="S254" s="134"/>
      <c r="T254" s="134"/>
      <c r="U254" s="134"/>
      <c r="V254" s="134"/>
      <c r="W254" s="134"/>
      <c r="X254" s="134"/>
      <c r="Y254" s="134"/>
    </row>
    <row r="255">
      <c r="A255" s="126" t="s">
        <v>1744</v>
      </c>
      <c r="B255" s="127" t="s">
        <v>901</v>
      </c>
      <c r="C255" s="135" t="s">
        <v>1657</v>
      </c>
      <c r="D255" s="136" t="s">
        <v>1982</v>
      </c>
      <c r="E255" s="139" t="s">
        <v>1233</v>
      </c>
      <c r="F255" s="63" t="s">
        <v>1745</v>
      </c>
      <c r="G255" s="155" t="s">
        <v>1721</v>
      </c>
      <c r="H255" s="133" t="s">
        <v>1938</v>
      </c>
      <c r="I255" s="129" t="s">
        <v>1913</v>
      </c>
      <c r="J255" s="130" t="s">
        <v>1933</v>
      </c>
      <c r="K255" s="130" t="s">
        <v>1913</v>
      </c>
      <c r="L255" s="130"/>
      <c r="M255" s="130"/>
      <c r="N255" s="140"/>
      <c r="O255" s="150"/>
      <c r="P255" s="150"/>
      <c r="Q255" s="134"/>
      <c r="R255" s="134"/>
      <c r="S255" s="134"/>
      <c r="T255" s="134"/>
      <c r="U255" s="134"/>
      <c r="V255" s="134"/>
      <c r="W255" s="134"/>
      <c r="X255" s="134"/>
      <c r="Y255" s="134"/>
    </row>
    <row r="256">
      <c r="A256" s="126" t="s">
        <v>1746</v>
      </c>
      <c r="B256" s="127" t="s">
        <v>903</v>
      </c>
      <c r="C256" s="135" t="s">
        <v>1659</v>
      </c>
      <c r="D256" s="144" t="s">
        <v>902</v>
      </c>
      <c r="E256" s="139" t="s">
        <v>1233</v>
      </c>
      <c r="F256" s="63" t="s">
        <v>1747</v>
      </c>
      <c r="G256" s="129" t="s">
        <v>1721</v>
      </c>
      <c r="H256" s="133" t="s">
        <v>1938</v>
      </c>
      <c r="I256" s="129" t="s">
        <v>1913</v>
      </c>
      <c r="J256" s="130" t="s">
        <v>1938</v>
      </c>
      <c r="K256" s="130" t="s">
        <v>1913</v>
      </c>
      <c r="L256" s="130" t="s">
        <v>1929</v>
      </c>
      <c r="M256" s="130"/>
      <c r="N256" s="140"/>
      <c r="O256" s="150"/>
      <c r="P256" s="150"/>
      <c r="Q256" s="134"/>
      <c r="R256" s="134"/>
      <c r="S256" s="134"/>
      <c r="T256" s="134"/>
      <c r="U256" s="134"/>
      <c r="V256" s="134"/>
      <c r="W256" s="134"/>
      <c r="X256" s="134"/>
      <c r="Y256" s="134"/>
    </row>
    <row r="257">
      <c r="A257" s="126" t="s">
        <v>1748</v>
      </c>
      <c r="B257" s="127" t="s">
        <v>906</v>
      </c>
      <c r="C257" s="135" t="s">
        <v>1663</v>
      </c>
      <c r="D257" s="144" t="s">
        <v>905</v>
      </c>
      <c r="E257" s="139" t="s">
        <v>1233</v>
      </c>
      <c r="F257" s="63" t="s">
        <v>1749</v>
      </c>
      <c r="G257" s="156" t="s">
        <v>1721</v>
      </c>
      <c r="H257" s="133"/>
      <c r="I257" s="129"/>
      <c r="J257" s="130"/>
      <c r="K257" s="130"/>
      <c r="L257" s="130"/>
      <c r="M257" s="130"/>
      <c r="N257" s="140"/>
      <c r="O257" s="150"/>
      <c r="P257" s="150"/>
      <c r="Q257" s="134"/>
      <c r="R257" s="134"/>
      <c r="S257" s="134"/>
      <c r="T257" s="134"/>
      <c r="U257" s="134"/>
      <c r="V257" s="134"/>
      <c r="W257" s="134"/>
      <c r="X257" s="134"/>
      <c r="Y257" s="134"/>
    </row>
    <row r="258">
      <c r="A258" s="126" t="s">
        <v>1750</v>
      </c>
      <c r="B258" s="127" t="s">
        <v>909</v>
      </c>
      <c r="C258" s="135" t="s">
        <v>1667</v>
      </c>
      <c r="D258" s="144" t="s">
        <v>908</v>
      </c>
      <c r="E258" s="139" t="s">
        <v>1233</v>
      </c>
      <c r="F258" s="63" t="s">
        <v>1751</v>
      </c>
      <c r="G258" s="156" t="s">
        <v>1721</v>
      </c>
      <c r="H258" s="133"/>
      <c r="I258" s="129"/>
      <c r="J258" s="130"/>
      <c r="K258" s="130"/>
      <c r="L258" s="130"/>
      <c r="M258" s="130"/>
      <c r="N258" s="140"/>
      <c r="O258" s="150"/>
      <c r="P258" s="150"/>
      <c r="Q258" s="134"/>
      <c r="R258" s="134"/>
      <c r="S258" s="134"/>
      <c r="T258" s="134"/>
      <c r="U258" s="134"/>
      <c r="V258" s="134"/>
      <c r="W258" s="134"/>
      <c r="X258" s="134"/>
      <c r="Y258" s="134"/>
    </row>
    <row r="259">
      <c r="A259" s="126" t="s">
        <v>1752</v>
      </c>
      <c r="B259" s="127" t="s">
        <v>912</v>
      </c>
      <c r="C259" s="135" t="s">
        <v>1669</v>
      </c>
      <c r="D259" s="144" t="s">
        <v>911</v>
      </c>
      <c r="E259" s="139" t="s">
        <v>1233</v>
      </c>
      <c r="F259" s="63" t="s">
        <v>1753</v>
      </c>
      <c r="G259" s="156" t="s">
        <v>1721</v>
      </c>
      <c r="H259" s="133"/>
      <c r="I259" s="129"/>
      <c r="J259" s="130"/>
      <c r="K259" s="130"/>
      <c r="L259" s="130"/>
      <c r="M259" s="130"/>
      <c r="N259" s="140"/>
      <c r="O259" s="150"/>
      <c r="P259" s="150"/>
      <c r="Q259" s="134"/>
      <c r="R259" s="134"/>
      <c r="S259" s="134"/>
      <c r="T259" s="134"/>
      <c r="U259" s="134"/>
      <c r="V259" s="134"/>
      <c r="W259" s="134"/>
      <c r="X259" s="134"/>
      <c r="Y259" s="134"/>
    </row>
    <row r="260">
      <c r="A260" s="126" t="s">
        <v>1754</v>
      </c>
      <c r="B260" s="127" t="s">
        <v>916</v>
      </c>
      <c r="C260" s="135" t="s">
        <v>1675</v>
      </c>
      <c r="D260" s="144" t="s">
        <v>915</v>
      </c>
      <c r="E260" s="139" t="s">
        <v>1233</v>
      </c>
      <c r="F260" s="63" t="s">
        <v>1755</v>
      </c>
      <c r="G260" s="156" t="s">
        <v>1721</v>
      </c>
      <c r="H260" s="133"/>
      <c r="I260" s="129"/>
      <c r="J260" s="130"/>
      <c r="K260" s="130"/>
      <c r="L260" s="130"/>
      <c r="M260" s="130"/>
      <c r="N260" s="140"/>
      <c r="O260" s="150"/>
      <c r="P260" s="150"/>
      <c r="Q260" s="134"/>
      <c r="R260" s="134"/>
      <c r="S260" s="134"/>
      <c r="T260" s="134"/>
      <c r="U260" s="134"/>
      <c r="V260" s="134"/>
      <c r="W260" s="134"/>
      <c r="X260" s="134"/>
      <c r="Y260" s="134"/>
    </row>
    <row r="261">
      <c r="A261" s="126" t="s">
        <v>1756</v>
      </c>
      <c r="B261" s="127" t="s">
        <v>922</v>
      </c>
      <c r="C261" s="135" t="s">
        <v>1679</v>
      </c>
      <c r="D261" s="144" t="s">
        <v>1983</v>
      </c>
      <c r="E261" s="139" t="s">
        <v>1233</v>
      </c>
      <c r="F261" s="63" t="s">
        <v>1757</v>
      </c>
      <c r="G261" s="156" t="s">
        <v>1721</v>
      </c>
      <c r="H261" s="133" t="s">
        <v>1933</v>
      </c>
      <c r="I261" s="129"/>
      <c r="J261" s="130"/>
      <c r="K261" s="130"/>
      <c r="L261" s="130"/>
      <c r="M261" s="130"/>
      <c r="N261" s="141" t="s">
        <v>1984</v>
      </c>
      <c r="O261" s="150"/>
      <c r="P261" s="150"/>
      <c r="Q261" s="134"/>
      <c r="R261" s="134"/>
      <c r="S261" s="134"/>
      <c r="T261" s="134"/>
      <c r="U261" s="134"/>
      <c r="V261" s="134"/>
      <c r="W261" s="134"/>
      <c r="X261" s="134"/>
      <c r="Y261" s="134"/>
    </row>
    <row r="262">
      <c r="A262" s="126" t="s">
        <v>1758</v>
      </c>
      <c r="B262" s="127" t="s">
        <v>925</v>
      </c>
      <c r="C262" s="135" t="s">
        <v>1681</v>
      </c>
      <c r="D262" s="144" t="s">
        <v>924</v>
      </c>
      <c r="E262" s="139" t="s">
        <v>1233</v>
      </c>
      <c r="F262" s="63" t="s">
        <v>1759</v>
      </c>
      <c r="G262" s="156" t="s">
        <v>1721</v>
      </c>
      <c r="H262" s="133" t="s">
        <v>1933</v>
      </c>
      <c r="I262" s="129"/>
      <c r="J262" s="130"/>
      <c r="K262" s="130"/>
      <c r="L262" s="130"/>
      <c r="M262" s="130"/>
      <c r="N262" s="130" t="s">
        <v>1985</v>
      </c>
      <c r="O262" s="150"/>
      <c r="P262" s="150"/>
      <c r="Q262" s="134"/>
      <c r="R262" s="134"/>
      <c r="S262" s="134"/>
      <c r="T262" s="134"/>
      <c r="U262" s="134"/>
      <c r="V262" s="134"/>
      <c r="W262" s="134"/>
      <c r="X262" s="134"/>
      <c r="Y262" s="134"/>
    </row>
    <row r="263">
      <c r="A263" s="126" t="s">
        <v>1760</v>
      </c>
      <c r="B263" s="127" t="s">
        <v>929</v>
      </c>
      <c r="C263" s="135" t="s">
        <v>1683</v>
      </c>
      <c r="D263" s="144" t="s">
        <v>928</v>
      </c>
      <c r="E263" s="139" t="s">
        <v>1233</v>
      </c>
      <c r="F263" s="63" t="s">
        <v>1761</v>
      </c>
      <c r="G263" s="156" t="s">
        <v>1721</v>
      </c>
      <c r="H263" s="133" t="s">
        <v>1933</v>
      </c>
      <c r="I263" s="129"/>
      <c r="J263" s="130"/>
      <c r="K263" s="130"/>
      <c r="L263" s="130"/>
      <c r="M263" s="130"/>
      <c r="N263" s="130" t="s">
        <v>1986</v>
      </c>
      <c r="O263" s="150"/>
      <c r="P263" s="150"/>
      <c r="Q263" s="134"/>
      <c r="R263" s="134"/>
      <c r="S263" s="134"/>
      <c r="T263" s="134"/>
      <c r="U263" s="134"/>
      <c r="V263" s="134"/>
      <c r="W263" s="134"/>
      <c r="X263" s="134"/>
      <c r="Y263" s="134"/>
    </row>
    <row r="264">
      <c r="A264" s="126" t="s">
        <v>1762</v>
      </c>
      <c r="B264" s="127" t="s">
        <v>932</v>
      </c>
      <c r="C264" s="135" t="s">
        <v>1685</v>
      </c>
      <c r="D264" s="144" t="s">
        <v>931</v>
      </c>
      <c r="E264" s="139" t="s">
        <v>1233</v>
      </c>
      <c r="F264" s="63" t="s">
        <v>1763</v>
      </c>
      <c r="G264" s="156" t="s">
        <v>1721</v>
      </c>
      <c r="H264" s="133"/>
      <c r="I264" s="129"/>
      <c r="J264" s="130"/>
      <c r="K264" s="130"/>
      <c r="L264" s="130"/>
      <c r="M264" s="130"/>
      <c r="N264" s="140"/>
      <c r="O264" s="150"/>
      <c r="P264" s="150"/>
      <c r="Q264" s="134"/>
      <c r="R264" s="134"/>
      <c r="S264" s="134"/>
      <c r="T264" s="134"/>
      <c r="U264" s="134"/>
      <c r="V264" s="134"/>
      <c r="W264" s="134"/>
      <c r="X264" s="134"/>
      <c r="Y264" s="134"/>
    </row>
    <row r="265">
      <c r="A265" s="126" t="s">
        <v>1764</v>
      </c>
      <c r="B265" s="127" t="s">
        <v>936</v>
      </c>
      <c r="C265" s="135" t="s">
        <v>1687</v>
      </c>
      <c r="D265" s="144" t="s">
        <v>935</v>
      </c>
      <c r="E265" s="139" t="s">
        <v>1233</v>
      </c>
      <c r="F265" s="63" t="s">
        <v>1765</v>
      </c>
      <c r="G265" s="156" t="s">
        <v>1721</v>
      </c>
      <c r="H265" s="133"/>
      <c r="I265" s="129"/>
      <c r="J265" s="130"/>
      <c r="K265" s="130"/>
      <c r="L265" s="130"/>
      <c r="M265" s="130"/>
      <c r="N265" s="140"/>
      <c r="O265" s="150"/>
      <c r="P265" s="150"/>
      <c r="Q265" s="134"/>
      <c r="R265" s="134"/>
      <c r="S265" s="134"/>
      <c r="T265" s="134"/>
      <c r="U265" s="134"/>
      <c r="V265" s="134"/>
      <c r="W265" s="134"/>
      <c r="X265" s="134"/>
      <c r="Y265" s="134"/>
    </row>
    <row r="266">
      <c r="A266" s="126" t="s">
        <v>1766</v>
      </c>
      <c r="B266" s="127" t="s">
        <v>939</v>
      </c>
      <c r="C266" s="135" t="s">
        <v>1689</v>
      </c>
      <c r="D266" s="144" t="s">
        <v>938</v>
      </c>
      <c r="E266" s="139" t="s">
        <v>1233</v>
      </c>
      <c r="F266" s="63" t="s">
        <v>1767</v>
      </c>
      <c r="G266" s="129" t="s">
        <v>1721</v>
      </c>
      <c r="H266" s="133"/>
      <c r="I266" s="129"/>
      <c r="J266" s="130"/>
      <c r="K266" s="130"/>
      <c r="L266" s="130"/>
      <c r="M266" s="130"/>
      <c r="N266" s="140"/>
      <c r="O266" s="150"/>
      <c r="P266" s="150"/>
      <c r="Q266" s="134"/>
      <c r="R266" s="134"/>
      <c r="S266" s="134"/>
      <c r="T266" s="134"/>
      <c r="U266" s="134"/>
      <c r="V266" s="134"/>
      <c r="W266" s="134"/>
      <c r="X266" s="134"/>
      <c r="Y266" s="134"/>
    </row>
    <row r="267">
      <c r="A267" s="126" t="s">
        <v>1768</v>
      </c>
      <c r="B267" s="127" t="s">
        <v>946</v>
      </c>
      <c r="C267" s="135" t="s">
        <v>1693</v>
      </c>
      <c r="D267" s="144" t="s">
        <v>945</v>
      </c>
      <c r="E267" s="139" t="s">
        <v>1233</v>
      </c>
      <c r="F267" s="63" t="s">
        <v>1769</v>
      </c>
      <c r="G267" s="129" t="s">
        <v>1721</v>
      </c>
      <c r="H267" s="133"/>
      <c r="I267" s="129"/>
      <c r="J267" s="130"/>
      <c r="K267" s="130"/>
      <c r="L267" s="130"/>
      <c r="M267" s="130"/>
      <c r="N267" s="140"/>
      <c r="O267" s="150"/>
      <c r="P267" s="150"/>
      <c r="Q267" s="134"/>
      <c r="R267" s="134"/>
      <c r="S267" s="134"/>
      <c r="T267" s="134"/>
      <c r="U267" s="134"/>
      <c r="V267" s="134"/>
      <c r="W267" s="134"/>
      <c r="X267" s="134"/>
      <c r="Y267" s="134"/>
    </row>
    <row r="268">
      <c r="A268" s="126" t="s">
        <v>1770</v>
      </c>
      <c r="B268" s="127" t="s">
        <v>963</v>
      </c>
      <c r="C268" s="135" t="s">
        <v>1722</v>
      </c>
      <c r="D268" s="144" t="s">
        <v>962</v>
      </c>
      <c r="E268" s="139" t="s">
        <v>1233</v>
      </c>
      <c r="F268" s="63" t="s">
        <v>1771</v>
      </c>
      <c r="G268" s="129" t="s">
        <v>1721</v>
      </c>
      <c r="H268" s="133"/>
      <c r="I268" s="129"/>
      <c r="J268" s="130"/>
      <c r="K268" s="130"/>
      <c r="L268" s="130"/>
      <c r="M268" s="130"/>
      <c r="N268" s="140"/>
      <c r="O268" s="150"/>
      <c r="P268" s="150"/>
      <c r="Q268" s="134"/>
      <c r="R268" s="134"/>
      <c r="S268" s="134"/>
      <c r="T268" s="134"/>
      <c r="U268" s="134"/>
      <c r="V268" s="134"/>
      <c r="W268" s="134"/>
      <c r="X268" s="134"/>
      <c r="Y268" s="134"/>
    </row>
    <row r="269">
      <c r="A269" s="126" t="s">
        <v>1772</v>
      </c>
      <c r="B269" s="127" t="s">
        <v>966</v>
      </c>
      <c r="C269" s="135" t="s">
        <v>1724</v>
      </c>
      <c r="D269" s="144" t="s">
        <v>965</v>
      </c>
      <c r="E269" s="139" t="s">
        <v>1233</v>
      </c>
      <c r="F269" s="63" t="s">
        <v>1773</v>
      </c>
      <c r="G269" s="129" t="s">
        <v>1721</v>
      </c>
      <c r="H269" s="133"/>
      <c r="I269" s="129"/>
      <c r="J269" s="130"/>
      <c r="K269" s="130"/>
      <c r="L269" s="130"/>
      <c r="M269" s="130"/>
      <c r="N269" s="140"/>
      <c r="O269" s="150"/>
      <c r="P269" s="150"/>
      <c r="Q269" s="134"/>
      <c r="R269" s="134"/>
      <c r="S269" s="134"/>
      <c r="T269" s="134"/>
      <c r="U269" s="134"/>
      <c r="V269" s="134"/>
      <c r="W269" s="134"/>
      <c r="X269" s="134"/>
      <c r="Y269" s="134"/>
    </row>
    <row r="270">
      <c r="A270" s="126" t="s">
        <v>1774</v>
      </c>
      <c r="B270" s="127" t="s">
        <v>969</v>
      </c>
      <c r="C270" s="135" t="s">
        <v>1726</v>
      </c>
      <c r="D270" s="144" t="s">
        <v>968</v>
      </c>
      <c r="E270" s="139" t="s">
        <v>1233</v>
      </c>
      <c r="F270" s="63" t="s">
        <v>1775</v>
      </c>
      <c r="G270" s="129" t="s">
        <v>1721</v>
      </c>
      <c r="H270" s="133"/>
      <c r="I270" s="129"/>
      <c r="J270" s="130"/>
      <c r="K270" s="130"/>
      <c r="L270" s="130"/>
      <c r="M270" s="130"/>
      <c r="N270" s="140"/>
      <c r="O270" s="150"/>
      <c r="P270" s="150"/>
      <c r="Q270" s="134"/>
      <c r="R270" s="134"/>
      <c r="S270" s="134"/>
      <c r="T270" s="134"/>
      <c r="U270" s="134"/>
      <c r="V270" s="134"/>
      <c r="W270" s="134"/>
      <c r="X270" s="134"/>
      <c r="Y270" s="134"/>
    </row>
    <row r="271">
      <c r="A271" s="126" t="s">
        <v>1776</v>
      </c>
      <c r="B271" s="127" t="s">
        <v>972</v>
      </c>
      <c r="C271" s="135" t="s">
        <v>1728</v>
      </c>
      <c r="D271" s="144" t="s">
        <v>971</v>
      </c>
      <c r="E271" s="139" t="s">
        <v>1233</v>
      </c>
      <c r="F271" s="63" t="s">
        <v>1777</v>
      </c>
      <c r="G271" s="129" t="s">
        <v>1721</v>
      </c>
      <c r="H271" s="133"/>
      <c r="I271" s="129"/>
      <c r="J271" s="130"/>
      <c r="K271" s="130"/>
      <c r="L271" s="130"/>
      <c r="M271" s="130"/>
      <c r="N271" s="140"/>
      <c r="O271" s="150"/>
      <c r="P271" s="150"/>
      <c r="Q271" s="134"/>
      <c r="R271" s="134"/>
      <c r="S271" s="134"/>
      <c r="T271" s="134"/>
      <c r="U271" s="134"/>
      <c r="V271" s="134"/>
      <c r="W271" s="134"/>
      <c r="X271" s="134"/>
      <c r="Y271" s="134"/>
    </row>
    <row r="272">
      <c r="A272" s="126" t="s">
        <v>1778</v>
      </c>
      <c r="B272" s="127" t="s">
        <v>975</v>
      </c>
      <c r="C272" s="135" t="s">
        <v>1730</v>
      </c>
      <c r="D272" s="144" t="s">
        <v>974</v>
      </c>
      <c r="E272" s="139" t="s">
        <v>1233</v>
      </c>
      <c r="F272" s="63" t="s">
        <v>1779</v>
      </c>
      <c r="G272" s="129" t="s">
        <v>1721</v>
      </c>
      <c r="H272" s="133"/>
      <c r="I272" s="129"/>
      <c r="J272" s="130"/>
      <c r="K272" s="130"/>
      <c r="L272" s="130"/>
      <c r="M272" s="130"/>
      <c r="N272" s="140"/>
      <c r="O272" s="150"/>
      <c r="P272" s="150"/>
      <c r="Q272" s="134"/>
      <c r="R272" s="134"/>
      <c r="S272" s="134"/>
      <c r="T272" s="134"/>
      <c r="U272" s="134"/>
      <c r="V272" s="134"/>
      <c r="W272" s="134"/>
      <c r="X272" s="134"/>
      <c r="Y272" s="134"/>
    </row>
    <row r="273">
      <c r="A273" s="126" t="s">
        <v>1780</v>
      </c>
      <c r="B273" s="127" t="s">
        <v>983</v>
      </c>
      <c r="C273" s="135" t="s">
        <v>1736</v>
      </c>
      <c r="D273" s="144" t="s">
        <v>982</v>
      </c>
      <c r="E273" s="139" t="s">
        <v>1233</v>
      </c>
      <c r="F273" s="63" t="s">
        <v>1781</v>
      </c>
      <c r="G273" s="129" t="s">
        <v>1721</v>
      </c>
      <c r="H273" s="133"/>
      <c r="I273" s="129"/>
      <c r="J273" s="130"/>
      <c r="K273" s="130"/>
      <c r="L273" s="130"/>
      <c r="M273" s="130"/>
      <c r="N273" s="140"/>
      <c r="O273" s="150"/>
      <c r="P273" s="150"/>
      <c r="Q273" s="134"/>
      <c r="R273" s="134"/>
      <c r="S273" s="134"/>
      <c r="T273" s="134"/>
      <c r="U273" s="134"/>
      <c r="V273" s="134"/>
      <c r="W273" s="134"/>
      <c r="X273" s="134"/>
      <c r="Y273" s="134"/>
    </row>
    <row r="274">
      <c r="A274" s="126" t="s">
        <v>1782</v>
      </c>
      <c r="B274" s="127" t="s">
        <v>986</v>
      </c>
      <c r="C274" s="135" t="s">
        <v>1738</v>
      </c>
      <c r="D274" s="144" t="s">
        <v>985</v>
      </c>
      <c r="E274" s="139" t="s">
        <v>1233</v>
      </c>
      <c r="F274" s="63" t="s">
        <v>1783</v>
      </c>
      <c r="G274" s="129" t="s">
        <v>1721</v>
      </c>
      <c r="H274" s="133"/>
      <c r="I274" s="129"/>
      <c r="J274" s="130"/>
      <c r="K274" s="130"/>
      <c r="L274" s="130"/>
      <c r="M274" s="130"/>
      <c r="N274" s="140"/>
      <c r="O274" s="150"/>
      <c r="P274" s="150"/>
      <c r="Q274" s="134"/>
      <c r="R274" s="134"/>
      <c r="S274" s="134"/>
      <c r="T274" s="134"/>
      <c r="U274" s="134"/>
      <c r="V274" s="134"/>
      <c r="W274" s="134"/>
      <c r="X274" s="134"/>
      <c r="Y274" s="134"/>
    </row>
    <row r="275">
      <c r="A275" s="126" t="s">
        <v>1784</v>
      </c>
      <c r="B275" s="127" t="s">
        <v>991</v>
      </c>
      <c r="C275" s="135" t="s">
        <v>1740</v>
      </c>
      <c r="D275" s="144" t="s">
        <v>990</v>
      </c>
      <c r="E275" s="139" t="s">
        <v>1233</v>
      </c>
      <c r="F275" s="63" t="s">
        <v>1785</v>
      </c>
      <c r="G275" s="129" t="s">
        <v>1721</v>
      </c>
      <c r="H275" s="133"/>
      <c r="I275" s="129"/>
      <c r="J275" s="130"/>
      <c r="K275" s="130"/>
      <c r="L275" s="130"/>
      <c r="M275" s="130"/>
      <c r="N275" s="140"/>
      <c r="O275" s="150"/>
      <c r="P275" s="150"/>
      <c r="Q275" s="134"/>
      <c r="R275" s="134"/>
      <c r="S275" s="134"/>
      <c r="T275" s="134"/>
      <c r="U275" s="134"/>
      <c r="V275" s="134"/>
      <c r="W275" s="134"/>
      <c r="X275" s="134"/>
      <c r="Y275" s="134"/>
    </row>
    <row r="276">
      <c r="A276" s="126" t="s">
        <v>1786</v>
      </c>
      <c r="B276" s="127" t="s">
        <v>998</v>
      </c>
      <c r="C276" s="135" t="s">
        <v>1742</v>
      </c>
      <c r="D276" s="144" t="s">
        <v>997</v>
      </c>
      <c r="E276" s="139" t="s">
        <v>1233</v>
      </c>
      <c r="F276" s="63" t="s">
        <v>1787</v>
      </c>
      <c r="G276" s="129" t="s">
        <v>1721</v>
      </c>
      <c r="H276" s="133"/>
      <c r="I276" s="129"/>
      <c r="J276" s="130"/>
      <c r="K276" s="130"/>
      <c r="L276" s="130"/>
      <c r="M276" s="130"/>
      <c r="N276" s="140"/>
      <c r="O276" s="150"/>
      <c r="P276" s="150"/>
      <c r="Q276" s="134"/>
      <c r="R276" s="134"/>
      <c r="S276" s="134"/>
      <c r="T276" s="134"/>
      <c r="U276" s="134"/>
      <c r="V276" s="134"/>
      <c r="W276" s="134"/>
      <c r="X276" s="134"/>
      <c r="Y276" s="134"/>
    </row>
    <row r="277">
      <c r="A277" s="126" t="s">
        <v>1788</v>
      </c>
      <c r="B277" s="127" t="s">
        <v>1001</v>
      </c>
      <c r="C277" s="135" t="s">
        <v>1744</v>
      </c>
      <c r="D277" s="144" t="s">
        <v>1000</v>
      </c>
      <c r="E277" s="139" t="s">
        <v>1233</v>
      </c>
      <c r="F277" s="63" t="s">
        <v>1789</v>
      </c>
      <c r="G277" s="129" t="s">
        <v>1721</v>
      </c>
      <c r="H277" s="133"/>
      <c r="I277" s="129"/>
      <c r="J277" s="130"/>
      <c r="K277" s="130"/>
      <c r="L277" s="130"/>
      <c r="M277" s="130"/>
      <c r="N277" s="140"/>
      <c r="O277" s="150"/>
      <c r="P277" s="150"/>
      <c r="Q277" s="134"/>
      <c r="R277" s="134"/>
      <c r="S277" s="134"/>
      <c r="T277" s="134"/>
      <c r="U277" s="134"/>
      <c r="V277" s="134"/>
      <c r="W277" s="134"/>
      <c r="X277" s="134"/>
      <c r="Y277" s="134"/>
    </row>
    <row r="278">
      <c r="A278" s="126" t="s">
        <v>1790</v>
      </c>
      <c r="B278" s="127" t="s">
        <v>1013</v>
      </c>
      <c r="C278" s="135" t="s">
        <v>1756</v>
      </c>
      <c r="D278" s="144" t="s">
        <v>1012</v>
      </c>
      <c r="E278" s="139" t="s">
        <v>1233</v>
      </c>
      <c r="F278" s="63" t="s">
        <v>1791</v>
      </c>
      <c r="G278" s="129" t="s">
        <v>1721</v>
      </c>
      <c r="H278" s="133"/>
      <c r="I278" s="129"/>
      <c r="J278" s="130"/>
      <c r="K278" s="130"/>
      <c r="L278" s="130"/>
      <c r="M278" s="130"/>
      <c r="N278" s="140"/>
      <c r="O278" s="150"/>
      <c r="P278" s="150"/>
      <c r="Q278" s="134"/>
      <c r="R278" s="134"/>
      <c r="S278" s="134"/>
      <c r="T278" s="134"/>
      <c r="U278" s="134"/>
      <c r="V278" s="134"/>
      <c r="W278" s="134"/>
      <c r="X278" s="134"/>
      <c r="Y278" s="134"/>
    </row>
    <row r="279">
      <c r="A279" s="126" t="s">
        <v>1792</v>
      </c>
      <c r="B279" s="127" t="s">
        <v>1018</v>
      </c>
      <c r="C279" s="135" t="s">
        <v>1760</v>
      </c>
      <c r="D279" s="144" t="s">
        <v>1017</v>
      </c>
      <c r="E279" s="139" t="s">
        <v>1233</v>
      </c>
      <c r="F279" s="63" t="s">
        <v>1793</v>
      </c>
      <c r="G279" s="129" t="s">
        <v>1721</v>
      </c>
      <c r="H279" s="133"/>
      <c r="I279" s="129"/>
      <c r="J279" s="130"/>
      <c r="K279" s="130"/>
      <c r="L279" s="130"/>
      <c r="M279" s="130"/>
      <c r="N279" s="140"/>
      <c r="O279" s="150"/>
      <c r="P279" s="150"/>
      <c r="Q279" s="134"/>
      <c r="R279" s="134"/>
      <c r="S279" s="134"/>
      <c r="T279" s="134"/>
      <c r="U279" s="134"/>
      <c r="V279" s="134"/>
      <c r="W279" s="134"/>
      <c r="X279" s="134"/>
      <c r="Y279" s="134"/>
    </row>
    <row r="280">
      <c r="A280" s="126" t="s">
        <v>1794</v>
      </c>
      <c r="B280" s="127" t="s">
        <v>1021</v>
      </c>
      <c r="C280" s="135" t="s">
        <v>1762</v>
      </c>
      <c r="D280" s="144" t="s">
        <v>1020</v>
      </c>
      <c r="E280" s="139" t="s">
        <v>1233</v>
      </c>
      <c r="F280" s="63" t="s">
        <v>1795</v>
      </c>
      <c r="G280" s="129" t="s">
        <v>1721</v>
      </c>
      <c r="H280" s="133"/>
      <c r="I280" s="129"/>
      <c r="J280" s="130"/>
      <c r="K280" s="130"/>
      <c r="L280" s="130"/>
      <c r="M280" s="130"/>
      <c r="N280" s="140"/>
      <c r="O280" s="150"/>
      <c r="P280" s="150"/>
      <c r="Q280" s="134"/>
      <c r="R280" s="134"/>
      <c r="S280" s="134"/>
      <c r="T280" s="134"/>
      <c r="U280" s="134"/>
      <c r="V280" s="134"/>
      <c r="W280" s="134"/>
      <c r="X280" s="134"/>
      <c r="Y280" s="134"/>
    </row>
    <row r="281">
      <c r="A281" s="126" t="s">
        <v>1796</v>
      </c>
      <c r="B281" s="127" t="s">
        <v>1033</v>
      </c>
      <c r="C281" s="135" t="s">
        <v>1776</v>
      </c>
      <c r="D281" s="144" t="s">
        <v>1032</v>
      </c>
      <c r="E281" s="139" t="s">
        <v>1233</v>
      </c>
      <c r="F281" s="63" t="s">
        <v>1797</v>
      </c>
      <c r="G281" s="129" t="s">
        <v>1721</v>
      </c>
      <c r="H281" s="133"/>
      <c r="I281" s="129"/>
      <c r="J281" s="130"/>
      <c r="K281" s="130"/>
      <c r="L281" s="130"/>
      <c r="M281" s="130"/>
      <c r="N281" s="140"/>
      <c r="O281" s="150"/>
      <c r="P281" s="150"/>
      <c r="Q281" s="134"/>
      <c r="R281" s="134"/>
      <c r="S281" s="134"/>
      <c r="T281" s="134"/>
      <c r="U281" s="134"/>
      <c r="V281" s="134"/>
      <c r="W281" s="134"/>
      <c r="X281" s="134"/>
      <c r="Y281" s="134"/>
    </row>
    <row r="282">
      <c r="A282" s="126" t="s">
        <v>1798</v>
      </c>
      <c r="B282" s="127" t="s">
        <v>1035</v>
      </c>
      <c r="C282" s="135" t="s">
        <v>1776</v>
      </c>
      <c r="D282" s="144" t="s">
        <v>1034</v>
      </c>
      <c r="E282" s="139" t="s">
        <v>1233</v>
      </c>
      <c r="F282" s="63" t="s">
        <v>1799</v>
      </c>
      <c r="G282" s="129" t="s">
        <v>1721</v>
      </c>
      <c r="H282" s="133" t="s">
        <v>1938</v>
      </c>
      <c r="I282" s="129" t="s">
        <v>1913</v>
      </c>
      <c r="J282" s="130" t="s">
        <v>1938</v>
      </c>
      <c r="K282" s="130" t="s">
        <v>1913</v>
      </c>
      <c r="L282" s="130" t="s">
        <v>1929</v>
      </c>
      <c r="M282" s="130"/>
      <c r="N282" s="140"/>
      <c r="O282" s="150"/>
      <c r="P282" s="150"/>
      <c r="Q282" s="134"/>
      <c r="R282" s="134"/>
      <c r="S282" s="134"/>
      <c r="T282" s="134"/>
      <c r="U282" s="134"/>
      <c r="V282" s="134"/>
      <c r="W282" s="134"/>
      <c r="X282" s="134"/>
      <c r="Y282" s="134"/>
    </row>
    <row r="283">
      <c r="A283" s="126" t="s">
        <v>1801</v>
      </c>
      <c r="B283" s="127" t="s">
        <v>1038</v>
      </c>
      <c r="C283" s="135" t="s">
        <v>1778</v>
      </c>
      <c r="D283" s="144" t="s">
        <v>1037</v>
      </c>
      <c r="E283" s="139" t="s">
        <v>1233</v>
      </c>
      <c r="F283" s="63" t="s">
        <v>1802</v>
      </c>
      <c r="G283" s="129" t="s">
        <v>1800</v>
      </c>
      <c r="H283" s="133"/>
      <c r="I283" s="129"/>
      <c r="J283" s="130"/>
      <c r="K283" s="130"/>
      <c r="L283" s="130"/>
      <c r="M283" s="130"/>
      <c r="N283" s="140"/>
      <c r="O283" s="150"/>
      <c r="P283" s="150"/>
      <c r="Q283" s="134"/>
      <c r="R283" s="134"/>
      <c r="S283" s="134"/>
      <c r="T283" s="134"/>
      <c r="U283" s="134"/>
      <c r="V283" s="134"/>
      <c r="W283" s="134"/>
      <c r="X283" s="134"/>
      <c r="Y283" s="134"/>
    </row>
    <row r="284">
      <c r="A284" s="126" t="s">
        <v>1803</v>
      </c>
      <c r="B284" s="127" t="s">
        <v>1041</v>
      </c>
      <c r="C284" s="135" t="s">
        <v>1780</v>
      </c>
      <c r="D284" s="144" t="s">
        <v>1040</v>
      </c>
      <c r="E284" s="139" t="s">
        <v>1233</v>
      </c>
      <c r="F284" s="63" t="s">
        <v>1804</v>
      </c>
      <c r="G284" s="129" t="s">
        <v>1800</v>
      </c>
      <c r="H284" s="133"/>
      <c r="I284" s="129"/>
      <c r="J284" s="130"/>
      <c r="K284" s="130"/>
      <c r="L284" s="130"/>
      <c r="M284" s="130"/>
      <c r="N284" s="140"/>
      <c r="O284" s="150"/>
      <c r="P284" s="150"/>
      <c r="Q284" s="134"/>
      <c r="R284" s="134"/>
      <c r="S284" s="134"/>
      <c r="T284" s="134"/>
      <c r="U284" s="134"/>
      <c r="V284" s="134"/>
      <c r="W284" s="134"/>
      <c r="X284" s="134"/>
      <c r="Y284" s="134"/>
    </row>
    <row r="285">
      <c r="A285" s="126" t="s">
        <v>1805</v>
      </c>
      <c r="B285" s="127" t="s">
        <v>1044</v>
      </c>
      <c r="C285" s="135" t="s">
        <v>1782</v>
      </c>
      <c r="D285" s="144" t="s">
        <v>1043</v>
      </c>
      <c r="E285" s="139" t="s">
        <v>1233</v>
      </c>
      <c r="F285" s="63" t="s">
        <v>1806</v>
      </c>
      <c r="G285" s="129" t="s">
        <v>1800</v>
      </c>
      <c r="H285" s="133"/>
      <c r="I285" s="129"/>
      <c r="J285" s="130"/>
      <c r="K285" s="130"/>
      <c r="L285" s="130"/>
      <c r="M285" s="130"/>
      <c r="N285" s="140"/>
      <c r="O285" s="150"/>
      <c r="P285" s="150"/>
      <c r="Q285" s="134"/>
      <c r="R285" s="134"/>
      <c r="S285" s="134"/>
      <c r="T285" s="134"/>
      <c r="U285" s="134"/>
      <c r="V285" s="134"/>
      <c r="W285" s="134"/>
      <c r="X285" s="134"/>
      <c r="Y285" s="134"/>
    </row>
    <row r="286">
      <c r="A286" s="126" t="s">
        <v>1807</v>
      </c>
      <c r="B286" s="127" t="s">
        <v>1047</v>
      </c>
      <c r="C286" s="135" t="s">
        <v>1784</v>
      </c>
      <c r="D286" s="144" t="s">
        <v>1046</v>
      </c>
      <c r="E286" s="139" t="s">
        <v>1233</v>
      </c>
      <c r="F286" s="63" t="s">
        <v>1808</v>
      </c>
      <c r="G286" s="129" t="s">
        <v>1800</v>
      </c>
      <c r="H286" s="133"/>
      <c r="I286" s="129"/>
      <c r="J286" s="130"/>
      <c r="K286" s="130"/>
      <c r="L286" s="130"/>
      <c r="M286" s="130"/>
      <c r="N286" s="140"/>
      <c r="O286" s="150"/>
      <c r="P286" s="150"/>
      <c r="Q286" s="134"/>
      <c r="R286" s="134"/>
      <c r="S286" s="134"/>
      <c r="T286" s="134"/>
      <c r="U286" s="134"/>
      <c r="V286" s="134"/>
      <c r="W286" s="134"/>
      <c r="X286" s="134"/>
      <c r="Y286" s="134"/>
    </row>
    <row r="287">
      <c r="A287" s="126" t="s">
        <v>1809</v>
      </c>
      <c r="B287" s="127" t="s">
        <v>1049</v>
      </c>
      <c r="C287" s="135" t="s">
        <v>1784</v>
      </c>
      <c r="D287" s="144" t="s">
        <v>1048</v>
      </c>
      <c r="E287" s="139" t="s">
        <v>1233</v>
      </c>
      <c r="F287" s="63" t="s">
        <v>1810</v>
      </c>
      <c r="G287" s="129" t="s">
        <v>1800</v>
      </c>
      <c r="H287" s="133"/>
      <c r="I287" s="129"/>
      <c r="J287" s="130"/>
      <c r="K287" s="130"/>
      <c r="L287" s="130"/>
      <c r="M287" s="130"/>
      <c r="N287" s="140"/>
      <c r="O287" s="150"/>
      <c r="P287" s="150"/>
      <c r="Q287" s="134"/>
      <c r="R287" s="134"/>
      <c r="S287" s="134"/>
      <c r="T287" s="134"/>
      <c r="U287" s="134"/>
      <c r="V287" s="134"/>
      <c r="W287" s="134"/>
      <c r="X287" s="134"/>
      <c r="Y287" s="134"/>
    </row>
    <row r="288">
      <c r="A288" s="126" t="s">
        <v>1811</v>
      </c>
      <c r="B288" s="127" t="s">
        <v>1051</v>
      </c>
      <c r="C288" s="135" t="s">
        <v>1784</v>
      </c>
      <c r="D288" s="144" t="s">
        <v>1050</v>
      </c>
      <c r="E288" s="139" t="s">
        <v>1233</v>
      </c>
      <c r="F288" s="63" t="s">
        <v>1812</v>
      </c>
      <c r="G288" s="129" t="s">
        <v>1800</v>
      </c>
      <c r="H288" s="133"/>
      <c r="I288" s="129"/>
      <c r="J288" s="130"/>
      <c r="K288" s="130"/>
      <c r="L288" s="130"/>
      <c r="M288" s="130"/>
      <c r="N288" s="140"/>
      <c r="O288" s="150"/>
      <c r="P288" s="150"/>
      <c r="Q288" s="134"/>
      <c r="R288" s="134"/>
      <c r="S288" s="134"/>
      <c r="T288" s="134"/>
      <c r="U288" s="134"/>
      <c r="V288" s="134"/>
      <c r="W288" s="134"/>
      <c r="X288" s="134"/>
      <c r="Y288" s="134"/>
    </row>
    <row r="289">
      <c r="A289" s="126" t="s">
        <v>1813</v>
      </c>
      <c r="B289" s="127" t="s">
        <v>1054</v>
      </c>
      <c r="C289" s="135" t="s">
        <v>1786</v>
      </c>
      <c r="D289" s="144" t="s">
        <v>1053</v>
      </c>
      <c r="E289" s="139" t="s">
        <v>1233</v>
      </c>
      <c r="F289" s="63" t="s">
        <v>1814</v>
      </c>
      <c r="G289" s="129" t="s">
        <v>1800</v>
      </c>
      <c r="H289" s="133"/>
      <c r="I289" s="129"/>
      <c r="J289" s="130"/>
      <c r="K289" s="130"/>
      <c r="L289" s="130"/>
      <c r="M289" s="130"/>
      <c r="N289" s="140"/>
      <c r="O289" s="150"/>
      <c r="P289" s="150"/>
      <c r="Q289" s="134"/>
      <c r="R289" s="134"/>
      <c r="S289" s="134"/>
      <c r="T289" s="134"/>
      <c r="U289" s="134"/>
      <c r="V289" s="134"/>
      <c r="W289" s="134"/>
      <c r="X289" s="134"/>
      <c r="Y289" s="134"/>
    </row>
    <row r="290">
      <c r="A290" s="126" t="s">
        <v>1815</v>
      </c>
      <c r="B290" s="127" t="s">
        <v>1057</v>
      </c>
      <c r="C290" s="135" t="s">
        <v>1788</v>
      </c>
      <c r="D290" s="144" t="s">
        <v>1056</v>
      </c>
      <c r="E290" s="139" t="s">
        <v>1233</v>
      </c>
      <c r="F290" s="63" t="s">
        <v>1816</v>
      </c>
      <c r="G290" s="129" t="s">
        <v>1800</v>
      </c>
      <c r="H290" s="133"/>
      <c r="I290" s="129"/>
      <c r="J290" s="130"/>
      <c r="K290" s="130"/>
      <c r="L290" s="130"/>
      <c r="M290" s="130"/>
      <c r="N290" s="140"/>
      <c r="O290" s="150"/>
      <c r="P290" s="150"/>
      <c r="Q290" s="134"/>
      <c r="R290" s="134"/>
      <c r="S290" s="134"/>
      <c r="T290" s="134"/>
      <c r="U290" s="134"/>
      <c r="V290" s="134"/>
      <c r="W290" s="134"/>
      <c r="X290" s="134"/>
      <c r="Y290" s="134"/>
    </row>
    <row r="291">
      <c r="A291" s="126" t="s">
        <v>1817</v>
      </c>
      <c r="B291" s="127" t="s">
        <v>1060</v>
      </c>
      <c r="C291" s="135" t="s">
        <v>1790</v>
      </c>
      <c r="D291" s="144" t="s">
        <v>1059</v>
      </c>
      <c r="E291" s="139" t="s">
        <v>1233</v>
      </c>
      <c r="F291" s="63" t="s">
        <v>1818</v>
      </c>
      <c r="G291" s="129" t="s">
        <v>1800</v>
      </c>
      <c r="H291" s="133"/>
      <c r="I291" s="129"/>
      <c r="J291" s="130"/>
      <c r="K291" s="130"/>
      <c r="L291" s="130"/>
      <c r="M291" s="130"/>
      <c r="N291" s="140"/>
      <c r="O291" s="150"/>
      <c r="P291" s="150"/>
      <c r="Q291" s="134"/>
      <c r="R291" s="134"/>
      <c r="S291" s="134"/>
      <c r="T291" s="134"/>
      <c r="U291" s="134"/>
      <c r="V291" s="134"/>
      <c r="W291" s="134"/>
      <c r="X291" s="134"/>
      <c r="Y291" s="134"/>
    </row>
    <row r="292">
      <c r="A292" s="126" t="s">
        <v>1819</v>
      </c>
      <c r="B292" s="127" t="s">
        <v>1062</v>
      </c>
      <c r="C292" s="135" t="s">
        <v>1790</v>
      </c>
      <c r="D292" s="144" t="s">
        <v>1061</v>
      </c>
      <c r="E292" s="139" t="s">
        <v>1233</v>
      </c>
      <c r="F292" s="63" t="s">
        <v>1820</v>
      </c>
      <c r="G292" s="129" t="s">
        <v>1800</v>
      </c>
      <c r="H292" s="133"/>
      <c r="I292" s="129"/>
      <c r="J292" s="130"/>
      <c r="K292" s="130"/>
      <c r="L292" s="130"/>
      <c r="M292" s="130"/>
      <c r="N292" s="140"/>
      <c r="O292" s="150"/>
      <c r="P292" s="150"/>
      <c r="Q292" s="134"/>
      <c r="R292" s="134"/>
      <c r="S292" s="134"/>
      <c r="T292" s="134"/>
      <c r="U292" s="134"/>
      <c r="V292" s="134"/>
      <c r="W292" s="134"/>
      <c r="X292" s="134"/>
      <c r="Y292" s="134"/>
    </row>
    <row r="293">
      <c r="A293" s="126" t="s">
        <v>1821</v>
      </c>
      <c r="B293" s="127" t="s">
        <v>1064</v>
      </c>
      <c r="C293" s="135" t="s">
        <v>1790</v>
      </c>
      <c r="D293" s="144" t="s">
        <v>1063</v>
      </c>
      <c r="E293" s="139" t="s">
        <v>1233</v>
      </c>
      <c r="F293" s="63" t="s">
        <v>1822</v>
      </c>
      <c r="G293" s="129" t="s">
        <v>1800</v>
      </c>
      <c r="H293" s="133"/>
      <c r="I293" s="129"/>
      <c r="J293" s="130"/>
      <c r="K293" s="130"/>
      <c r="L293" s="130"/>
      <c r="M293" s="130"/>
      <c r="N293" s="140"/>
      <c r="O293" s="150"/>
      <c r="P293" s="150"/>
      <c r="Q293" s="134"/>
      <c r="R293" s="134"/>
      <c r="S293" s="134"/>
      <c r="T293" s="134"/>
      <c r="U293" s="134"/>
      <c r="V293" s="134"/>
      <c r="W293" s="134"/>
      <c r="X293" s="134"/>
      <c r="Y293" s="134"/>
    </row>
    <row r="294">
      <c r="A294" s="126" t="s">
        <v>1823</v>
      </c>
      <c r="B294" s="127" t="s">
        <v>1067</v>
      </c>
      <c r="C294" s="135" t="s">
        <v>1792</v>
      </c>
      <c r="D294" s="144" t="s">
        <v>1066</v>
      </c>
      <c r="E294" s="139" t="s">
        <v>1233</v>
      </c>
      <c r="F294" s="63" t="s">
        <v>1824</v>
      </c>
      <c r="G294" s="129" t="s">
        <v>1800</v>
      </c>
      <c r="H294" s="133"/>
      <c r="I294" s="129"/>
      <c r="J294" s="130"/>
      <c r="K294" s="130"/>
      <c r="L294" s="130"/>
      <c r="M294" s="130"/>
      <c r="N294" s="140"/>
      <c r="O294" s="150"/>
      <c r="P294" s="150"/>
      <c r="Q294" s="134"/>
      <c r="R294" s="134"/>
      <c r="S294" s="134"/>
      <c r="T294" s="134"/>
      <c r="U294" s="134"/>
      <c r="V294" s="134"/>
      <c r="W294" s="134"/>
      <c r="X294" s="134"/>
      <c r="Y294" s="134"/>
    </row>
    <row r="295">
      <c r="A295" s="126" t="s">
        <v>1825</v>
      </c>
      <c r="B295" s="127" t="s">
        <v>1069</v>
      </c>
      <c r="C295" s="135" t="s">
        <v>1792</v>
      </c>
      <c r="D295" s="144" t="s">
        <v>1068</v>
      </c>
      <c r="E295" s="139" t="s">
        <v>1233</v>
      </c>
      <c r="F295" s="63" t="s">
        <v>1826</v>
      </c>
      <c r="G295" s="129" t="s">
        <v>1800</v>
      </c>
      <c r="H295" s="133"/>
      <c r="I295" s="129"/>
      <c r="J295" s="130"/>
      <c r="K295" s="130"/>
      <c r="L295" s="130"/>
      <c r="M295" s="130"/>
      <c r="N295" s="140"/>
      <c r="O295" s="150"/>
      <c r="P295" s="150"/>
      <c r="Q295" s="134"/>
      <c r="R295" s="134"/>
      <c r="S295" s="134"/>
      <c r="T295" s="134"/>
      <c r="U295" s="134"/>
      <c r="V295" s="134"/>
      <c r="W295" s="134"/>
      <c r="X295" s="134"/>
      <c r="Y295" s="134"/>
    </row>
    <row r="296">
      <c r="A296" s="126" t="s">
        <v>1827</v>
      </c>
      <c r="B296" s="127" t="s">
        <v>1072</v>
      </c>
      <c r="C296" s="135" t="s">
        <v>1794</v>
      </c>
      <c r="D296" s="144" t="s">
        <v>1071</v>
      </c>
      <c r="E296" s="139" t="s">
        <v>1233</v>
      </c>
      <c r="F296" s="63" t="s">
        <v>1828</v>
      </c>
      <c r="G296" s="129" t="s">
        <v>1800</v>
      </c>
      <c r="H296" s="133"/>
      <c r="I296" s="129"/>
      <c r="J296" s="130"/>
      <c r="K296" s="130"/>
      <c r="L296" s="130"/>
      <c r="M296" s="130"/>
      <c r="N296" s="140"/>
      <c r="O296" s="150"/>
      <c r="P296" s="150"/>
      <c r="Q296" s="134"/>
      <c r="R296" s="134"/>
      <c r="S296" s="134"/>
      <c r="T296" s="134"/>
      <c r="U296" s="134"/>
      <c r="V296" s="134"/>
      <c r="W296" s="134"/>
      <c r="X296" s="134"/>
      <c r="Y296" s="134"/>
    </row>
    <row r="297">
      <c r="A297" s="126" t="s">
        <v>1829</v>
      </c>
      <c r="B297" s="127" t="s">
        <v>1079</v>
      </c>
      <c r="C297" s="135" t="s">
        <v>1798</v>
      </c>
      <c r="D297" s="144" t="s">
        <v>1078</v>
      </c>
      <c r="E297" s="139" t="s">
        <v>1233</v>
      </c>
      <c r="F297" s="63" t="s">
        <v>1830</v>
      </c>
      <c r="G297" s="129" t="s">
        <v>1800</v>
      </c>
      <c r="H297" s="133"/>
      <c r="I297" s="129"/>
      <c r="J297" s="130"/>
      <c r="K297" s="130"/>
      <c r="L297" s="130"/>
      <c r="M297" s="130"/>
      <c r="N297" s="140"/>
      <c r="O297" s="150"/>
      <c r="P297" s="150"/>
      <c r="Q297" s="134"/>
      <c r="R297" s="134"/>
      <c r="S297" s="134"/>
      <c r="T297" s="134"/>
      <c r="U297" s="134"/>
      <c r="V297" s="134"/>
      <c r="W297" s="134"/>
      <c r="X297" s="134"/>
      <c r="Y297" s="134"/>
    </row>
    <row r="298">
      <c r="A298" s="126" t="s">
        <v>1831</v>
      </c>
      <c r="B298" s="127" t="s">
        <v>1083</v>
      </c>
      <c r="C298" s="135" t="s">
        <v>1798</v>
      </c>
      <c r="D298" s="144" t="s">
        <v>1082</v>
      </c>
      <c r="E298" s="139" t="s">
        <v>1233</v>
      </c>
      <c r="F298" s="63" t="s">
        <v>1832</v>
      </c>
      <c r="G298" s="129" t="s">
        <v>1800</v>
      </c>
      <c r="H298" s="133"/>
      <c r="I298" s="129"/>
      <c r="J298" s="130"/>
      <c r="K298" s="130"/>
      <c r="L298" s="130"/>
      <c r="M298" s="130"/>
      <c r="N298" s="140"/>
      <c r="O298" s="150"/>
      <c r="P298" s="150"/>
      <c r="Q298" s="134"/>
      <c r="R298" s="134"/>
      <c r="S298" s="134"/>
      <c r="T298" s="134"/>
      <c r="U298" s="134"/>
      <c r="V298" s="134"/>
      <c r="W298" s="134"/>
      <c r="X298" s="134"/>
      <c r="Y298" s="134"/>
    </row>
    <row r="299">
      <c r="A299" s="126" t="s">
        <v>1833</v>
      </c>
      <c r="B299" s="127" t="s">
        <v>1085</v>
      </c>
      <c r="C299" s="135" t="s">
        <v>1798</v>
      </c>
      <c r="D299" s="144" t="s">
        <v>1084</v>
      </c>
      <c r="E299" s="139" t="s">
        <v>1233</v>
      </c>
      <c r="F299" s="63" t="s">
        <v>1834</v>
      </c>
      <c r="G299" s="129" t="s">
        <v>1800</v>
      </c>
      <c r="H299" s="133"/>
      <c r="I299" s="129"/>
      <c r="J299" s="130"/>
      <c r="K299" s="130"/>
      <c r="L299" s="130"/>
      <c r="M299" s="130"/>
      <c r="N299" s="140"/>
      <c r="O299" s="150"/>
      <c r="P299" s="150"/>
      <c r="Q299" s="134"/>
      <c r="R299" s="134"/>
      <c r="S299" s="134"/>
      <c r="T299" s="134"/>
      <c r="U299" s="134"/>
      <c r="V299" s="134"/>
      <c r="W299" s="134"/>
      <c r="X299" s="134"/>
      <c r="Y299" s="134"/>
    </row>
    <row r="300">
      <c r="A300" s="126" t="s">
        <v>1835</v>
      </c>
      <c r="B300" s="127" t="s">
        <v>1089</v>
      </c>
      <c r="C300" s="135" t="s">
        <v>1801</v>
      </c>
      <c r="D300" s="144" t="s">
        <v>1088</v>
      </c>
      <c r="E300" s="139" t="s">
        <v>1233</v>
      </c>
      <c r="F300" s="63" t="s">
        <v>1836</v>
      </c>
      <c r="G300" s="129" t="s">
        <v>1800</v>
      </c>
      <c r="H300" s="133"/>
      <c r="I300" s="129"/>
      <c r="J300" s="130"/>
      <c r="K300" s="130"/>
      <c r="L300" s="130"/>
      <c r="M300" s="130"/>
      <c r="N300" s="140"/>
      <c r="O300" s="150"/>
      <c r="P300" s="150"/>
      <c r="Q300" s="134"/>
      <c r="R300" s="134"/>
      <c r="S300" s="134"/>
      <c r="T300" s="134"/>
      <c r="U300" s="134"/>
      <c r="V300" s="134"/>
      <c r="W300" s="134"/>
      <c r="X300" s="134"/>
      <c r="Y300" s="134"/>
    </row>
    <row r="301">
      <c r="A301" s="126" t="s">
        <v>1837</v>
      </c>
      <c r="B301" s="127" t="s">
        <v>1091</v>
      </c>
      <c r="C301" s="135" t="s">
        <v>1801</v>
      </c>
      <c r="D301" s="144" t="s">
        <v>1090</v>
      </c>
      <c r="E301" s="139" t="s">
        <v>1233</v>
      </c>
      <c r="F301" s="63" t="s">
        <v>1838</v>
      </c>
      <c r="G301" s="129" t="s">
        <v>1800</v>
      </c>
      <c r="H301" s="133"/>
      <c r="I301" s="129"/>
      <c r="J301" s="130"/>
      <c r="K301" s="130"/>
      <c r="L301" s="130"/>
      <c r="M301" s="130"/>
      <c r="N301" s="140"/>
      <c r="O301" s="150"/>
      <c r="P301" s="150"/>
      <c r="Q301" s="134"/>
      <c r="R301" s="134"/>
      <c r="S301" s="134"/>
      <c r="T301" s="134"/>
      <c r="U301" s="134"/>
      <c r="V301" s="134"/>
      <c r="W301" s="134"/>
      <c r="X301" s="134"/>
      <c r="Y301" s="134"/>
    </row>
    <row r="302">
      <c r="A302" s="126" t="s">
        <v>1839</v>
      </c>
      <c r="B302" s="127" t="s">
        <v>1093</v>
      </c>
      <c r="C302" s="135" t="s">
        <v>1801</v>
      </c>
      <c r="D302" s="144" t="s">
        <v>1092</v>
      </c>
      <c r="E302" s="139" t="s">
        <v>1233</v>
      </c>
      <c r="F302" s="63" t="s">
        <v>1840</v>
      </c>
      <c r="G302" s="129" t="s">
        <v>1800</v>
      </c>
      <c r="H302" s="133"/>
      <c r="I302" s="129"/>
      <c r="J302" s="130"/>
      <c r="K302" s="130"/>
      <c r="L302" s="130"/>
      <c r="M302" s="130"/>
      <c r="N302" s="140"/>
      <c r="O302" s="150"/>
      <c r="P302" s="150"/>
      <c r="Q302" s="134"/>
      <c r="R302" s="134"/>
      <c r="S302" s="134"/>
      <c r="T302" s="134"/>
      <c r="U302" s="134"/>
      <c r="V302" s="134"/>
      <c r="W302" s="134"/>
      <c r="X302" s="134"/>
      <c r="Y302" s="134"/>
    </row>
    <row r="303">
      <c r="A303" s="126" t="s">
        <v>1841</v>
      </c>
      <c r="B303" s="127" t="s">
        <v>1096</v>
      </c>
      <c r="C303" s="135" t="s">
        <v>1803</v>
      </c>
      <c r="D303" s="144" t="s">
        <v>1095</v>
      </c>
      <c r="E303" s="139" t="s">
        <v>1233</v>
      </c>
      <c r="F303" s="63" t="s">
        <v>1842</v>
      </c>
      <c r="G303" s="129" t="s">
        <v>1800</v>
      </c>
      <c r="H303" s="133"/>
      <c r="I303" s="129"/>
      <c r="J303" s="130"/>
      <c r="K303" s="130"/>
      <c r="L303" s="130"/>
      <c r="M303" s="130"/>
      <c r="N303" s="140"/>
      <c r="O303" s="150"/>
      <c r="P303" s="150"/>
      <c r="Q303" s="134"/>
      <c r="R303" s="134"/>
      <c r="S303" s="134"/>
      <c r="T303" s="134"/>
      <c r="U303" s="134"/>
      <c r="V303" s="134"/>
      <c r="W303" s="134"/>
      <c r="X303" s="134"/>
      <c r="Y303" s="134"/>
    </row>
    <row r="304">
      <c r="A304" s="126" t="s">
        <v>1843</v>
      </c>
      <c r="B304" s="127" t="s">
        <v>1101</v>
      </c>
      <c r="C304" s="135" t="s">
        <v>1805</v>
      </c>
      <c r="D304" s="144" t="s">
        <v>1100</v>
      </c>
      <c r="E304" s="139" t="s">
        <v>1233</v>
      </c>
      <c r="F304" s="63" t="s">
        <v>1844</v>
      </c>
      <c r="G304" s="129" t="s">
        <v>1800</v>
      </c>
      <c r="H304" s="133"/>
      <c r="I304" s="129"/>
      <c r="J304" s="130"/>
      <c r="K304" s="130"/>
      <c r="L304" s="130"/>
      <c r="M304" s="130"/>
      <c r="N304" s="140"/>
      <c r="O304" s="150"/>
      <c r="P304" s="150"/>
      <c r="Q304" s="134"/>
      <c r="R304" s="134"/>
      <c r="S304" s="134"/>
      <c r="T304" s="134"/>
      <c r="U304" s="134"/>
      <c r="V304" s="134"/>
      <c r="W304" s="134"/>
      <c r="X304" s="134"/>
      <c r="Y304" s="134"/>
    </row>
    <row r="305">
      <c r="A305" s="126" t="s">
        <v>1845</v>
      </c>
      <c r="B305" s="127" t="s">
        <v>1103</v>
      </c>
      <c r="C305" s="135" t="s">
        <v>1805</v>
      </c>
      <c r="D305" s="144" t="s">
        <v>1102</v>
      </c>
      <c r="E305" s="139" t="s">
        <v>1233</v>
      </c>
      <c r="F305" s="63" t="s">
        <v>1846</v>
      </c>
      <c r="G305" s="129" t="s">
        <v>1800</v>
      </c>
      <c r="H305" s="133"/>
      <c r="I305" s="129"/>
      <c r="J305" s="130"/>
      <c r="K305" s="130"/>
      <c r="L305" s="130"/>
      <c r="M305" s="130"/>
      <c r="N305" s="140"/>
      <c r="O305" s="150"/>
      <c r="P305" s="150"/>
      <c r="Q305" s="134"/>
      <c r="R305" s="134"/>
      <c r="S305" s="134"/>
      <c r="T305" s="134"/>
      <c r="U305" s="134"/>
      <c r="V305" s="134"/>
      <c r="W305" s="134"/>
      <c r="X305" s="134"/>
      <c r="Y305" s="134"/>
    </row>
    <row r="306">
      <c r="A306" s="126" t="s">
        <v>1847</v>
      </c>
      <c r="B306" s="127" t="s">
        <v>1111</v>
      </c>
      <c r="C306" s="135" t="s">
        <v>1811</v>
      </c>
      <c r="D306" s="144" t="s">
        <v>1110</v>
      </c>
      <c r="E306" s="139" t="s">
        <v>1233</v>
      </c>
      <c r="F306" s="63" t="s">
        <v>1848</v>
      </c>
      <c r="G306" s="129" t="s">
        <v>1800</v>
      </c>
      <c r="H306" s="133"/>
      <c r="I306" s="129"/>
      <c r="J306" s="130"/>
      <c r="K306" s="130"/>
      <c r="L306" s="130"/>
      <c r="M306" s="130"/>
      <c r="N306" s="140"/>
      <c r="O306" s="150"/>
      <c r="P306" s="150"/>
      <c r="Q306" s="134"/>
      <c r="R306" s="134"/>
      <c r="S306" s="134"/>
      <c r="T306" s="134"/>
      <c r="U306" s="134"/>
      <c r="V306" s="134"/>
      <c r="W306" s="134"/>
      <c r="X306" s="134"/>
      <c r="Y306" s="134"/>
    </row>
    <row r="307">
      <c r="A307" s="126" t="s">
        <v>1849</v>
      </c>
      <c r="B307" s="127" t="s">
        <v>1118</v>
      </c>
      <c r="C307" s="135" t="s">
        <v>1817</v>
      </c>
      <c r="D307" s="144" t="s">
        <v>1117</v>
      </c>
      <c r="E307" s="139" t="s">
        <v>1233</v>
      </c>
      <c r="F307" s="63" t="s">
        <v>1850</v>
      </c>
      <c r="G307" s="129" t="s">
        <v>1800</v>
      </c>
      <c r="H307" s="133"/>
      <c r="I307" s="129"/>
      <c r="J307" s="130"/>
      <c r="K307" s="130"/>
      <c r="L307" s="130"/>
      <c r="M307" s="130"/>
      <c r="N307" s="140"/>
      <c r="O307" s="150"/>
      <c r="P307" s="150"/>
      <c r="Q307" s="134"/>
      <c r="R307" s="134"/>
      <c r="S307" s="134"/>
      <c r="T307" s="134"/>
      <c r="U307" s="134"/>
      <c r="V307" s="134"/>
      <c r="W307" s="134"/>
      <c r="X307" s="134"/>
      <c r="Y307" s="134"/>
    </row>
    <row r="308">
      <c r="A308" s="126" t="s">
        <v>1851</v>
      </c>
      <c r="B308" s="127" t="s">
        <v>1120</v>
      </c>
      <c r="C308" s="135" t="s">
        <v>1817</v>
      </c>
      <c r="D308" s="144" t="s">
        <v>1119</v>
      </c>
      <c r="E308" s="139" t="s">
        <v>1233</v>
      </c>
      <c r="F308" s="63" t="s">
        <v>1852</v>
      </c>
      <c r="G308" s="129" t="s">
        <v>1800</v>
      </c>
      <c r="H308" s="133"/>
      <c r="I308" s="129"/>
      <c r="J308" s="130"/>
      <c r="K308" s="130"/>
      <c r="L308" s="130"/>
      <c r="M308" s="130"/>
      <c r="N308" s="140"/>
      <c r="O308" s="150"/>
      <c r="P308" s="150"/>
      <c r="Q308" s="134"/>
      <c r="R308" s="134"/>
      <c r="S308" s="134"/>
      <c r="T308" s="134"/>
      <c r="U308" s="134"/>
      <c r="V308" s="134"/>
      <c r="W308" s="134"/>
      <c r="X308" s="134"/>
      <c r="Y308" s="134"/>
    </row>
    <row r="309">
      <c r="A309" s="126" t="s">
        <v>1853</v>
      </c>
      <c r="B309" s="127" t="s">
        <v>1133</v>
      </c>
      <c r="C309" s="135" t="s">
        <v>1825</v>
      </c>
      <c r="D309" s="144" t="s">
        <v>1132</v>
      </c>
      <c r="E309" s="139" t="s">
        <v>1233</v>
      </c>
      <c r="F309" s="63" t="s">
        <v>1854</v>
      </c>
      <c r="G309" s="129" t="s">
        <v>1800</v>
      </c>
      <c r="H309" s="133"/>
      <c r="I309" s="129"/>
      <c r="J309" s="130"/>
      <c r="K309" s="130"/>
      <c r="L309" s="130"/>
      <c r="M309" s="130"/>
      <c r="N309" s="140"/>
      <c r="O309" s="150"/>
      <c r="P309" s="150"/>
      <c r="Q309" s="134"/>
      <c r="R309" s="134"/>
      <c r="S309" s="134"/>
      <c r="T309" s="134"/>
      <c r="U309" s="134"/>
      <c r="V309" s="134"/>
      <c r="W309" s="134"/>
      <c r="X309" s="134"/>
      <c r="Y309" s="134"/>
    </row>
    <row r="310">
      <c r="A310" s="126" t="s">
        <v>1855</v>
      </c>
      <c r="B310" s="127" t="s">
        <v>1141</v>
      </c>
      <c r="C310" s="135" t="s">
        <v>1833</v>
      </c>
      <c r="D310" s="144" t="s">
        <v>1141</v>
      </c>
      <c r="E310" s="139" t="s">
        <v>1233</v>
      </c>
      <c r="F310" s="63" t="s">
        <v>1856</v>
      </c>
      <c r="G310" s="129" t="s">
        <v>1800</v>
      </c>
      <c r="H310" s="133"/>
      <c r="I310" s="129"/>
      <c r="J310" s="130"/>
      <c r="K310" s="130"/>
      <c r="L310" s="130"/>
      <c r="M310" s="130"/>
      <c r="N310" s="140"/>
      <c r="O310" s="150"/>
      <c r="P310" s="150"/>
      <c r="Q310" s="134"/>
      <c r="R310" s="134"/>
      <c r="S310" s="134"/>
      <c r="T310" s="134"/>
      <c r="U310" s="134"/>
      <c r="V310" s="134"/>
      <c r="W310" s="134"/>
      <c r="X310" s="134"/>
      <c r="Y310" s="134"/>
    </row>
    <row r="311">
      <c r="A311" s="126" t="s">
        <v>1857</v>
      </c>
      <c r="B311" s="127" t="s">
        <v>1144</v>
      </c>
      <c r="C311" s="135" t="s">
        <v>1833</v>
      </c>
      <c r="D311" s="144" t="s">
        <v>1143</v>
      </c>
      <c r="E311" s="139" t="s">
        <v>1233</v>
      </c>
      <c r="F311" s="63" t="s">
        <v>1858</v>
      </c>
      <c r="G311" s="129" t="s">
        <v>1800</v>
      </c>
      <c r="H311" s="133"/>
      <c r="I311" s="129"/>
      <c r="J311" s="130"/>
      <c r="K311" s="130"/>
      <c r="L311" s="130"/>
      <c r="M311" s="130"/>
      <c r="N311" s="140"/>
      <c r="O311" s="150"/>
      <c r="P311" s="150"/>
      <c r="Q311" s="134"/>
      <c r="R311" s="134"/>
      <c r="S311" s="134"/>
      <c r="T311" s="134"/>
      <c r="U311" s="134"/>
      <c r="V311" s="134"/>
      <c r="W311" s="134"/>
      <c r="X311" s="134"/>
      <c r="Y311" s="134"/>
    </row>
    <row r="312">
      <c r="A312" s="126" t="s">
        <v>1859</v>
      </c>
      <c r="B312" s="127" t="s">
        <v>1147</v>
      </c>
      <c r="C312" s="135" t="s">
        <v>1835</v>
      </c>
      <c r="D312" s="144" t="s">
        <v>1146</v>
      </c>
      <c r="E312" s="139" t="s">
        <v>1233</v>
      </c>
      <c r="F312" s="63" t="s">
        <v>1860</v>
      </c>
      <c r="G312" s="129" t="s">
        <v>1800</v>
      </c>
      <c r="H312" s="133"/>
      <c r="I312" s="129"/>
      <c r="J312" s="130"/>
      <c r="K312" s="130"/>
      <c r="L312" s="130"/>
      <c r="M312" s="130"/>
      <c r="N312" s="140"/>
      <c r="O312" s="150"/>
      <c r="P312" s="150"/>
      <c r="Q312" s="134"/>
      <c r="R312" s="134"/>
      <c r="S312" s="134"/>
      <c r="T312" s="134"/>
      <c r="U312" s="134"/>
      <c r="V312" s="134"/>
      <c r="W312" s="134"/>
      <c r="X312" s="134"/>
      <c r="Y312" s="134"/>
    </row>
    <row r="313">
      <c r="A313" s="126" t="s">
        <v>1861</v>
      </c>
      <c r="B313" s="127" t="s">
        <v>1150</v>
      </c>
      <c r="C313" s="135" t="s">
        <v>1837</v>
      </c>
      <c r="D313" s="144" t="s">
        <v>1149</v>
      </c>
      <c r="E313" s="139" t="s">
        <v>1233</v>
      </c>
      <c r="F313" s="63" t="s">
        <v>1862</v>
      </c>
      <c r="G313" s="129" t="s">
        <v>1800</v>
      </c>
      <c r="H313" s="133"/>
      <c r="I313" s="129"/>
      <c r="J313" s="130"/>
      <c r="K313" s="130"/>
      <c r="L313" s="130"/>
      <c r="M313" s="130"/>
      <c r="N313" s="140"/>
      <c r="O313" s="150"/>
      <c r="P313" s="150"/>
      <c r="Q313" s="134"/>
      <c r="R313" s="134"/>
      <c r="S313" s="134"/>
      <c r="T313" s="134"/>
      <c r="U313" s="134"/>
      <c r="V313" s="134"/>
      <c r="W313" s="134"/>
      <c r="X313" s="134"/>
      <c r="Y313" s="134"/>
    </row>
    <row r="314">
      <c r="A314" s="126" t="s">
        <v>1863</v>
      </c>
      <c r="B314" s="127" t="s">
        <v>1155</v>
      </c>
      <c r="C314" s="135" t="s">
        <v>1841</v>
      </c>
      <c r="D314" s="144" t="s">
        <v>1154</v>
      </c>
      <c r="E314" s="139" t="s">
        <v>1233</v>
      </c>
      <c r="F314" s="63" t="s">
        <v>1864</v>
      </c>
      <c r="G314" s="129" t="s">
        <v>1800</v>
      </c>
      <c r="H314" s="133"/>
      <c r="I314" s="129"/>
      <c r="J314" s="130"/>
      <c r="K314" s="130"/>
      <c r="L314" s="130"/>
      <c r="M314" s="130"/>
      <c r="N314" s="140"/>
      <c r="O314" s="150"/>
      <c r="P314" s="150"/>
      <c r="Q314" s="134"/>
      <c r="R314" s="134"/>
      <c r="S314" s="134"/>
      <c r="T314" s="134"/>
      <c r="U314" s="134"/>
      <c r="V314" s="134"/>
      <c r="W314" s="134"/>
      <c r="X314" s="134"/>
      <c r="Y314" s="134"/>
    </row>
    <row r="315">
      <c r="A315" s="126" t="s">
        <v>1865</v>
      </c>
      <c r="B315" s="127" t="s">
        <v>1158</v>
      </c>
      <c r="C315" s="135" t="s">
        <v>1843</v>
      </c>
      <c r="D315" s="144" t="s">
        <v>1157</v>
      </c>
      <c r="E315" s="139" t="s">
        <v>1233</v>
      </c>
      <c r="F315" s="63" t="s">
        <v>1866</v>
      </c>
      <c r="G315" s="129" t="s">
        <v>1800</v>
      </c>
      <c r="H315" s="133"/>
      <c r="I315" s="129"/>
      <c r="J315" s="130"/>
      <c r="K315" s="130"/>
      <c r="L315" s="130"/>
      <c r="M315" s="130"/>
      <c r="N315" s="140"/>
      <c r="O315" s="150"/>
      <c r="P315" s="150"/>
      <c r="Q315" s="134"/>
      <c r="R315" s="134"/>
      <c r="S315" s="134"/>
      <c r="T315" s="134"/>
      <c r="U315" s="134"/>
      <c r="V315" s="134"/>
      <c r="W315" s="134"/>
      <c r="X315" s="134"/>
      <c r="Y315" s="134"/>
    </row>
    <row r="316">
      <c r="A316" s="126" t="s">
        <v>1867</v>
      </c>
      <c r="B316" s="127" t="s">
        <v>1163</v>
      </c>
      <c r="C316" s="135" t="s">
        <v>1847</v>
      </c>
      <c r="D316" s="144" t="s">
        <v>1162</v>
      </c>
      <c r="E316" s="139" t="s">
        <v>1233</v>
      </c>
      <c r="F316" s="63" t="s">
        <v>1868</v>
      </c>
      <c r="G316" s="129" t="s">
        <v>1800</v>
      </c>
      <c r="H316" s="133"/>
      <c r="I316" s="129"/>
      <c r="J316" s="130"/>
      <c r="K316" s="130"/>
      <c r="L316" s="130"/>
      <c r="M316" s="130"/>
      <c r="N316" s="140"/>
      <c r="O316" s="150"/>
      <c r="P316" s="150"/>
      <c r="Q316" s="134"/>
      <c r="R316" s="134"/>
      <c r="S316" s="134"/>
      <c r="T316" s="134"/>
      <c r="U316" s="134"/>
      <c r="V316" s="134"/>
      <c r="W316" s="134"/>
      <c r="X316" s="134"/>
      <c r="Y316" s="134"/>
    </row>
    <row r="317">
      <c r="A317" s="126" t="s">
        <v>1869</v>
      </c>
      <c r="B317" s="127" t="s">
        <v>1165</v>
      </c>
      <c r="C317" s="135" t="s">
        <v>1847</v>
      </c>
      <c r="D317" s="144" t="s">
        <v>1164</v>
      </c>
      <c r="E317" s="139" t="s">
        <v>1233</v>
      </c>
      <c r="F317" s="63" t="s">
        <v>1870</v>
      </c>
      <c r="G317" s="129" t="s">
        <v>1800</v>
      </c>
      <c r="H317" s="133"/>
      <c r="I317" s="129"/>
      <c r="J317" s="130"/>
      <c r="K317" s="130"/>
      <c r="L317" s="130"/>
      <c r="M317" s="130"/>
      <c r="N317" s="140"/>
      <c r="O317" s="150"/>
      <c r="P317" s="150"/>
      <c r="Q317" s="134"/>
      <c r="R317" s="134"/>
      <c r="S317" s="134"/>
      <c r="T317" s="134"/>
      <c r="U317" s="134"/>
      <c r="V317" s="134"/>
      <c r="W317" s="134"/>
      <c r="X317" s="134"/>
      <c r="Y317" s="134"/>
    </row>
    <row r="318">
      <c r="A318" s="126" t="s">
        <v>1871</v>
      </c>
      <c r="B318" s="127" t="s">
        <v>1171</v>
      </c>
      <c r="C318" s="135" t="s">
        <v>1853</v>
      </c>
      <c r="D318" s="144" t="s">
        <v>1170</v>
      </c>
      <c r="E318" s="139" t="s">
        <v>1233</v>
      </c>
      <c r="F318" s="63" t="s">
        <v>1872</v>
      </c>
      <c r="G318" s="129" t="s">
        <v>1800</v>
      </c>
      <c r="H318" s="133"/>
      <c r="I318" s="129"/>
      <c r="J318" s="130"/>
      <c r="K318" s="130"/>
      <c r="L318" s="130"/>
      <c r="M318" s="130"/>
      <c r="N318" s="140"/>
      <c r="O318" s="150"/>
      <c r="P318" s="150"/>
      <c r="Q318" s="134"/>
      <c r="R318" s="134"/>
      <c r="S318" s="134"/>
      <c r="T318" s="134"/>
      <c r="U318" s="134"/>
      <c r="V318" s="134"/>
      <c r="W318" s="134"/>
      <c r="X318" s="134"/>
      <c r="Y318" s="134"/>
    </row>
    <row r="319">
      <c r="A319" s="126" t="s">
        <v>1873</v>
      </c>
      <c r="B319" s="127" t="s">
        <v>1181</v>
      </c>
      <c r="C319" s="135" t="s">
        <v>1865</v>
      </c>
      <c r="D319" s="144" t="s">
        <v>1180</v>
      </c>
      <c r="E319" s="139" t="s">
        <v>1233</v>
      </c>
      <c r="F319" s="63" t="s">
        <v>1874</v>
      </c>
      <c r="G319" s="129" t="s">
        <v>1800</v>
      </c>
      <c r="H319" s="133"/>
      <c r="I319" s="129"/>
      <c r="J319" s="130"/>
      <c r="K319" s="130"/>
      <c r="L319" s="130"/>
      <c r="M319" s="130"/>
      <c r="N319" s="140"/>
      <c r="O319" s="150"/>
      <c r="P319" s="150"/>
      <c r="Q319" s="134"/>
      <c r="R319" s="134"/>
      <c r="S319" s="134"/>
      <c r="T319" s="134"/>
      <c r="U319" s="134"/>
      <c r="V319" s="134"/>
      <c r="W319" s="134"/>
      <c r="X319" s="134"/>
      <c r="Y319" s="134"/>
    </row>
    <row r="320">
      <c r="A320" s="126" t="s">
        <v>1875</v>
      </c>
      <c r="B320" s="127" t="s">
        <v>1184</v>
      </c>
      <c r="C320" s="135" t="s">
        <v>1867</v>
      </c>
      <c r="D320" s="144" t="s">
        <v>1183</v>
      </c>
      <c r="E320" s="139" t="s">
        <v>1233</v>
      </c>
      <c r="F320" s="63" t="s">
        <v>1876</v>
      </c>
      <c r="G320" s="129" t="s">
        <v>1800</v>
      </c>
      <c r="H320" s="133"/>
      <c r="I320" s="129"/>
      <c r="J320" s="130"/>
      <c r="K320" s="130"/>
      <c r="L320" s="130"/>
      <c r="M320" s="130"/>
      <c r="N320" s="140"/>
      <c r="O320" s="150"/>
      <c r="P320" s="150"/>
      <c r="Q320" s="134"/>
      <c r="R320" s="134"/>
      <c r="S320" s="134"/>
      <c r="T320" s="134"/>
      <c r="U320" s="134"/>
      <c r="V320" s="134"/>
      <c r="W320" s="134"/>
      <c r="X320" s="134"/>
      <c r="Y320" s="134"/>
    </row>
    <row r="321">
      <c r="A321" s="126" t="s">
        <v>1877</v>
      </c>
      <c r="B321" s="127" t="s">
        <v>1187</v>
      </c>
      <c r="C321" s="135" t="s">
        <v>1869</v>
      </c>
      <c r="D321" s="144" t="s">
        <v>1186</v>
      </c>
      <c r="E321" s="139" t="s">
        <v>1233</v>
      </c>
      <c r="F321" s="63" t="s">
        <v>1878</v>
      </c>
      <c r="G321" s="129" t="s">
        <v>1800</v>
      </c>
      <c r="H321" s="133"/>
      <c r="I321" s="129"/>
      <c r="J321" s="130"/>
      <c r="K321" s="130"/>
      <c r="L321" s="130"/>
      <c r="M321" s="130"/>
      <c r="N321" s="140"/>
      <c r="O321" s="150"/>
      <c r="P321" s="150"/>
      <c r="Q321" s="134"/>
      <c r="R321" s="134"/>
      <c r="S321" s="134"/>
      <c r="T321" s="134"/>
      <c r="U321" s="134"/>
      <c r="V321" s="134"/>
      <c r="W321" s="134"/>
      <c r="X321" s="134"/>
      <c r="Y321" s="134"/>
    </row>
    <row r="322">
      <c r="A322" s="126" t="s">
        <v>1879</v>
      </c>
      <c r="B322" s="127" t="s">
        <v>1192</v>
      </c>
      <c r="C322" s="135" t="s">
        <v>1875</v>
      </c>
      <c r="D322" s="144" t="s">
        <v>1191</v>
      </c>
      <c r="E322" s="139" t="s">
        <v>1233</v>
      </c>
      <c r="F322" s="63" t="s">
        <v>1880</v>
      </c>
      <c r="G322" s="129" t="s">
        <v>1800</v>
      </c>
      <c r="H322" s="133"/>
      <c r="I322" s="129"/>
      <c r="J322" s="130"/>
      <c r="K322" s="130"/>
      <c r="L322" s="130"/>
      <c r="M322" s="130"/>
      <c r="N322" s="140"/>
      <c r="O322" s="150"/>
      <c r="P322" s="150"/>
      <c r="Q322" s="134"/>
      <c r="R322" s="134"/>
      <c r="S322" s="134"/>
      <c r="T322" s="134"/>
      <c r="U322" s="134"/>
      <c r="V322" s="134"/>
      <c r="W322" s="134"/>
      <c r="X322" s="134"/>
      <c r="Y322" s="134"/>
    </row>
    <row r="323">
      <c r="A323" s="126" t="s">
        <v>1881</v>
      </c>
      <c r="B323" s="127" t="s">
        <v>1194</v>
      </c>
      <c r="C323" s="135" t="s">
        <v>1875</v>
      </c>
      <c r="D323" s="144" t="s">
        <v>1193</v>
      </c>
      <c r="E323" s="139" t="s">
        <v>1233</v>
      </c>
      <c r="F323" s="63" t="s">
        <v>1882</v>
      </c>
      <c r="G323" s="129" t="s">
        <v>1800</v>
      </c>
      <c r="H323" s="133"/>
      <c r="I323" s="129"/>
      <c r="J323" s="130"/>
      <c r="K323" s="130"/>
      <c r="L323" s="130"/>
      <c r="M323" s="130"/>
      <c r="N323" s="140"/>
      <c r="O323" s="150"/>
      <c r="P323" s="150"/>
      <c r="Q323" s="134"/>
      <c r="R323" s="134"/>
      <c r="S323" s="134"/>
      <c r="T323" s="134"/>
      <c r="U323" s="134"/>
      <c r="V323" s="134"/>
      <c r="W323" s="134"/>
      <c r="X323" s="134"/>
      <c r="Y323" s="134"/>
    </row>
    <row r="324">
      <c r="A324" s="126" t="s">
        <v>1883</v>
      </c>
      <c r="B324" s="127" t="s">
        <v>1196</v>
      </c>
      <c r="C324" s="135" t="s">
        <v>1875</v>
      </c>
      <c r="D324" s="144" t="s">
        <v>1195</v>
      </c>
      <c r="E324" s="139" t="s">
        <v>1233</v>
      </c>
      <c r="F324" s="63" t="s">
        <v>1884</v>
      </c>
      <c r="G324" s="129" t="s">
        <v>1800</v>
      </c>
      <c r="H324" s="133"/>
      <c r="I324" s="129"/>
      <c r="J324" s="130"/>
      <c r="K324" s="130"/>
      <c r="L324" s="130"/>
      <c r="M324" s="130"/>
      <c r="N324" s="140"/>
      <c r="O324" s="150"/>
      <c r="P324" s="150"/>
      <c r="Q324" s="134"/>
      <c r="R324" s="134"/>
      <c r="S324" s="134"/>
      <c r="T324" s="134"/>
      <c r="U324" s="134"/>
      <c r="V324" s="134"/>
      <c r="W324" s="134"/>
      <c r="X324" s="134"/>
      <c r="Y324" s="134"/>
    </row>
    <row r="325">
      <c r="A325" s="126" t="s">
        <v>1885</v>
      </c>
      <c r="B325" s="127" t="s">
        <v>1198</v>
      </c>
      <c r="C325" s="135" t="s">
        <v>1875</v>
      </c>
      <c r="D325" s="144" t="s">
        <v>1197</v>
      </c>
      <c r="E325" s="139" t="s">
        <v>1233</v>
      </c>
      <c r="F325" s="63" t="s">
        <v>1886</v>
      </c>
      <c r="G325" s="129" t="s">
        <v>1800</v>
      </c>
      <c r="H325" s="133"/>
      <c r="I325" s="129"/>
      <c r="J325" s="130"/>
      <c r="K325" s="130"/>
      <c r="L325" s="130"/>
      <c r="M325" s="130"/>
      <c r="N325" s="140"/>
      <c r="O325" s="150"/>
      <c r="P325" s="150"/>
      <c r="Q325" s="134"/>
      <c r="R325" s="134"/>
      <c r="S325" s="134"/>
      <c r="T325" s="134"/>
      <c r="U325" s="134"/>
      <c r="V325" s="134"/>
      <c r="W325" s="134"/>
      <c r="X325" s="134"/>
      <c r="Y325" s="134"/>
    </row>
    <row r="326">
      <c r="A326" s="126" t="s">
        <v>1887</v>
      </c>
      <c r="B326" s="127" t="s">
        <v>1202</v>
      </c>
      <c r="C326" s="135" t="s">
        <v>1877</v>
      </c>
      <c r="D326" s="144" t="s">
        <v>1201</v>
      </c>
      <c r="E326" s="139" t="s">
        <v>1233</v>
      </c>
      <c r="F326" s="63" t="s">
        <v>1888</v>
      </c>
      <c r="G326" s="129" t="s">
        <v>1800</v>
      </c>
      <c r="H326" s="133"/>
      <c r="I326" s="129"/>
      <c r="J326" s="130"/>
      <c r="K326" s="130"/>
      <c r="L326" s="130"/>
      <c r="M326" s="130"/>
      <c r="N326" s="140"/>
      <c r="O326" s="150"/>
      <c r="P326" s="150"/>
      <c r="Q326" s="134"/>
      <c r="R326" s="134"/>
      <c r="S326" s="134"/>
      <c r="T326" s="134"/>
      <c r="U326" s="134"/>
      <c r="V326" s="134"/>
      <c r="W326" s="134"/>
      <c r="X326" s="134"/>
      <c r="Y326" s="134"/>
    </row>
    <row r="327">
      <c r="A327" s="126" t="s">
        <v>1889</v>
      </c>
      <c r="B327" s="127" t="s">
        <v>1207</v>
      </c>
      <c r="C327" s="135" t="s">
        <v>1881</v>
      </c>
      <c r="D327" s="144" t="s">
        <v>1206</v>
      </c>
      <c r="E327" s="139" t="s">
        <v>1233</v>
      </c>
      <c r="F327" s="63" t="s">
        <v>1890</v>
      </c>
      <c r="G327" s="129" t="s">
        <v>1800</v>
      </c>
      <c r="H327" s="133"/>
      <c r="I327" s="129"/>
      <c r="J327" s="130"/>
      <c r="K327" s="130"/>
      <c r="L327" s="130"/>
      <c r="M327" s="130"/>
      <c r="N327" s="140"/>
      <c r="O327" s="150"/>
      <c r="P327" s="150"/>
      <c r="Q327" s="134"/>
      <c r="R327" s="134"/>
      <c r="S327" s="134"/>
      <c r="T327" s="134"/>
      <c r="U327" s="134"/>
      <c r="V327" s="134"/>
      <c r="W327" s="134"/>
      <c r="X327" s="134"/>
      <c r="Y327" s="134"/>
    </row>
    <row r="328">
      <c r="A328" s="126" t="s">
        <v>1891</v>
      </c>
      <c r="B328" s="127" t="s">
        <v>1213</v>
      </c>
      <c r="C328" s="135" t="s">
        <v>1885</v>
      </c>
      <c r="D328" s="144" t="s">
        <v>1212</v>
      </c>
      <c r="E328" s="139" t="s">
        <v>1233</v>
      </c>
      <c r="F328" s="63" t="s">
        <v>1892</v>
      </c>
      <c r="G328" s="129" t="s">
        <v>1800</v>
      </c>
      <c r="H328" s="133"/>
      <c r="I328" s="129"/>
      <c r="J328" s="130"/>
      <c r="K328" s="130"/>
      <c r="L328" s="130"/>
      <c r="M328" s="130"/>
      <c r="N328" s="140"/>
      <c r="O328" s="150"/>
      <c r="P328" s="150"/>
      <c r="Q328" s="134"/>
      <c r="R328" s="134"/>
      <c r="S328" s="134"/>
      <c r="T328" s="134"/>
      <c r="U328" s="134"/>
      <c r="V328" s="134"/>
      <c r="W328" s="134"/>
      <c r="X328" s="134"/>
      <c r="Y328" s="134"/>
    </row>
    <row r="329">
      <c r="A329" s="126" t="s">
        <v>1893</v>
      </c>
      <c r="B329" s="127" t="s">
        <v>1216</v>
      </c>
      <c r="C329" s="135" t="s">
        <v>1887</v>
      </c>
      <c r="D329" s="144" t="s">
        <v>1215</v>
      </c>
      <c r="E329" s="139" t="s">
        <v>1233</v>
      </c>
      <c r="F329" s="63" t="s">
        <v>1894</v>
      </c>
      <c r="G329" s="129" t="s">
        <v>1800</v>
      </c>
      <c r="H329" s="133"/>
      <c r="I329" s="129"/>
      <c r="J329" s="130"/>
      <c r="K329" s="130"/>
      <c r="L329" s="130"/>
      <c r="M329" s="130"/>
      <c r="N329" s="140"/>
      <c r="O329" s="150"/>
      <c r="P329" s="150"/>
      <c r="Q329" s="134"/>
      <c r="R329" s="134"/>
      <c r="S329" s="134"/>
      <c r="T329" s="134"/>
      <c r="U329" s="134"/>
      <c r="V329" s="134"/>
      <c r="W329" s="134"/>
      <c r="X329" s="134"/>
      <c r="Y329" s="134"/>
    </row>
    <row r="330">
      <c r="A330" s="126" t="s">
        <v>1987</v>
      </c>
      <c r="B330" s="127" t="s">
        <v>34</v>
      </c>
      <c r="C330" s="135" t="s">
        <v>1232</v>
      </c>
      <c r="D330" s="157" t="s">
        <v>33</v>
      </c>
      <c r="E330" s="139" t="s">
        <v>1233</v>
      </c>
      <c r="F330" s="63" t="s">
        <v>1988</v>
      </c>
      <c r="G330" s="129" t="s">
        <v>1989</v>
      </c>
      <c r="H330" s="133"/>
      <c r="I330" s="129"/>
      <c r="J330" s="130"/>
      <c r="K330" s="130"/>
      <c r="L330" s="130"/>
      <c r="M330" s="130"/>
      <c r="N330" s="140"/>
      <c r="O330" s="150"/>
      <c r="P330" s="150"/>
      <c r="Q330" s="134"/>
      <c r="R330" s="134"/>
      <c r="S330" s="134"/>
      <c r="T330" s="134"/>
      <c r="U330" s="134"/>
      <c r="V330" s="134"/>
      <c r="W330" s="134"/>
      <c r="X330" s="134"/>
      <c r="Y330" s="134"/>
    </row>
    <row r="331">
      <c r="A331" s="126" t="s">
        <v>1990</v>
      </c>
      <c r="B331" s="127" t="s">
        <v>36</v>
      </c>
      <c r="C331" s="135" t="s">
        <v>1232</v>
      </c>
      <c r="D331" s="158" t="s">
        <v>35</v>
      </c>
      <c r="E331" s="139" t="s">
        <v>1233</v>
      </c>
      <c r="F331" s="63" t="s">
        <v>1991</v>
      </c>
      <c r="G331" s="159" t="s">
        <v>1640</v>
      </c>
      <c r="H331" s="133"/>
      <c r="I331" s="129"/>
      <c r="J331" s="130"/>
      <c r="K331" s="130"/>
      <c r="L331" s="130"/>
      <c r="M331" s="130"/>
      <c r="N331" s="140"/>
      <c r="O331" s="150"/>
      <c r="P331" s="150"/>
      <c r="Q331" s="134"/>
      <c r="R331" s="134"/>
      <c r="S331" s="134"/>
      <c r="T331" s="134"/>
      <c r="U331" s="134"/>
      <c r="V331" s="134"/>
      <c r="W331" s="134"/>
      <c r="X331" s="134"/>
      <c r="Y331" s="134"/>
    </row>
    <row r="332">
      <c r="A332" s="126" t="s">
        <v>1992</v>
      </c>
      <c r="B332" s="127" t="s">
        <v>38</v>
      </c>
      <c r="C332" s="135" t="s">
        <v>1232</v>
      </c>
      <c r="D332" s="157" t="s">
        <v>37</v>
      </c>
      <c r="E332" s="139" t="s">
        <v>1233</v>
      </c>
      <c r="F332" s="63" t="s">
        <v>1993</v>
      </c>
      <c r="G332" s="159" t="s">
        <v>1721</v>
      </c>
      <c r="H332" s="133"/>
      <c r="I332" s="129"/>
      <c r="J332" s="130"/>
      <c r="K332" s="130"/>
      <c r="L332" s="130"/>
      <c r="M332" s="130"/>
      <c r="N332" s="140"/>
      <c r="O332" s="150"/>
      <c r="P332" s="150"/>
      <c r="Q332" s="134"/>
      <c r="R332" s="134"/>
      <c r="S332" s="134"/>
      <c r="T332" s="134"/>
      <c r="U332" s="134"/>
      <c r="V332" s="134"/>
      <c r="W332" s="134"/>
      <c r="X332" s="134"/>
      <c r="Y332" s="134"/>
    </row>
    <row r="333">
      <c r="A333" s="126" t="s">
        <v>1994</v>
      </c>
      <c r="B333" s="127" t="s">
        <v>40</v>
      </c>
      <c r="C333" s="135" t="s">
        <v>1232</v>
      </c>
      <c r="D333" s="158" t="s">
        <v>39</v>
      </c>
      <c r="E333" s="74" t="s">
        <v>1233</v>
      </c>
      <c r="F333" s="63" t="s">
        <v>1995</v>
      </c>
      <c r="G333" s="159" t="s">
        <v>1559</v>
      </c>
      <c r="H333" s="133" t="s">
        <v>1938</v>
      </c>
      <c r="I333" s="129"/>
      <c r="J333" s="130"/>
      <c r="K333" s="130"/>
      <c r="L333" s="130" t="s">
        <v>1996</v>
      </c>
      <c r="M333" s="130"/>
      <c r="N333" s="141" t="s">
        <v>1997</v>
      </c>
      <c r="O333" s="150"/>
      <c r="P333" s="150"/>
      <c r="Q333" s="134"/>
      <c r="R333" s="134"/>
      <c r="S333" s="134"/>
      <c r="T333" s="134"/>
      <c r="U333" s="134"/>
      <c r="V333" s="134"/>
      <c r="W333" s="134"/>
      <c r="X333" s="134"/>
      <c r="Y333" s="134"/>
    </row>
    <row r="334">
      <c r="A334" s="126" t="s">
        <v>1998</v>
      </c>
      <c r="B334" s="127" t="s">
        <v>42</v>
      </c>
      <c r="C334" s="135" t="s">
        <v>1232</v>
      </c>
      <c r="D334" s="157" t="s">
        <v>41</v>
      </c>
      <c r="E334" s="139" t="s">
        <v>1233</v>
      </c>
      <c r="F334" s="63" t="s">
        <v>1999</v>
      </c>
      <c r="G334" s="159" t="s">
        <v>1478</v>
      </c>
      <c r="H334" s="133"/>
      <c r="I334" s="129"/>
      <c r="J334" s="130"/>
      <c r="K334" s="130"/>
      <c r="L334" s="130"/>
      <c r="M334" s="130"/>
      <c r="N334" s="140"/>
      <c r="O334" s="150"/>
      <c r="P334" s="150"/>
      <c r="Q334" s="134"/>
      <c r="R334" s="134"/>
      <c r="S334" s="134"/>
      <c r="T334" s="134"/>
      <c r="U334" s="134"/>
      <c r="V334" s="134"/>
      <c r="W334" s="134"/>
      <c r="X334" s="134"/>
      <c r="Y334" s="134"/>
    </row>
    <row r="335">
      <c r="A335" s="126"/>
      <c r="B335" s="127"/>
      <c r="C335" s="135"/>
      <c r="D335" s="144"/>
      <c r="E335" s="74" t="s">
        <v>56</v>
      </c>
      <c r="F335" s="63" t="s">
        <v>56</v>
      </c>
      <c r="G335" s="129"/>
      <c r="H335" s="133"/>
      <c r="I335" s="129"/>
      <c r="J335" s="130"/>
      <c r="K335" s="130"/>
      <c r="L335" s="130"/>
      <c r="M335" s="130"/>
      <c r="N335" s="140"/>
      <c r="O335" s="150"/>
      <c r="P335" s="150"/>
      <c r="Q335" s="134"/>
      <c r="R335" s="134"/>
      <c r="S335" s="134"/>
      <c r="T335" s="134"/>
      <c r="U335" s="134"/>
      <c r="V335" s="134"/>
      <c r="W335" s="134"/>
      <c r="X335" s="134"/>
      <c r="Y335" s="134"/>
    </row>
    <row r="336">
      <c r="A336" s="126"/>
      <c r="B336" s="127"/>
      <c r="C336" s="135"/>
      <c r="D336" s="144"/>
      <c r="E336" s="74" t="s">
        <v>56</v>
      </c>
      <c r="F336" s="63" t="s">
        <v>56</v>
      </c>
      <c r="G336" s="129"/>
      <c r="H336" s="133"/>
      <c r="I336" s="129"/>
      <c r="J336" s="130"/>
      <c r="K336" s="130"/>
      <c r="L336" s="130"/>
      <c r="M336" s="130"/>
      <c r="N336" s="140"/>
      <c r="O336" s="150"/>
      <c r="P336" s="150"/>
      <c r="Q336" s="134"/>
      <c r="R336" s="134"/>
      <c r="S336" s="134"/>
      <c r="T336" s="134"/>
      <c r="U336" s="134"/>
      <c r="V336" s="134"/>
      <c r="W336" s="134"/>
      <c r="X336" s="134"/>
      <c r="Y336" s="134"/>
    </row>
    <row r="337">
      <c r="A337" s="126"/>
      <c r="B337" s="127"/>
      <c r="C337" s="135"/>
      <c r="D337" s="144"/>
      <c r="E337" s="74" t="s">
        <v>56</v>
      </c>
      <c r="F337" s="63" t="s">
        <v>56</v>
      </c>
      <c r="G337" s="129"/>
      <c r="H337" s="133"/>
      <c r="I337" s="129"/>
      <c r="J337" s="130"/>
      <c r="K337" s="130"/>
      <c r="L337" s="130"/>
      <c r="M337" s="130"/>
      <c r="N337" s="140"/>
      <c r="O337" s="150"/>
      <c r="P337" s="150"/>
      <c r="Q337" s="134"/>
      <c r="R337" s="134"/>
      <c r="S337" s="134"/>
      <c r="T337" s="134"/>
      <c r="U337" s="134"/>
      <c r="V337" s="134"/>
      <c r="W337" s="134"/>
      <c r="X337" s="134"/>
      <c r="Y337" s="134"/>
    </row>
    <row r="338">
      <c r="A338" s="126"/>
      <c r="B338" s="127"/>
      <c r="C338" s="135"/>
      <c r="D338" s="144"/>
      <c r="E338" s="74" t="s">
        <v>56</v>
      </c>
      <c r="F338" s="63" t="s">
        <v>56</v>
      </c>
      <c r="G338" s="129"/>
      <c r="H338" s="133"/>
      <c r="I338" s="129"/>
      <c r="J338" s="130"/>
      <c r="K338" s="130"/>
      <c r="L338" s="130"/>
      <c r="M338" s="130"/>
      <c r="N338" s="140"/>
      <c r="O338" s="150"/>
      <c r="P338" s="150"/>
      <c r="Q338" s="134"/>
      <c r="R338" s="134"/>
      <c r="S338" s="134"/>
      <c r="T338" s="134"/>
      <c r="U338" s="134"/>
      <c r="V338" s="134"/>
      <c r="W338" s="134"/>
      <c r="X338" s="134"/>
      <c r="Y338" s="134"/>
    </row>
    <row r="339">
      <c r="A339" s="126"/>
      <c r="B339" s="127"/>
      <c r="C339" s="135"/>
      <c r="D339" s="144"/>
      <c r="E339" s="74" t="s">
        <v>56</v>
      </c>
      <c r="F339" s="63" t="s">
        <v>56</v>
      </c>
      <c r="G339" s="129"/>
      <c r="H339" s="133"/>
      <c r="I339" s="129"/>
      <c r="J339" s="130"/>
      <c r="K339" s="130"/>
      <c r="L339" s="130"/>
      <c r="M339" s="130"/>
      <c r="N339" s="140"/>
      <c r="O339" s="150"/>
      <c r="P339" s="150"/>
      <c r="Q339" s="134"/>
      <c r="R339" s="134"/>
      <c r="S339" s="134"/>
      <c r="T339" s="134"/>
      <c r="U339" s="134"/>
      <c r="V339" s="134"/>
      <c r="W339" s="134"/>
      <c r="X339" s="134"/>
      <c r="Y339" s="134"/>
    </row>
    <row r="340">
      <c r="A340" s="126"/>
      <c r="B340" s="127"/>
      <c r="C340" s="135"/>
      <c r="D340" s="144"/>
      <c r="E340" s="74" t="s">
        <v>56</v>
      </c>
      <c r="F340" s="63" t="s">
        <v>56</v>
      </c>
      <c r="G340" s="129"/>
      <c r="H340" s="133"/>
      <c r="I340" s="129"/>
      <c r="J340" s="130"/>
      <c r="K340" s="130"/>
      <c r="L340" s="130"/>
      <c r="M340" s="130"/>
      <c r="N340" s="140"/>
      <c r="O340" s="150"/>
      <c r="P340" s="150"/>
      <c r="Q340" s="134"/>
      <c r="R340" s="134"/>
      <c r="S340" s="134"/>
      <c r="T340" s="134"/>
      <c r="U340" s="134"/>
      <c r="V340" s="134"/>
      <c r="W340" s="134"/>
      <c r="X340" s="134"/>
      <c r="Y340" s="134"/>
    </row>
    <row r="341">
      <c r="A341" s="126"/>
      <c r="B341" s="127"/>
      <c r="C341" s="135"/>
      <c r="D341" s="144"/>
      <c r="E341" s="74" t="s">
        <v>56</v>
      </c>
      <c r="F341" s="63" t="s">
        <v>56</v>
      </c>
      <c r="G341" s="129"/>
      <c r="H341" s="133"/>
      <c r="I341" s="129"/>
      <c r="J341" s="130"/>
      <c r="K341" s="130"/>
      <c r="L341" s="130"/>
      <c r="M341" s="130"/>
      <c r="N341" s="140"/>
      <c r="O341" s="150"/>
      <c r="P341" s="150"/>
      <c r="Q341" s="134"/>
      <c r="R341" s="134"/>
      <c r="S341" s="134"/>
      <c r="T341" s="134"/>
      <c r="U341" s="134"/>
      <c r="V341" s="134"/>
      <c r="W341" s="134"/>
      <c r="X341" s="134"/>
      <c r="Y341" s="134"/>
    </row>
    <row r="342">
      <c r="A342" s="126"/>
      <c r="B342" s="127"/>
      <c r="C342" s="135"/>
      <c r="D342" s="144"/>
      <c r="E342" s="74" t="s">
        <v>56</v>
      </c>
      <c r="F342" s="63" t="s">
        <v>56</v>
      </c>
      <c r="G342" s="129"/>
      <c r="H342" s="133"/>
      <c r="I342" s="129"/>
      <c r="J342" s="130"/>
      <c r="K342" s="130"/>
      <c r="L342" s="130"/>
      <c r="M342" s="130"/>
      <c r="N342" s="140"/>
      <c r="O342" s="150"/>
      <c r="P342" s="150"/>
      <c r="Q342" s="134"/>
      <c r="R342" s="134"/>
      <c r="S342" s="134"/>
      <c r="T342" s="134"/>
      <c r="U342" s="134"/>
      <c r="V342" s="134"/>
      <c r="W342" s="134"/>
      <c r="X342" s="134"/>
      <c r="Y342" s="134"/>
    </row>
    <row r="343">
      <c r="A343" s="126"/>
      <c r="B343" s="127"/>
      <c r="C343" s="135"/>
      <c r="D343" s="144"/>
      <c r="E343" s="74" t="s">
        <v>56</v>
      </c>
      <c r="F343" s="63" t="s">
        <v>56</v>
      </c>
      <c r="G343" s="129"/>
      <c r="H343" s="133"/>
      <c r="I343" s="129"/>
      <c r="J343" s="130"/>
      <c r="K343" s="130"/>
      <c r="L343" s="130"/>
      <c r="M343" s="130"/>
      <c r="N343" s="140"/>
      <c r="O343" s="150"/>
      <c r="P343" s="150"/>
      <c r="Q343" s="134"/>
      <c r="R343" s="134"/>
      <c r="S343" s="134"/>
      <c r="T343" s="134"/>
      <c r="U343" s="134"/>
      <c r="V343" s="134"/>
      <c r="W343" s="134"/>
      <c r="X343" s="134"/>
      <c r="Y343" s="134"/>
    </row>
    <row r="344">
      <c r="A344" s="126"/>
      <c r="B344" s="127"/>
      <c r="C344" s="135"/>
      <c r="D344" s="144"/>
      <c r="E344" s="74" t="s">
        <v>56</v>
      </c>
      <c r="F344" s="63" t="s">
        <v>56</v>
      </c>
      <c r="G344" s="129"/>
      <c r="H344" s="133"/>
      <c r="I344" s="129"/>
      <c r="J344" s="130"/>
      <c r="K344" s="130"/>
      <c r="L344" s="130"/>
      <c r="M344" s="130"/>
      <c r="N344" s="140"/>
      <c r="O344" s="150"/>
      <c r="P344" s="150"/>
      <c r="Q344" s="134"/>
      <c r="R344" s="134"/>
      <c r="S344" s="134"/>
      <c r="T344" s="134"/>
      <c r="U344" s="134"/>
      <c r="V344" s="134"/>
      <c r="W344" s="134"/>
      <c r="X344" s="134"/>
      <c r="Y344" s="134"/>
    </row>
    <row r="345">
      <c r="A345" s="126"/>
      <c r="B345" s="127"/>
      <c r="C345" s="135"/>
      <c r="D345" s="144"/>
      <c r="E345" s="74" t="s">
        <v>56</v>
      </c>
      <c r="F345" s="63" t="s">
        <v>56</v>
      </c>
      <c r="G345" s="129"/>
      <c r="H345" s="133"/>
      <c r="I345" s="129"/>
      <c r="J345" s="130"/>
      <c r="K345" s="130"/>
      <c r="L345" s="130"/>
      <c r="M345" s="130"/>
      <c r="N345" s="140"/>
      <c r="O345" s="150"/>
      <c r="P345" s="150"/>
      <c r="Q345" s="134"/>
      <c r="R345" s="134"/>
      <c r="S345" s="134"/>
      <c r="T345" s="134"/>
      <c r="U345" s="134"/>
      <c r="V345" s="134"/>
      <c r="W345" s="134"/>
      <c r="X345" s="134"/>
      <c r="Y345" s="134"/>
    </row>
    <row r="346">
      <c r="A346" s="126"/>
      <c r="B346" s="127"/>
      <c r="C346" s="135"/>
      <c r="D346" s="144"/>
      <c r="E346" s="74" t="s">
        <v>56</v>
      </c>
      <c r="F346" s="63" t="s">
        <v>56</v>
      </c>
      <c r="G346" s="129"/>
      <c r="H346" s="133"/>
      <c r="I346" s="129"/>
      <c r="J346" s="130"/>
      <c r="K346" s="130"/>
      <c r="L346" s="130"/>
      <c r="M346" s="130"/>
      <c r="N346" s="140"/>
      <c r="O346" s="150"/>
      <c r="P346" s="150"/>
      <c r="Q346" s="134"/>
      <c r="R346" s="134"/>
      <c r="S346" s="134"/>
      <c r="T346" s="134"/>
      <c r="U346" s="134"/>
      <c r="V346" s="134"/>
      <c r="W346" s="134"/>
      <c r="X346" s="134"/>
      <c r="Y346" s="134"/>
    </row>
    <row r="347">
      <c r="A347" s="126"/>
      <c r="B347" s="127"/>
      <c r="C347" s="135"/>
      <c r="D347" s="144"/>
      <c r="E347" s="74" t="s">
        <v>56</v>
      </c>
      <c r="F347" s="63" t="s">
        <v>56</v>
      </c>
      <c r="G347" s="129"/>
      <c r="H347" s="133"/>
      <c r="I347" s="129"/>
      <c r="J347" s="130"/>
      <c r="K347" s="130"/>
      <c r="L347" s="130"/>
      <c r="M347" s="130"/>
      <c r="N347" s="140"/>
      <c r="O347" s="150"/>
      <c r="P347" s="150"/>
      <c r="Q347" s="134"/>
      <c r="R347" s="134"/>
      <c r="S347" s="134"/>
      <c r="T347" s="134"/>
      <c r="U347" s="134"/>
      <c r="V347" s="134"/>
      <c r="W347" s="134"/>
      <c r="X347" s="134"/>
      <c r="Y347" s="134"/>
    </row>
    <row r="348">
      <c r="A348" s="126"/>
      <c r="B348" s="127"/>
      <c r="C348" s="135"/>
      <c r="D348" s="144"/>
      <c r="E348" s="74" t="s">
        <v>56</v>
      </c>
      <c r="F348" s="63" t="s">
        <v>56</v>
      </c>
      <c r="G348" s="129"/>
      <c r="H348" s="133"/>
      <c r="I348" s="129"/>
      <c r="J348" s="130"/>
      <c r="K348" s="130"/>
      <c r="L348" s="130"/>
      <c r="M348" s="130"/>
      <c r="N348" s="140"/>
      <c r="O348" s="150"/>
      <c r="P348" s="150"/>
      <c r="Q348" s="134"/>
      <c r="R348" s="134"/>
      <c r="S348" s="134"/>
      <c r="T348" s="134"/>
      <c r="U348" s="134"/>
      <c r="V348" s="134"/>
      <c r="W348" s="134"/>
      <c r="X348" s="134"/>
      <c r="Y348" s="134"/>
    </row>
    <row r="349">
      <c r="A349" s="126"/>
      <c r="B349" s="127"/>
      <c r="C349" s="135"/>
      <c r="D349" s="144"/>
      <c r="E349" s="74" t="s">
        <v>56</v>
      </c>
      <c r="F349" s="63" t="s">
        <v>56</v>
      </c>
      <c r="G349" s="129"/>
      <c r="H349" s="133"/>
      <c r="I349" s="129"/>
      <c r="J349" s="130"/>
      <c r="K349" s="130"/>
      <c r="L349" s="130"/>
      <c r="M349" s="130"/>
      <c r="N349" s="140"/>
      <c r="O349" s="150"/>
      <c r="P349" s="150"/>
      <c r="Q349" s="134"/>
      <c r="R349" s="134"/>
      <c r="S349" s="134"/>
      <c r="T349" s="134"/>
      <c r="U349" s="134"/>
      <c r="V349" s="134"/>
      <c r="W349" s="134"/>
      <c r="X349" s="134"/>
      <c r="Y349" s="134"/>
    </row>
    <row r="350">
      <c r="A350" s="126"/>
      <c r="B350" s="127"/>
      <c r="C350" s="135"/>
      <c r="D350" s="144"/>
      <c r="E350" s="74" t="s">
        <v>56</v>
      </c>
      <c r="F350" s="63" t="s">
        <v>56</v>
      </c>
      <c r="G350" s="129"/>
      <c r="H350" s="133"/>
      <c r="I350" s="129"/>
      <c r="J350" s="130"/>
      <c r="K350" s="130"/>
      <c r="L350" s="130"/>
      <c r="M350" s="130"/>
      <c r="N350" s="140"/>
      <c r="O350" s="150"/>
      <c r="P350" s="150"/>
      <c r="Q350" s="134"/>
      <c r="R350" s="134"/>
      <c r="S350" s="134"/>
      <c r="T350" s="134"/>
      <c r="U350" s="134"/>
      <c r="V350" s="134"/>
      <c r="W350" s="134"/>
      <c r="X350" s="134"/>
      <c r="Y350" s="134"/>
    </row>
    <row r="351">
      <c r="A351" s="126"/>
      <c r="B351" s="127"/>
      <c r="C351" s="135"/>
      <c r="D351" s="144"/>
      <c r="E351" s="74" t="s">
        <v>56</v>
      </c>
      <c r="F351" s="63" t="s">
        <v>56</v>
      </c>
      <c r="G351" s="129"/>
      <c r="H351" s="133"/>
      <c r="I351" s="129"/>
      <c r="J351" s="130"/>
      <c r="K351" s="130"/>
      <c r="L351" s="130"/>
      <c r="M351" s="130"/>
      <c r="N351" s="140"/>
      <c r="O351" s="150"/>
      <c r="P351" s="150"/>
      <c r="Q351" s="134"/>
      <c r="R351" s="134"/>
      <c r="S351" s="134"/>
      <c r="T351" s="134"/>
      <c r="U351" s="134"/>
      <c r="V351" s="134"/>
      <c r="W351" s="134"/>
      <c r="X351" s="134"/>
      <c r="Y351" s="134"/>
    </row>
    <row r="352">
      <c r="A352" s="126"/>
      <c r="B352" s="127"/>
      <c r="C352" s="135"/>
      <c r="D352" s="144"/>
      <c r="E352" s="74" t="s">
        <v>56</v>
      </c>
      <c r="F352" s="63" t="s">
        <v>56</v>
      </c>
      <c r="G352" s="129"/>
      <c r="H352" s="133"/>
      <c r="I352" s="129"/>
      <c r="J352" s="130"/>
      <c r="K352" s="130"/>
      <c r="L352" s="130"/>
      <c r="M352" s="130"/>
      <c r="N352" s="140"/>
      <c r="O352" s="150"/>
      <c r="P352" s="150"/>
      <c r="Q352" s="134"/>
      <c r="R352" s="134"/>
      <c r="S352" s="134"/>
      <c r="T352" s="134"/>
      <c r="U352" s="134"/>
      <c r="V352" s="134"/>
      <c r="W352" s="134"/>
      <c r="X352" s="134"/>
      <c r="Y352" s="134"/>
    </row>
    <row r="353">
      <c r="A353" s="126"/>
      <c r="B353" s="127"/>
      <c r="C353" s="135"/>
      <c r="D353" s="144"/>
      <c r="E353" s="74" t="s">
        <v>56</v>
      </c>
      <c r="F353" s="63" t="s">
        <v>56</v>
      </c>
      <c r="G353" s="129"/>
      <c r="H353" s="133"/>
      <c r="I353" s="129"/>
      <c r="J353" s="130"/>
      <c r="K353" s="130"/>
      <c r="L353" s="130"/>
      <c r="M353" s="130"/>
      <c r="N353" s="140"/>
      <c r="O353" s="150"/>
      <c r="P353" s="150"/>
      <c r="Q353" s="134"/>
      <c r="R353" s="134"/>
      <c r="S353" s="134"/>
      <c r="T353" s="134"/>
      <c r="U353" s="134"/>
      <c r="V353" s="134"/>
      <c r="W353" s="134"/>
      <c r="X353" s="134"/>
      <c r="Y353" s="134"/>
    </row>
    <row r="354">
      <c r="A354" s="126"/>
      <c r="B354" s="127"/>
      <c r="C354" s="135"/>
      <c r="D354" s="144"/>
      <c r="E354" s="74" t="s">
        <v>56</v>
      </c>
      <c r="F354" s="63" t="s">
        <v>56</v>
      </c>
      <c r="G354" s="129"/>
      <c r="H354" s="133"/>
      <c r="I354" s="129"/>
      <c r="J354" s="130"/>
      <c r="K354" s="130"/>
      <c r="L354" s="130"/>
      <c r="M354" s="130"/>
      <c r="N354" s="140"/>
      <c r="O354" s="150"/>
      <c r="P354" s="150"/>
      <c r="Q354" s="134"/>
      <c r="R354" s="134"/>
      <c r="S354" s="134"/>
      <c r="T354" s="134"/>
      <c r="U354" s="134"/>
      <c r="V354" s="134"/>
      <c r="W354" s="134"/>
      <c r="X354" s="134"/>
      <c r="Y354" s="134"/>
    </row>
    <row r="355">
      <c r="A355" s="126"/>
      <c r="B355" s="127"/>
      <c r="C355" s="135"/>
      <c r="D355" s="144"/>
      <c r="E355" s="74" t="s">
        <v>56</v>
      </c>
      <c r="F355" s="63" t="s">
        <v>56</v>
      </c>
      <c r="G355" s="129"/>
      <c r="H355" s="133"/>
      <c r="I355" s="129"/>
      <c r="J355" s="130"/>
      <c r="K355" s="130"/>
      <c r="L355" s="130"/>
      <c r="M355" s="130"/>
      <c r="N355" s="140"/>
      <c r="O355" s="150"/>
      <c r="P355" s="150"/>
      <c r="Q355" s="134"/>
      <c r="R355" s="134"/>
      <c r="S355" s="134"/>
      <c r="T355" s="134"/>
      <c r="U355" s="134"/>
      <c r="V355" s="134"/>
      <c r="W355" s="134"/>
      <c r="X355" s="134"/>
      <c r="Y355" s="134"/>
    </row>
    <row r="356">
      <c r="A356" s="126"/>
      <c r="B356" s="127"/>
      <c r="C356" s="135"/>
      <c r="D356" s="144"/>
      <c r="E356" s="74" t="s">
        <v>56</v>
      </c>
      <c r="F356" s="63" t="s">
        <v>56</v>
      </c>
      <c r="G356" s="129"/>
      <c r="H356" s="133"/>
      <c r="I356" s="129"/>
      <c r="J356" s="130"/>
      <c r="K356" s="130"/>
      <c r="L356" s="130"/>
      <c r="M356" s="130"/>
      <c r="N356" s="140"/>
      <c r="O356" s="150"/>
      <c r="P356" s="150"/>
      <c r="Q356" s="134"/>
      <c r="R356" s="134"/>
      <c r="S356" s="134"/>
      <c r="T356" s="134"/>
      <c r="U356" s="134"/>
      <c r="V356" s="134"/>
      <c r="W356" s="134"/>
      <c r="X356" s="134"/>
      <c r="Y356" s="134"/>
    </row>
    <row r="357">
      <c r="A357" s="126"/>
      <c r="B357" s="127"/>
      <c r="C357" s="135"/>
      <c r="D357" s="144"/>
      <c r="E357" s="74" t="s">
        <v>56</v>
      </c>
      <c r="F357" s="63" t="s">
        <v>56</v>
      </c>
      <c r="G357" s="129"/>
      <c r="H357" s="133"/>
      <c r="I357" s="129"/>
      <c r="J357" s="130"/>
      <c r="K357" s="130"/>
      <c r="L357" s="130"/>
      <c r="M357" s="130"/>
      <c r="N357" s="140"/>
      <c r="O357" s="150"/>
      <c r="P357" s="150"/>
      <c r="Q357" s="134"/>
      <c r="R357" s="134"/>
      <c r="S357" s="134"/>
      <c r="T357" s="134"/>
      <c r="U357" s="134"/>
      <c r="V357" s="134"/>
      <c r="W357" s="134"/>
      <c r="X357" s="134"/>
      <c r="Y357" s="134"/>
    </row>
    <row r="358">
      <c r="A358" s="126"/>
      <c r="B358" s="127"/>
      <c r="C358" s="135"/>
      <c r="D358" s="144"/>
      <c r="E358" s="74" t="s">
        <v>56</v>
      </c>
      <c r="F358" s="63" t="s">
        <v>56</v>
      </c>
      <c r="G358" s="129"/>
      <c r="H358" s="133"/>
      <c r="I358" s="129"/>
      <c r="J358" s="130"/>
      <c r="K358" s="130"/>
      <c r="L358" s="130"/>
      <c r="M358" s="130"/>
      <c r="N358" s="140"/>
      <c r="O358" s="150"/>
      <c r="P358" s="150"/>
      <c r="Q358" s="134"/>
      <c r="R358" s="134"/>
      <c r="S358" s="134"/>
      <c r="T358" s="134"/>
      <c r="U358" s="134"/>
      <c r="V358" s="134"/>
      <c r="W358" s="134"/>
      <c r="X358" s="134"/>
      <c r="Y358" s="134"/>
    </row>
    <row r="359">
      <c r="A359" s="126"/>
      <c r="B359" s="127"/>
      <c r="C359" s="135"/>
      <c r="D359" s="144"/>
      <c r="E359" s="74" t="s">
        <v>56</v>
      </c>
      <c r="F359" s="63" t="s">
        <v>56</v>
      </c>
      <c r="G359" s="129"/>
      <c r="H359" s="133"/>
      <c r="I359" s="129"/>
      <c r="J359" s="130"/>
      <c r="K359" s="130"/>
      <c r="L359" s="130"/>
      <c r="M359" s="130"/>
      <c r="N359" s="140"/>
      <c r="O359" s="150"/>
      <c r="P359" s="150"/>
      <c r="Q359" s="134"/>
      <c r="R359" s="134"/>
      <c r="S359" s="134"/>
      <c r="T359" s="134"/>
      <c r="U359" s="134"/>
      <c r="V359" s="134"/>
      <c r="W359" s="134"/>
      <c r="X359" s="134"/>
      <c r="Y359" s="134"/>
    </row>
    <row r="360">
      <c r="A360" s="126"/>
      <c r="B360" s="127"/>
      <c r="C360" s="135"/>
      <c r="D360" s="144"/>
      <c r="E360" s="74" t="s">
        <v>56</v>
      </c>
      <c r="F360" s="63" t="s">
        <v>56</v>
      </c>
      <c r="G360" s="129"/>
      <c r="H360" s="133"/>
      <c r="I360" s="129"/>
      <c r="J360" s="130"/>
      <c r="K360" s="130"/>
      <c r="L360" s="130"/>
      <c r="M360" s="130"/>
      <c r="N360" s="140"/>
      <c r="O360" s="150"/>
      <c r="P360" s="150"/>
      <c r="Q360" s="134"/>
      <c r="R360" s="134"/>
      <c r="S360" s="134"/>
      <c r="T360" s="134"/>
      <c r="U360" s="134"/>
      <c r="V360" s="134"/>
      <c r="W360" s="134"/>
      <c r="X360" s="134"/>
      <c r="Y360" s="134"/>
    </row>
    <row r="361">
      <c r="A361" s="126"/>
      <c r="B361" s="127"/>
      <c r="C361" s="135"/>
      <c r="D361" s="144"/>
      <c r="E361" s="74" t="s">
        <v>56</v>
      </c>
      <c r="F361" s="63" t="s">
        <v>56</v>
      </c>
      <c r="G361" s="129"/>
      <c r="H361" s="133"/>
      <c r="I361" s="129"/>
      <c r="J361" s="130"/>
      <c r="K361" s="130"/>
      <c r="L361" s="130"/>
      <c r="M361" s="130"/>
      <c r="N361" s="140"/>
      <c r="O361" s="150"/>
      <c r="P361" s="150"/>
      <c r="Q361" s="134"/>
      <c r="R361" s="134"/>
      <c r="S361" s="134"/>
      <c r="T361" s="134"/>
      <c r="U361" s="134"/>
      <c r="V361" s="134"/>
      <c r="W361" s="134"/>
      <c r="X361" s="134"/>
      <c r="Y361" s="134"/>
    </row>
    <row r="362">
      <c r="A362" s="126"/>
      <c r="B362" s="127"/>
      <c r="C362" s="135"/>
      <c r="D362" s="144"/>
      <c r="E362" s="74" t="s">
        <v>56</v>
      </c>
      <c r="F362" s="63" t="s">
        <v>56</v>
      </c>
      <c r="G362" s="129"/>
      <c r="H362" s="133"/>
      <c r="I362" s="129"/>
      <c r="J362" s="130"/>
      <c r="K362" s="130"/>
      <c r="L362" s="130"/>
      <c r="M362" s="130"/>
      <c r="N362" s="140"/>
      <c r="O362" s="150"/>
      <c r="P362" s="150"/>
      <c r="Q362" s="134"/>
      <c r="R362" s="134"/>
      <c r="S362" s="134"/>
      <c r="T362" s="134"/>
      <c r="U362" s="134"/>
      <c r="V362" s="134"/>
      <c r="W362" s="134"/>
      <c r="X362" s="134"/>
      <c r="Y362" s="134"/>
    </row>
    <row r="363">
      <c r="A363" s="126"/>
      <c r="B363" s="127"/>
      <c r="C363" s="135"/>
      <c r="D363" s="144"/>
      <c r="E363" s="74" t="s">
        <v>56</v>
      </c>
      <c r="F363" s="63" t="s">
        <v>56</v>
      </c>
      <c r="G363" s="129"/>
      <c r="H363" s="133"/>
      <c r="I363" s="129"/>
      <c r="J363" s="130"/>
      <c r="K363" s="130"/>
      <c r="L363" s="130"/>
      <c r="M363" s="130"/>
      <c r="N363" s="140"/>
      <c r="O363" s="150"/>
      <c r="P363" s="150"/>
      <c r="Q363" s="134"/>
      <c r="R363" s="134"/>
      <c r="S363" s="134"/>
      <c r="T363" s="134"/>
      <c r="U363" s="134"/>
      <c r="V363" s="134"/>
      <c r="W363" s="134"/>
      <c r="X363" s="134"/>
      <c r="Y363" s="134"/>
    </row>
    <row r="364">
      <c r="A364" s="126"/>
      <c r="B364" s="127"/>
      <c r="C364" s="135"/>
      <c r="D364" s="144"/>
      <c r="E364" s="74" t="s">
        <v>56</v>
      </c>
      <c r="F364" s="63" t="s">
        <v>56</v>
      </c>
      <c r="G364" s="129"/>
      <c r="H364" s="133"/>
      <c r="I364" s="129"/>
      <c r="J364" s="130"/>
      <c r="K364" s="130"/>
      <c r="L364" s="130"/>
      <c r="M364" s="130"/>
      <c r="N364" s="140"/>
      <c r="O364" s="150"/>
      <c r="P364" s="150"/>
      <c r="Q364" s="134"/>
      <c r="R364" s="134"/>
      <c r="S364" s="134"/>
      <c r="T364" s="134"/>
      <c r="U364" s="134"/>
      <c r="V364" s="134"/>
      <c r="W364" s="134"/>
      <c r="X364" s="134"/>
      <c r="Y364" s="134"/>
    </row>
    <row r="365">
      <c r="A365" s="126"/>
      <c r="B365" s="127"/>
      <c r="C365" s="135"/>
      <c r="D365" s="144"/>
      <c r="E365" s="74" t="s">
        <v>56</v>
      </c>
      <c r="F365" s="63" t="s">
        <v>56</v>
      </c>
      <c r="G365" s="129"/>
      <c r="H365" s="133"/>
      <c r="I365" s="129"/>
      <c r="J365" s="130"/>
      <c r="K365" s="130"/>
      <c r="L365" s="130"/>
      <c r="M365" s="130"/>
      <c r="N365" s="140"/>
      <c r="O365" s="150"/>
      <c r="P365" s="150"/>
      <c r="Q365" s="134"/>
      <c r="R365" s="134"/>
      <c r="S365" s="134"/>
      <c r="T365" s="134"/>
      <c r="U365" s="134"/>
      <c r="V365" s="134"/>
      <c r="W365" s="134"/>
      <c r="X365" s="134"/>
      <c r="Y365" s="134"/>
    </row>
    <row r="366">
      <c r="A366" s="126"/>
      <c r="B366" s="127"/>
      <c r="C366" s="135"/>
      <c r="D366" s="144"/>
      <c r="E366" s="74" t="s">
        <v>56</v>
      </c>
      <c r="F366" s="63" t="s">
        <v>56</v>
      </c>
      <c r="G366" s="129"/>
      <c r="H366" s="133"/>
      <c r="I366" s="129"/>
      <c r="J366" s="130"/>
      <c r="K366" s="130"/>
      <c r="L366" s="130"/>
      <c r="M366" s="130"/>
      <c r="N366" s="140"/>
      <c r="O366" s="150"/>
      <c r="P366" s="150"/>
      <c r="Q366" s="134"/>
      <c r="R366" s="134"/>
      <c r="S366" s="134"/>
      <c r="T366" s="134"/>
      <c r="U366" s="134"/>
      <c r="V366" s="134"/>
      <c r="W366" s="134"/>
      <c r="X366" s="134"/>
      <c r="Y366" s="134"/>
    </row>
    <row r="367">
      <c r="A367" s="126"/>
      <c r="B367" s="127"/>
      <c r="C367" s="135"/>
      <c r="D367" s="144"/>
      <c r="E367" s="74" t="s">
        <v>56</v>
      </c>
      <c r="F367" s="63" t="s">
        <v>56</v>
      </c>
      <c r="G367" s="129"/>
      <c r="H367" s="133"/>
      <c r="I367" s="129"/>
      <c r="J367" s="130"/>
      <c r="K367" s="130"/>
      <c r="L367" s="130"/>
      <c r="M367" s="130"/>
      <c r="N367" s="140"/>
      <c r="O367" s="150"/>
      <c r="P367" s="150"/>
      <c r="Q367" s="134"/>
      <c r="R367" s="134"/>
      <c r="S367" s="134"/>
      <c r="T367" s="134"/>
      <c r="U367" s="134"/>
      <c r="V367" s="134"/>
      <c r="W367" s="134"/>
      <c r="X367" s="134"/>
      <c r="Y367" s="134"/>
    </row>
    <row r="368">
      <c r="A368" s="126"/>
      <c r="B368" s="127"/>
      <c r="C368" s="135"/>
      <c r="D368" s="144"/>
      <c r="E368" s="74" t="s">
        <v>56</v>
      </c>
      <c r="F368" s="63" t="s">
        <v>56</v>
      </c>
      <c r="G368" s="129"/>
      <c r="H368" s="133"/>
      <c r="I368" s="129"/>
      <c r="J368" s="130"/>
      <c r="K368" s="130"/>
      <c r="L368" s="130"/>
      <c r="M368" s="130"/>
      <c r="N368" s="140"/>
      <c r="O368" s="150"/>
      <c r="P368" s="150"/>
      <c r="Q368" s="134"/>
      <c r="R368" s="134"/>
      <c r="S368" s="134"/>
      <c r="T368" s="134"/>
      <c r="U368" s="134"/>
      <c r="V368" s="134"/>
      <c r="W368" s="134"/>
      <c r="X368" s="134"/>
      <c r="Y368" s="134"/>
    </row>
    <row r="369">
      <c r="A369" s="126"/>
      <c r="B369" s="127"/>
      <c r="C369" s="135"/>
      <c r="D369" s="144"/>
      <c r="E369" s="74" t="s">
        <v>56</v>
      </c>
      <c r="F369" s="63" t="s">
        <v>56</v>
      </c>
      <c r="G369" s="129"/>
      <c r="H369" s="133"/>
      <c r="I369" s="129"/>
      <c r="J369" s="130"/>
      <c r="K369" s="130"/>
      <c r="L369" s="130"/>
      <c r="M369" s="130"/>
      <c r="N369" s="140"/>
      <c r="O369" s="150"/>
      <c r="P369" s="150"/>
      <c r="Q369" s="134"/>
      <c r="R369" s="134"/>
      <c r="S369" s="134"/>
      <c r="T369" s="134"/>
      <c r="U369" s="134"/>
      <c r="V369" s="134"/>
      <c r="W369" s="134"/>
      <c r="X369" s="134"/>
      <c r="Y369" s="134"/>
    </row>
    <row r="370">
      <c r="A370" s="126"/>
      <c r="B370" s="127"/>
      <c r="C370" s="135"/>
      <c r="D370" s="144"/>
      <c r="E370" s="74" t="s">
        <v>56</v>
      </c>
      <c r="F370" s="63" t="s">
        <v>56</v>
      </c>
      <c r="G370" s="129"/>
      <c r="H370" s="133"/>
      <c r="I370" s="129"/>
      <c r="J370" s="130"/>
      <c r="K370" s="130"/>
      <c r="L370" s="130"/>
      <c r="M370" s="130"/>
      <c r="N370" s="140"/>
      <c r="O370" s="150"/>
      <c r="P370" s="150"/>
      <c r="Q370" s="134"/>
      <c r="R370" s="134"/>
      <c r="S370" s="134"/>
      <c r="T370" s="134"/>
      <c r="U370" s="134"/>
      <c r="V370" s="134"/>
      <c r="W370" s="134"/>
      <c r="X370" s="134"/>
      <c r="Y370" s="134"/>
    </row>
    <row r="371">
      <c r="A371" s="126"/>
      <c r="B371" s="127"/>
      <c r="C371" s="135"/>
      <c r="D371" s="144"/>
      <c r="E371" s="74" t="s">
        <v>56</v>
      </c>
      <c r="F371" s="63" t="s">
        <v>56</v>
      </c>
      <c r="G371" s="129"/>
      <c r="H371" s="133"/>
      <c r="I371" s="129"/>
      <c r="J371" s="130"/>
      <c r="K371" s="130"/>
      <c r="L371" s="130"/>
      <c r="M371" s="130"/>
      <c r="N371" s="140"/>
      <c r="O371" s="150"/>
      <c r="P371" s="150"/>
      <c r="Q371" s="134"/>
      <c r="R371" s="134"/>
      <c r="S371" s="134"/>
      <c r="T371" s="134"/>
      <c r="U371" s="134"/>
      <c r="V371" s="134"/>
      <c r="W371" s="134"/>
      <c r="X371" s="134"/>
      <c r="Y371" s="134"/>
    </row>
    <row r="372">
      <c r="A372" s="126"/>
      <c r="B372" s="127"/>
      <c r="C372" s="135"/>
      <c r="D372" s="144"/>
      <c r="E372" s="74" t="s">
        <v>56</v>
      </c>
      <c r="F372" s="63" t="s">
        <v>56</v>
      </c>
      <c r="G372" s="129"/>
      <c r="H372" s="133"/>
      <c r="I372" s="129"/>
      <c r="J372" s="130"/>
      <c r="K372" s="130"/>
      <c r="L372" s="130"/>
      <c r="M372" s="130"/>
      <c r="N372" s="140"/>
      <c r="O372" s="150"/>
      <c r="P372" s="150"/>
      <c r="Q372" s="134"/>
      <c r="R372" s="134"/>
      <c r="S372" s="134"/>
      <c r="T372" s="134"/>
      <c r="U372" s="134"/>
      <c r="V372" s="134"/>
      <c r="W372" s="134"/>
      <c r="X372" s="134"/>
      <c r="Y372" s="134"/>
    </row>
    <row r="373">
      <c r="A373" s="126"/>
      <c r="B373" s="127"/>
      <c r="C373" s="135"/>
      <c r="D373" s="144"/>
      <c r="E373" s="74" t="s">
        <v>56</v>
      </c>
      <c r="F373" s="63" t="s">
        <v>56</v>
      </c>
      <c r="G373" s="129"/>
      <c r="H373" s="133"/>
      <c r="I373" s="129"/>
      <c r="J373" s="130"/>
      <c r="K373" s="130"/>
      <c r="L373" s="130"/>
      <c r="M373" s="130"/>
      <c r="N373" s="140"/>
      <c r="O373" s="150"/>
      <c r="P373" s="150"/>
      <c r="Q373" s="134"/>
      <c r="R373" s="134"/>
      <c r="S373" s="134"/>
      <c r="T373" s="134"/>
      <c r="U373" s="134"/>
      <c r="V373" s="134"/>
      <c r="W373" s="134"/>
      <c r="X373" s="134"/>
      <c r="Y373" s="134"/>
    </row>
    <row r="374">
      <c r="A374" s="126"/>
      <c r="B374" s="127"/>
      <c r="C374" s="135"/>
      <c r="D374" s="144"/>
      <c r="E374" s="74" t="s">
        <v>56</v>
      </c>
      <c r="F374" s="63" t="s">
        <v>56</v>
      </c>
      <c r="G374" s="129"/>
      <c r="H374" s="133"/>
      <c r="I374" s="129"/>
      <c r="J374" s="130"/>
      <c r="K374" s="130"/>
      <c r="L374" s="130"/>
      <c r="M374" s="130"/>
      <c r="N374" s="140"/>
      <c r="O374" s="150"/>
      <c r="P374" s="150"/>
      <c r="Q374" s="134"/>
      <c r="R374" s="134"/>
      <c r="S374" s="134"/>
      <c r="T374" s="134"/>
      <c r="U374" s="134"/>
      <c r="V374" s="134"/>
      <c r="W374" s="134"/>
      <c r="X374" s="134"/>
      <c r="Y374" s="134"/>
    </row>
    <row r="375">
      <c r="A375" s="126"/>
      <c r="B375" s="127"/>
      <c r="C375" s="135"/>
      <c r="D375" s="144"/>
      <c r="E375" s="74" t="s">
        <v>56</v>
      </c>
      <c r="F375" s="63" t="s">
        <v>56</v>
      </c>
      <c r="G375" s="129"/>
      <c r="H375" s="133"/>
      <c r="I375" s="129"/>
      <c r="J375" s="130"/>
      <c r="K375" s="130"/>
      <c r="L375" s="130"/>
      <c r="M375" s="130"/>
      <c r="N375" s="140"/>
      <c r="O375" s="150"/>
      <c r="P375" s="150"/>
      <c r="Q375" s="134"/>
      <c r="R375" s="134"/>
      <c r="S375" s="134"/>
      <c r="T375" s="134"/>
      <c r="U375" s="134"/>
      <c r="V375" s="134"/>
      <c r="W375" s="134"/>
      <c r="X375" s="134"/>
      <c r="Y375" s="134"/>
    </row>
    <row r="376">
      <c r="A376" s="126"/>
      <c r="B376" s="127"/>
      <c r="C376" s="135"/>
      <c r="D376" s="144"/>
      <c r="E376" s="74" t="s">
        <v>56</v>
      </c>
      <c r="F376" s="63" t="s">
        <v>56</v>
      </c>
      <c r="G376" s="129"/>
      <c r="H376" s="133"/>
      <c r="I376" s="129"/>
      <c r="J376" s="130"/>
      <c r="K376" s="130"/>
      <c r="L376" s="130"/>
      <c r="M376" s="130"/>
      <c r="N376" s="140"/>
      <c r="O376" s="150"/>
      <c r="P376" s="150"/>
      <c r="Q376" s="134"/>
      <c r="R376" s="134"/>
      <c r="S376" s="134"/>
      <c r="T376" s="134"/>
      <c r="U376" s="134"/>
      <c r="V376" s="134"/>
      <c r="W376" s="134"/>
      <c r="X376" s="134"/>
      <c r="Y376" s="134"/>
    </row>
    <row r="377">
      <c r="A377" s="126"/>
      <c r="B377" s="127"/>
      <c r="C377" s="135"/>
      <c r="D377" s="144"/>
      <c r="E377" s="74" t="s">
        <v>56</v>
      </c>
      <c r="F377" s="63" t="s">
        <v>56</v>
      </c>
      <c r="G377" s="129"/>
      <c r="H377" s="133"/>
      <c r="I377" s="129"/>
      <c r="J377" s="130"/>
      <c r="K377" s="130"/>
      <c r="L377" s="130"/>
      <c r="M377" s="130"/>
      <c r="N377" s="140"/>
      <c r="O377" s="150"/>
      <c r="P377" s="150"/>
      <c r="Q377" s="134"/>
      <c r="R377" s="134"/>
      <c r="S377" s="134"/>
      <c r="T377" s="134"/>
      <c r="U377" s="134"/>
      <c r="V377" s="134"/>
      <c r="W377" s="134"/>
      <c r="X377" s="134"/>
      <c r="Y377" s="134"/>
    </row>
    <row r="378">
      <c r="A378" s="126"/>
      <c r="B378" s="127"/>
      <c r="C378" s="135"/>
      <c r="D378" s="144"/>
      <c r="E378" s="74" t="s">
        <v>56</v>
      </c>
      <c r="F378" s="63" t="s">
        <v>56</v>
      </c>
      <c r="G378" s="129"/>
      <c r="H378" s="133"/>
      <c r="I378" s="129"/>
      <c r="J378" s="130"/>
      <c r="K378" s="130"/>
      <c r="L378" s="130"/>
      <c r="M378" s="130"/>
      <c r="N378" s="140"/>
      <c r="O378" s="150"/>
      <c r="P378" s="150"/>
      <c r="Q378" s="134"/>
      <c r="R378" s="134"/>
      <c r="S378" s="134"/>
      <c r="T378" s="134"/>
      <c r="U378" s="134"/>
      <c r="V378" s="134"/>
      <c r="W378" s="134"/>
      <c r="X378" s="134"/>
      <c r="Y378" s="134"/>
    </row>
    <row r="379">
      <c r="A379" s="126"/>
      <c r="B379" s="127"/>
      <c r="C379" s="135"/>
      <c r="D379" s="144"/>
      <c r="E379" s="74" t="s">
        <v>56</v>
      </c>
      <c r="F379" s="63" t="s">
        <v>56</v>
      </c>
      <c r="G379" s="129"/>
      <c r="H379" s="133"/>
      <c r="I379" s="129"/>
      <c r="J379" s="130"/>
      <c r="K379" s="130"/>
      <c r="L379" s="130"/>
      <c r="M379" s="130"/>
      <c r="N379" s="140"/>
      <c r="O379" s="150"/>
      <c r="P379" s="150"/>
      <c r="Q379" s="134"/>
      <c r="R379" s="134"/>
      <c r="S379" s="134"/>
      <c r="T379" s="134"/>
      <c r="U379" s="134"/>
      <c r="V379" s="134"/>
      <c r="W379" s="134"/>
      <c r="X379" s="134"/>
      <c r="Y379" s="134"/>
    </row>
    <row r="380">
      <c r="A380" s="126"/>
      <c r="B380" s="127"/>
      <c r="C380" s="135"/>
      <c r="D380" s="144"/>
      <c r="E380" s="74" t="s">
        <v>56</v>
      </c>
      <c r="F380" s="63" t="s">
        <v>56</v>
      </c>
      <c r="G380" s="129"/>
      <c r="H380" s="133"/>
      <c r="I380" s="129"/>
      <c r="J380" s="130"/>
      <c r="K380" s="130"/>
      <c r="L380" s="130"/>
      <c r="M380" s="130"/>
      <c r="N380" s="140"/>
      <c r="O380" s="150"/>
      <c r="P380" s="150"/>
      <c r="Q380" s="134"/>
      <c r="R380" s="134"/>
      <c r="S380" s="134"/>
      <c r="T380" s="134"/>
      <c r="U380" s="134"/>
      <c r="V380" s="134"/>
      <c r="W380" s="134"/>
      <c r="X380" s="134"/>
      <c r="Y380" s="134"/>
    </row>
    <row r="381">
      <c r="A381" s="126"/>
      <c r="B381" s="127"/>
      <c r="C381" s="135"/>
      <c r="D381" s="144"/>
      <c r="E381" s="74" t="s">
        <v>56</v>
      </c>
      <c r="F381" s="63" t="s">
        <v>56</v>
      </c>
      <c r="G381" s="129"/>
      <c r="H381" s="133"/>
      <c r="I381" s="129"/>
      <c r="J381" s="130"/>
      <c r="K381" s="130"/>
      <c r="L381" s="130"/>
      <c r="M381" s="130"/>
      <c r="N381" s="140"/>
      <c r="O381" s="150"/>
      <c r="P381" s="150"/>
      <c r="Q381" s="134"/>
      <c r="R381" s="134"/>
      <c r="S381" s="134"/>
      <c r="T381" s="134"/>
      <c r="U381" s="134"/>
      <c r="V381" s="134"/>
      <c r="W381" s="134"/>
      <c r="X381" s="134"/>
      <c r="Y381" s="134"/>
    </row>
    <row r="382">
      <c r="A382" s="126"/>
      <c r="B382" s="127"/>
      <c r="C382" s="135"/>
      <c r="D382" s="144"/>
      <c r="E382" s="74" t="s">
        <v>56</v>
      </c>
      <c r="F382" s="63" t="s">
        <v>56</v>
      </c>
      <c r="G382" s="129"/>
      <c r="H382" s="133"/>
      <c r="I382" s="129"/>
      <c r="J382" s="130"/>
      <c r="K382" s="130"/>
      <c r="L382" s="130"/>
      <c r="M382" s="130"/>
      <c r="N382" s="140"/>
      <c r="O382" s="150"/>
      <c r="P382" s="150"/>
      <c r="Q382" s="134"/>
      <c r="R382" s="134"/>
      <c r="S382" s="134"/>
      <c r="T382" s="134"/>
      <c r="U382" s="134"/>
      <c r="V382" s="134"/>
      <c r="W382" s="134"/>
      <c r="X382" s="134"/>
      <c r="Y382" s="134"/>
    </row>
    <row r="383">
      <c r="A383" s="126"/>
      <c r="B383" s="127"/>
      <c r="C383" s="135"/>
      <c r="D383" s="144"/>
      <c r="E383" s="74" t="s">
        <v>56</v>
      </c>
      <c r="F383" s="63" t="s">
        <v>56</v>
      </c>
      <c r="G383" s="129"/>
      <c r="H383" s="133"/>
      <c r="I383" s="129"/>
      <c r="J383" s="130"/>
      <c r="K383" s="130"/>
      <c r="L383" s="130"/>
      <c r="M383" s="130"/>
      <c r="N383" s="140"/>
      <c r="O383" s="150"/>
      <c r="P383" s="150"/>
      <c r="Q383" s="134"/>
      <c r="R383" s="134"/>
      <c r="S383" s="134"/>
      <c r="T383" s="134"/>
      <c r="U383" s="134"/>
      <c r="V383" s="134"/>
      <c r="W383" s="134"/>
      <c r="X383" s="134"/>
      <c r="Y383" s="134"/>
    </row>
    <row r="384">
      <c r="A384" s="126"/>
      <c r="B384" s="127"/>
      <c r="C384" s="135"/>
      <c r="D384" s="144"/>
      <c r="E384" s="74" t="s">
        <v>56</v>
      </c>
      <c r="F384" s="63" t="s">
        <v>56</v>
      </c>
      <c r="G384" s="129"/>
      <c r="H384" s="133"/>
      <c r="I384" s="129"/>
      <c r="J384" s="130"/>
      <c r="K384" s="130"/>
      <c r="L384" s="130"/>
      <c r="M384" s="130"/>
      <c r="N384" s="140"/>
      <c r="O384" s="150"/>
      <c r="P384" s="150"/>
      <c r="Q384" s="134"/>
      <c r="R384" s="134"/>
      <c r="S384" s="134"/>
      <c r="T384" s="134"/>
      <c r="U384" s="134"/>
      <c r="V384" s="134"/>
      <c r="W384" s="134"/>
      <c r="X384" s="134"/>
      <c r="Y384" s="134"/>
    </row>
    <row r="385">
      <c r="A385" s="126"/>
      <c r="B385" s="127"/>
      <c r="C385" s="135"/>
      <c r="D385" s="144"/>
      <c r="E385" s="74" t="s">
        <v>56</v>
      </c>
      <c r="F385" s="63" t="s">
        <v>56</v>
      </c>
      <c r="G385" s="129"/>
      <c r="H385" s="133"/>
      <c r="I385" s="129"/>
      <c r="J385" s="130"/>
      <c r="K385" s="130"/>
      <c r="L385" s="130"/>
      <c r="M385" s="130"/>
      <c r="N385" s="140"/>
      <c r="O385" s="150"/>
      <c r="P385" s="150"/>
      <c r="Q385" s="134"/>
      <c r="R385" s="134"/>
      <c r="S385" s="134"/>
      <c r="T385" s="134"/>
      <c r="U385" s="134"/>
      <c r="V385" s="134"/>
      <c r="W385" s="134"/>
      <c r="X385" s="134"/>
      <c r="Y385" s="134"/>
    </row>
    <row r="386">
      <c r="A386" s="126"/>
      <c r="B386" s="127"/>
      <c r="C386" s="135"/>
      <c r="D386" s="144"/>
      <c r="E386" s="74" t="s">
        <v>56</v>
      </c>
      <c r="F386" s="63" t="s">
        <v>56</v>
      </c>
      <c r="G386" s="129"/>
      <c r="H386" s="133"/>
      <c r="I386" s="129"/>
      <c r="J386" s="130"/>
      <c r="K386" s="130"/>
      <c r="L386" s="130"/>
      <c r="M386" s="130"/>
      <c r="N386" s="140"/>
      <c r="O386" s="150"/>
      <c r="P386" s="150"/>
      <c r="Q386" s="134"/>
      <c r="R386" s="134"/>
      <c r="S386" s="134"/>
      <c r="T386" s="134"/>
      <c r="U386" s="134"/>
      <c r="V386" s="134"/>
      <c r="W386" s="134"/>
      <c r="X386" s="134"/>
      <c r="Y386" s="134"/>
    </row>
    <row r="387">
      <c r="A387" s="126"/>
      <c r="B387" s="127"/>
      <c r="C387" s="135"/>
      <c r="D387" s="144"/>
      <c r="E387" s="74" t="s">
        <v>56</v>
      </c>
      <c r="F387" s="63" t="s">
        <v>56</v>
      </c>
      <c r="G387" s="129"/>
      <c r="H387" s="133"/>
      <c r="I387" s="129"/>
      <c r="J387" s="130"/>
      <c r="K387" s="130"/>
      <c r="L387" s="130"/>
      <c r="M387" s="130"/>
      <c r="N387" s="140"/>
      <c r="O387" s="150"/>
      <c r="P387" s="150"/>
      <c r="Q387" s="134"/>
      <c r="R387" s="134"/>
      <c r="S387" s="134"/>
      <c r="T387" s="134"/>
      <c r="U387" s="134"/>
      <c r="V387" s="134"/>
      <c r="W387" s="134"/>
      <c r="X387" s="134"/>
      <c r="Y387" s="134"/>
    </row>
    <row r="388">
      <c r="A388" s="126"/>
      <c r="B388" s="127"/>
      <c r="C388" s="135"/>
      <c r="D388" s="144"/>
      <c r="E388" s="74" t="s">
        <v>56</v>
      </c>
      <c r="F388" s="63" t="s">
        <v>56</v>
      </c>
      <c r="G388" s="129"/>
      <c r="H388" s="133"/>
      <c r="I388" s="129"/>
      <c r="J388" s="130"/>
      <c r="K388" s="130"/>
      <c r="L388" s="130"/>
      <c r="M388" s="130"/>
      <c r="N388" s="140"/>
      <c r="O388" s="150"/>
      <c r="P388" s="150"/>
      <c r="Q388" s="134"/>
      <c r="R388" s="134"/>
      <c r="S388" s="134"/>
      <c r="T388" s="134"/>
      <c r="U388" s="134"/>
      <c r="V388" s="134"/>
      <c r="W388" s="134"/>
      <c r="X388" s="134"/>
      <c r="Y388" s="134"/>
    </row>
    <row r="389">
      <c r="A389" s="126"/>
      <c r="B389" s="127"/>
      <c r="C389" s="135"/>
      <c r="D389" s="144"/>
      <c r="E389" s="74" t="s">
        <v>56</v>
      </c>
      <c r="F389" s="63" t="s">
        <v>56</v>
      </c>
      <c r="G389" s="129"/>
      <c r="H389" s="133"/>
      <c r="I389" s="129"/>
      <c r="J389" s="130"/>
      <c r="K389" s="130"/>
      <c r="L389" s="130"/>
      <c r="M389" s="130"/>
      <c r="N389" s="140"/>
      <c r="O389" s="150"/>
      <c r="P389" s="150"/>
      <c r="Q389" s="134"/>
      <c r="R389" s="134"/>
      <c r="S389" s="134"/>
      <c r="T389" s="134"/>
      <c r="U389" s="134"/>
      <c r="V389" s="134"/>
      <c r="W389" s="134"/>
      <c r="X389" s="134"/>
      <c r="Y389" s="134"/>
    </row>
    <row r="390">
      <c r="A390" s="126"/>
      <c r="B390" s="127"/>
      <c r="C390" s="135"/>
      <c r="D390" s="144"/>
      <c r="E390" s="74" t="s">
        <v>56</v>
      </c>
      <c r="F390" s="63" t="s">
        <v>56</v>
      </c>
      <c r="G390" s="129"/>
      <c r="H390" s="133"/>
      <c r="I390" s="129"/>
      <c r="J390" s="130"/>
      <c r="K390" s="130"/>
      <c r="L390" s="130"/>
      <c r="M390" s="130"/>
      <c r="N390" s="140"/>
      <c r="O390" s="150"/>
      <c r="P390" s="150"/>
      <c r="Q390" s="134"/>
      <c r="R390" s="134"/>
      <c r="S390" s="134"/>
      <c r="T390" s="134"/>
      <c r="U390" s="134"/>
      <c r="V390" s="134"/>
      <c r="W390" s="134"/>
      <c r="X390" s="134"/>
      <c r="Y390" s="134"/>
    </row>
    <row r="391">
      <c r="A391" s="126"/>
      <c r="B391" s="127"/>
      <c r="C391" s="135"/>
      <c r="D391" s="144"/>
      <c r="E391" s="74" t="s">
        <v>56</v>
      </c>
      <c r="F391" s="63" t="s">
        <v>56</v>
      </c>
      <c r="G391" s="129"/>
      <c r="H391" s="133"/>
      <c r="I391" s="129"/>
      <c r="J391" s="130"/>
      <c r="K391" s="130"/>
      <c r="L391" s="130"/>
      <c r="M391" s="130"/>
      <c r="N391" s="140"/>
      <c r="O391" s="150"/>
      <c r="P391" s="150"/>
      <c r="Q391" s="134"/>
      <c r="R391" s="134"/>
      <c r="S391" s="134"/>
      <c r="T391" s="134"/>
      <c r="U391" s="134"/>
      <c r="V391" s="134"/>
      <c r="W391" s="134"/>
      <c r="X391" s="134"/>
      <c r="Y391" s="134"/>
    </row>
    <row r="392">
      <c r="A392" s="126"/>
      <c r="B392" s="127"/>
      <c r="C392" s="135"/>
      <c r="D392" s="144"/>
      <c r="E392" s="74" t="s">
        <v>56</v>
      </c>
      <c r="F392" s="63" t="s">
        <v>56</v>
      </c>
      <c r="G392" s="129"/>
      <c r="H392" s="133"/>
      <c r="I392" s="129"/>
      <c r="J392" s="130"/>
      <c r="K392" s="130"/>
      <c r="L392" s="130"/>
      <c r="M392" s="130"/>
      <c r="N392" s="140"/>
      <c r="O392" s="150"/>
      <c r="P392" s="150"/>
      <c r="Q392" s="134"/>
      <c r="R392" s="134"/>
      <c r="S392" s="134"/>
      <c r="T392" s="134"/>
      <c r="U392" s="134"/>
      <c r="V392" s="134"/>
      <c r="W392" s="134"/>
      <c r="X392" s="134"/>
      <c r="Y392" s="134"/>
    </row>
    <row r="393">
      <c r="A393" s="126"/>
      <c r="B393" s="127"/>
      <c r="C393" s="135"/>
      <c r="D393" s="144"/>
      <c r="E393" s="74" t="s">
        <v>56</v>
      </c>
      <c r="F393" s="63" t="s">
        <v>56</v>
      </c>
      <c r="G393" s="129"/>
      <c r="H393" s="133"/>
      <c r="I393" s="129"/>
      <c r="J393" s="130"/>
      <c r="K393" s="130"/>
      <c r="L393" s="130"/>
      <c r="M393" s="130"/>
      <c r="N393" s="140"/>
      <c r="O393" s="150"/>
      <c r="P393" s="150"/>
      <c r="Q393" s="134"/>
      <c r="R393" s="134"/>
      <c r="S393" s="134"/>
      <c r="T393" s="134"/>
      <c r="U393" s="134"/>
      <c r="V393" s="134"/>
      <c r="W393" s="134"/>
      <c r="X393" s="134"/>
      <c r="Y393" s="134"/>
    </row>
    <row r="394">
      <c r="A394" s="126"/>
      <c r="B394" s="127"/>
      <c r="C394" s="135"/>
      <c r="D394" s="144"/>
      <c r="E394" s="74" t="s">
        <v>56</v>
      </c>
      <c r="F394" s="63" t="s">
        <v>56</v>
      </c>
      <c r="G394" s="129"/>
      <c r="H394" s="133"/>
      <c r="I394" s="129"/>
      <c r="J394" s="130"/>
      <c r="K394" s="130"/>
      <c r="L394" s="130"/>
      <c r="M394" s="130"/>
      <c r="N394" s="140"/>
      <c r="O394" s="150"/>
      <c r="P394" s="150"/>
      <c r="Q394" s="134"/>
      <c r="R394" s="134"/>
      <c r="S394" s="134"/>
      <c r="T394" s="134"/>
      <c r="U394" s="134"/>
      <c r="V394" s="134"/>
      <c r="W394" s="134"/>
      <c r="X394" s="134"/>
      <c r="Y394" s="134"/>
    </row>
    <row r="395">
      <c r="A395" s="126"/>
      <c r="B395" s="127"/>
      <c r="C395" s="135"/>
      <c r="D395" s="144"/>
      <c r="E395" s="74" t="s">
        <v>56</v>
      </c>
      <c r="F395" s="63" t="s">
        <v>56</v>
      </c>
      <c r="G395" s="129"/>
      <c r="H395" s="133"/>
      <c r="I395" s="129"/>
      <c r="J395" s="130"/>
      <c r="K395" s="130"/>
      <c r="L395" s="130"/>
      <c r="M395" s="130"/>
      <c r="N395" s="140"/>
      <c r="O395" s="150"/>
      <c r="P395" s="150"/>
      <c r="Q395" s="134"/>
      <c r="R395" s="134"/>
      <c r="S395" s="134"/>
      <c r="T395" s="134"/>
      <c r="U395" s="134"/>
      <c r="V395" s="134"/>
      <c r="W395" s="134"/>
      <c r="X395" s="134"/>
      <c r="Y395" s="134"/>
    </row>
    <row r="396">
      <c r="A396" s="126"/>
      <c r="B396" s="127"/>
      <c r="C396" s="135"/>
      <c r="D396" s="144"/>
      <c r="E396" s="74" t="s">
        <v>56</v>
      </c>
      <c r="F396" s="63" t="s">
        <v>56</v>
      </c>
      <c r="G396" s="129"/>
      <c r="H396" s="133"/>
      <c r="I396" s="129"/>
      <c r="J396" s="130"/>
      <c r="K396" s="130"/>
      <c r="L396" s="130"/>
      <c r="M396" s="130"/>
      <c r="N396" s="140"/>
      <c r="O396" s="150"/>
      <c r="P396" s="150"/>
      <c r="Q396" s="134"/>
      <c r="R396" s="134"/>
      <c r="S396" s="134"/>
      <c r="T396" s="134"/>
      <c r="U396" s="134"/>
      <c r="V396" s="134"/>
      <c r="W396" s="134"/>
      <c r="X396" s="134"/>
      <c r="Y396" s="134"/>
    </row>
    <row r="397">
      <c r="A397" s="126"/>
      <c r="B397" s="127"/>
      <c r="C397" s="135"/>
      <c r="D397" s="144"/>
      <c r="E397" s="74" t="s">
        <v>56</v>
      </c>
      <c r="F397" s="63" t="s">
        <v>56</v>
      </c>
      <c r="G397" s="129"/>
      <c r="H397" s="133"/>
      <c r="I397" s="129"/>
      <c r="J397" s="130"/>
      <c r="K397" s="130"/>
      <c r="L397" s="130"/>
      <c r="M397" s="130"/>
      <c r="N397" s="140"/>
      <c r="O397" s="150"/>
      <c r="P397" s="150"/>
      <c r="Q397" s="134"/>
      <c r="R397" s="134"/>
      <c r="S397" s="134"/>
      <c r="T397" s="134"/>
      <c r="U397" s="134"/>
      <c r="V397" s="134"/>
      <c r="W397" s="134"/>
      <c r="X397" s="134"/>
      <c r="Y397" s="134"/>
    </row>
    <row r="398">
      <c r="A398" s="126"/>
      <c r="B398" s="127"/>
      <c r="C398" s="135"/>
      <c r="D398" s="144"/>
      <c r="E398" s="74" t="s">
        <v>56</v>
      </c>
      <c r="F398" s="63" t="s">
        <v>56</v>
      </c>
      <c r="G398" s="129"/>
      <c r="H398" s="133"/>
      <c r="I398" s="129"/>
      <c r="J398" s="130"/>
      <c r="K398" s="130"/>
      <c r="L398" s="130"/>
      <c r="M398" s="130"/>
      <c r="N398" s="140"/>
      <c r="O398" s="150"/>
      <c r="P398" s="150"/>
      <c r="Q398" s="134"/>
      <c r="R398" s="134"/>
      <c r="S398" s="134"/>
      <c r="T398" s="134"/>
      <c r="U398" s="134"/>
      <c r="V398" s="134"/>
      <c r="W398" s="134"/>
      <c r="X398" s="134"/>
      <c r="Y398" s="134"/>
    </row>
    <row r="399">
      <c r="A399" s="126"/>
      <c r="B399" s="127"/>
      <c r="C399" s="135"/>
      <c r="D399" s="144"/>
      <c r="E399" s="74" t="s">
        <v>56</v>
      </c>
      <c r="F399" s="63" t="s">
        <v>56</v>
      </c>
      <c r="G399" s="129"/>
      <c r="H399" s="133"/>
      <c r="I399" s="129"/>
      <c r="J399" s="130"/>
      <c r="K399" s="130"/>
      <c r="L399" s="130"/>
      <c r="M399" s="130"/>
      <c r="N399" s="140"/>
      <c r="O399" s="150"/>
      <c r="P399" s="150"/>
      <c r="Q399" s="134"/>
      <c r="R399" s="134"/>
      <c r="S399" s="134"/>
      <c r="T399" s="134"/>
      <c r="U399" s="134"/>
      <c r="V399" s="134"/>
      <c r="W399" s="134"/>
      <c r="X399" s="134"/>
      <c r="Y399" s="134"/>
    </row>
    <row r="400">
      <c r="A400" s="126"/>
      <c r="B400" s="127"/>
      <c r="C400" s="135"/>
      <c r="D400" s="144"/>
      <c r="E400" s="74" t="s">
        <v>56</v>
      </c>
      <c r="F400" s="63" t="s">
        <v>56</v>
      </c>
      <c r="G400" s="129"/>
      <c r="H400" s="133"/>
      <c r="I400" s="129"/>
      <c r="J400" s="130"/>
      <c r="K400" s="130"/>
      <c r="L400" s="130"/>
      <c r="M400" s="130"/>
      <c r="N400" s="140"/>
      <c r="O400" s="150"/>
      <c r="P400" s="150"/>
      <c r="Q400" s="134"/>
      <c r="R400" s="134"/>
      <c r="S400" s="134"/>
      <c r="T400" s="134"/>
      <c r="U400" s="134"/>
      <c r="V400" s="134"/>
      <c r="W400" s="134"/>
      <c r="X400" s="134"/>
      <c r="Y400" s="134"/>
    </row>
    <row r="401">
      <c r="A401" s="126"/>
      <c r="B401" s="127"/>
      <c r="C401" s="135"/>
      <c r="D401" s="144"/>
      <c r="E401" s="74" t="s">
        <v>56</v>
      </c>
      <c r="F401" s="63" t="s">
        <v>56</v>
      </c>
      <c r="G401" s="129"/>
      <c r="H401" s="133"/>
      <c r="I401" s="129"/>
      <c r="J401" s="130"/>
      <c r="K401" s="130"/>
      <c r="L401" s="130"/>
      <c r="M401" s="130"/>
      <c r="N401" s="140"/>
      <c r="O401" s="150"/>
      <c r="P401" s="150"/>
      <c r="Q401" s="134"/>
      <c r="R401" s="134"/>
      <c r="S401" s="134"/>
      <c r="T401" s="134"/>
      <c r="U401" s="134"/>
      <c r="V401" s="134"/>
      <c r="W401" s="134"/>
      <c r="X401" s="134"/>
      <c r="Y401" s="134"/>
    </row>
    <row r="402">
      <c r="A402" s="126"/>
      <c r="B402" s="127"/>
      <c r="C402" s="135"/>
      <c r="D402" s="144"/>
      <c r="E402" s="74" t="s">
        <v>56</v>
      </c>
      <c r="F402" s="63" t="s">
        <v>56</v>
      </c>
      <c r="G402" s="129"/>
      <c r="H402" s="133"/>
      <c r="I402" s="129"/>
      <c r="J402" s="130"/>
      <c r="K402" s="130"/>
      <c r="L402" s="130"/>
      <c r="M402" s="130"/>
      <c r="N402" s="140"/>
      <c r="O402" s="150"/>
      <c r="P402" s="150"/>
      <c r="Q402" s="134"/>
      <c r="R402" s="134"/>
      <c r="S402" s="134"/>
      <c r="T402" s="134"/>
      <c r="U402" s="134"/>
      <c r="V402" s="134"/>
      <c r="W402" s="134"/>
      <c r="X402" s="134"/>
      <c r="Y402" s="134"/>
    </row>
    <row r="403">
      <c r="A403" s="126"/>
      <c r="B403" s="127"/>
      <c r="C403" s="135"/>
      <c r="D403" s="144"/>
      <c r="E403" s="74" t="s">
        <v>56</v>
      </c>
      <c r="F403" s="63" t="s">
        <v>56</v>
      </c>
      <c r="G403" s="129"/>
      <c r="H403" s="133"/>
      <c r="I403" s="129"/>
      <c r="J403" s="130"/>
      <c r="K403" s="130"/>
      <c r="L403" s="130"/>
      <c r="M403" s="130"/>
      <c r="N403" s="140"/>
      <c r="O403" s="150"/>
      <c r="P403" s="150"/>
      <c r="Q403" s="134"/>
      <c r="R403" s="134"/>
      <c r="S403" s="134"/>
      <c r="T403" s="134"/>
      <c r="U403" s="134"/>
      <c r="V403" s="134"/>
      <c r="W403" s="134"/>
      <c r="X403" s="134"/>
      <c r="Y403" s="134"/>
    </row>
    <row r="404">
      <c r="A404" s="126"/>
      <c r="B404" s="127"/>
      <c r="C404" s="135"/>
      <c r="D404" s="144"/>
      <c r="E404" s="74" t="s">
        <v>56</v>
      </c>
      <c r="F404" s="63" t="s">
        <v>56</v>
      </c>
      <c r="G404" s="129"/>
      <c r="H404" s="133"/>
      <c r="I404" s="129"/>
      <c r="J404" s="130"/>
      <c r="K404" s="130"/>
      <c r="L404" s="130"/>
      <c r="M404" s="130"/>
      <c r="N404" s="140"/>
      <c r="O404" s="150"/>
      <c r="P404" s="150"/>
      <c r="Q404" s="134"/>
      <c r="R404" s="134"/>
      <c r="S404" s="134"/>
      <c r="T404" s="134"/>
      <c r="U404" s="134"/>
      <c r="V404" s="134"/>
      <c r="W404" s="134"/>
      <c r="X404" s="134"/>
      <c r="Y404" s="134"/>
    </row>
    <row r="405">
      <c r="A405" s="126"/>
      <c r="B405" s="127"/>
      <c r="C405" s="135"/>
      <c r="D405" s="144"/>
      <c r="E405" s="74" t="s">
        <v>56</v>
      </c>
      <c r="F405" s="63" t="s">
        <v>56</v>
      </c>
      <c r="G405" s="129"/>
      <c r="H405" s="133"/>
      <c r="I405" s="129"/>
      <c r="J405" s="130"/>
      <c r="K405" s="130"/>
      <c r="L405" s="130"/>
      <c r="M405" s="130"/>
      <c r="N405" s="140"/>
      <c r="O405" s="150"/>
      <c r="P405" s="150"/>
      <c r="Q405" s="134"/>
      <c r="R405" s="134"/>
      <c r="S405" s="134"/>
      <c r="T405" s="134"/>
      <c r="U405" s="134"/>
      <c r="V405" s="134"/>
      <c r="W405" s="134"/>
      <c r="X405" s="134"/>
      <c r="Y405" s="134"/>
    </row>
    <row r="406">
      <c r="A406" s="126"/>
      <c r="B406" s="127"/>
      <c r="C406" s="135"/>
      <c r="D406" s="144"/>
      <c r="E406" s="74" t="s">
        <v>56</v>
      </c>
      <c r="F406" s="63" t="s">
        <v>56</v>
      </c>
      <c r="G406" s="129"/>
      <c r="H406" s="133"/>
      <c r="I406" s="129"/>
      <c r="J406" s="130"/>
      <c r="K406" s="130"/>
      <c r="L406" s="130"/>
      <c r="M406" s="130"/>
      <c r="N406" s="140"/>
      <c r="O406" s="150"/>
      <c r="P406" s="150"/>
      <c r="Q406" s="134"/>
      <c r="R406" s="134"/>
      <c r="S406" s="134"/>
      <c r="T406" s="134"/>
      <c r="U406" s="134"/>
      <c r="V406" s="134"/>
      <c r="W406" s="134"/>
      <c r="X406" s="134"/>
      <c r="Y406" s="134"/>
    </row>
    <row r="407">
      <c r="A407" s="126"/>
      <c r="B407" s="127"/>
      <c r="C407" s="135"/>
      <c r="D407" s="144"/>
      <c r="E407" s="74" t="s">
        <v>56</v>
      </c>
      <c r="F407" s="63" t="s">
        <v>56</v>
      </c>
      <c r="G407" s="129"/>
      <c r="H407" s="133"/>
      <c r="I407" s="129"/>
      <c r="J407" s="130"/>
      <c r="K407" s="130"/>
      <c r="L407" s="130"/>
      <c r="M407" s="130"/>
      <c r="N407" s="140"/>
      <c r="O407" s="150"/>
      <c r="P407" s="150"/>
      <c r="Q407" s="134"/>
      <c r="R407" s="134"/>
      <c r="S407" s="134"/>
      <c r="T407" s="134"/>
      <c r="U407" s="134"/>
      <c r="V407" s="134"/>
      <c r="W407" s="134"/>
      <c r="X407" s="134"/>
      <c r="Y407" s="134"/>
    </row>
    <row r="408">
      <c r="A408" s="126"/>
      <c r="B408" s="127"/>
      <c r="C408" s="135"/>
      <c r="D408" s="144"/>
      <c r="E408" s="74" t="s">
        <v>56</v>
      </c>
      <c r="F408" s="63" t="s">
        <v>56</v>
      </c>
      <c r="G408" s="129"/>
      <c r="H408" s="133"/>
      <c r="I408" s="129"/>
      <c r="J408" s="130"/>
      <c r="K408" s="130"/>
      <c r="L408" s="130"/>
      <c r="M408" s="130"/>
      <c r="N408" s="140"/>
      <c r="O408" s="150"/>
      <c r="P408" s="150"/>
      <c r="Q408" s="134"/>
      <c r="R408" s="134"/>
      <c r="S408" s="134"/>
      <c r="T408" s="134"/>
      <c r="U408" s="134"/>
      <c r="V408" s="134"/>
      <c r="W408" s="134"/>
      <c r="X408" s="134"/>
      <c r="Y408" s="134"/>
    </row>
    <row r="409">
      <c r="A409" s="126"/>
      <c r="B409" s="127"/>
      <c r="C409" s="135"/>
      <c r="D409" s="144"/>
      <c r="E409" s="74" t="s">
        <v>56</v>
      </c>
      <c r="F409" s="63" t="s">
        <v>56</v>
      </c>
      <c r="G409" s="129"/>
      <c r="H409" s="133"/>
      <c r="I409" s="129"/>
      <c r="J409" s="130"/>
      <c r="K409" s="130"/>
      <c r="L409" s="130"/>
      <c r="M409" s="130"/>
      <c r="N409" s="140"/>
      <c r="O409" s="150"/>
      <c r="P409" s="150"/>
      <c r="Q409" s="134"/>
      <c r="R409" s="134"/>
      <c r="S409" s="134"/>
      <c r="T409" s="134"/>
      <c r="U409" s="134"/>
      <c r="V409" s="134"/>
      <c r="W409" s="134"/>
      <c r="X409" s="134"/>
      <c r="Y409" s="134"/>
    </row>
    <row r="410">
      <c r="A410" s="126"/>
      <c r="B410" s="127"/>
      <c r="C410" s="135"/>
      <c r="D410" s="144"/>
      <c r="E410" s="74" t="s">
        <v>56</v>
      </c>
      <c r="F410" s="63" t="s">
        <v>56</v>
      </c>
      <c r="G410" s="129"/>
      <c r="H410" s="133"/>
      <c r="I410" s="129"/>
      <c r="J410" s="130"/>
      <c r="K410" s="130"/>
      <c r="L410" s="130"/>
      <c r="M410" s="130"/>
      <c r="N410" s="140"/>
      <c r="O410" s="150"/>
      <c r="P410" s="150"/>
      <c r="Q410" s="134"/>
      <c r="R410" s="134"/>
      <c r="S410" s="134"/>
      <c r="T410" s="134"/>
      <c r="U410" s="134"/>
      <c r="V410" s="134"/>
      <c r="W410" s="134"/>
      <c r="X410" s="134"/>
      <c r="Y410" s="134"/>
    </row>
    <row r="411">
      <c r="A411" s="126"/>
      <c r="B411" s="127"/>
      <c r="C411" s="135"/>
      <c r="D411" s="144"/>
      <c r="E411" s="74" t="s">
        <v>56</v>
      </c>
      <c r="F411" s="63" t="s">
        <v>56</v>
      </c>
      <c r="G411" s="129"/>
      <c r="H411" s="133"/>
      <c r="I411" s="129"/>
      <c r="J411" s="130"/>
      <c r="K411" s="130"/>
      <c r="L411" s="130"/>
      <c r="M411" s="130"/>
      <c r="N411" s="140"/>
      <c r="O411" s="150"/>
      <c r="P411" s="150"/>
      <c r="Q411" s="134"/>
      <c r="R411" s="134"/>
      <c r="S411" s="134"/>
      <c r="T411" s="134"/>
      <c r="U411" s="134"/>
      <c r="V411" s="134"/>
      <c r="W411" s="134"/>
      <c r="X411" s="134"/>
      <c r="Y411" s="134"/>
    </row>
    <row r="412">
      <c r="A412" s="126"/>
      <c r="B412" s="127"/>
      <c r="C412" s="135"/>
      <c r="D412" s="144"/>
      <c r="E412" s="74" t="s">
        <v>56</v>
      </c>
      <c r="F412" s="63" t="s">
        <v>56</v>
      </c>
      <c r="G412" s="129"/>
      <c r="H412" s="133"/>
      <c r="I412" s="129"/>
      <c r="J412" s="130"/>
      <c r="K412" s="130"/>
      <c r="L412" s="130"/>
      <c r="M412" s="130"/>
      <c r="N412" s="140"/>
      <c r="O412" s="150"/>
      <c r="P412" s="150"/>
      <c r="Q412" s="134"/>
      <c r="R412" s="134"/>
      <c r="S412" s="134"/>
      <c r="T412" s="134"/>
      <c r="U412" s="134"/>
      <c r="V412" s="134"/>
      <c r="W412" s="134"/>
      <c r="X412" s="134"/>
      <c r="Y412" s="134"/>
    </row>
    <row r="413">
      <c r="A413" s="126"/>
      <c r="B413" s="127"/>
      <c r="C413" s="135"/>
      <c r="D413" s="144"/>
      <c r="E413" s="74" t="s">
        <v>56</v>
      </c>
      <c r="F413" s="63" t="s">
        <v>56</v>
      </c>
      <c r="G413" s="129"/>
      <c r="H413" s="133"/>
      <c r="I413" s="129"/>
      <c r="J413" s="130"/>
      <c r="K413" s="130"/>
      <c r="L413" s="130"/>
      <c r="M413" s="130"/>
      <c r="N413" s="140"/>
      <c r="O413" s="150"/>
      <c r="P413" s="150"/>
      <c r="Q413" s="134"/>
      <c r="R413" s="134"/>
      <c r="S413" s="134"/>
      <c r="T413" s="134"/>
      <c r="U413" s="134"/>
      <c r="V413" s="134"/>
      <c r="W413" s="134"/>
      <c r="X413" s="134"/>
      <c r="Y413" s="134"/>
    </row>
    <row r="414">
      <c r="A414" s="126"/>
      <c r="B414" s="127"/>
      <c r="C414" s="135"/>
      <c r="D414" s="144"/>
      <c r="E414" s="74" t="s">
        <v>56</v>
      </c>
      <c r="F414" s="63" t="s">
        <v>56</v>
      </c>
      <c r="G414" s="129"/>
      <c r="H414" s="133"/>
      <c r="I414" s="129"/>
      <c r="J414" s="130"/>
      <c r="K414" s="130"/>
      <c r="L414" s="130"/>
      <c r="M414" s="130"/>
      <c r="N414" s="140"/>
      <c r="O414" s="150"/>
      <c r="P414" s="150"/>
      <c r="Q414" s="134"/>
      <c r="R414" s="134"/>
      <c r="S414" s="134"/>
      <c r="T414" s="134"/>
      <c r="U414" s="134"/>
      <c r="V414" s="134"/>
      <c r="W414" s="134"/>
      <c r="X414" s="134"/>
      <c r="Y414" s="134"/>
    </row>
    <row r="415">
      <c r="A415" s="126"/>
      <c r="B415" s="127"/>
      <c r="C415" s="135"/>
      <c r="D415" s="144"/>
      <c r="E415" s="74" t="s">
        <v>56</v>
      </c>
      <c r="F415" s="63" t="s">
        <v>56</v>
      </c>
      <c r="G415" s="129"/>
      <c r="H415" s="133"/>
      <c r="I415" s="129"/>
      <c r="J415" s="130"/>
      <c r="K415" s="130"/>
      <c r="L415" s="130"/>
      <c r="M415" s="130"/>
      <c r="N415" s="140"/>
      <c r="O415" s="150"/>
      <c r="P415" s="150"/>
      <c r="Q415" s="134"/>
      <c r="R415" s="134"/>
      <c r="S415" s="134"/>
      <c r="T415" s="134"/>
      <c r="U415" s="134"/>
      <c r="V415" s="134"/>
      <c r="W415" s="134"/>
      <c r="X415" s="134"/>
      <c r="Y415" s="134"/>
    </row>
    <row r="416">
      <c r="A416" s="126"/>
      <c r="B416" s="127"/>
      <c r="C416" s="135"/>
      <c r="D416" s="144"/>
      <c r="E416" s="74" t="s">
        <v>56</v>
      </c>
      <c r="F416" s="63" t="s">
        <v>56</v>
      </c>
      <c r="G416" s="129"/>
      <c r="H416" s="133"/>
      <c r="I416" s="129"/>
      <c r="J416" s="130"/>
      <c r="K416" s="130"/>
      <c r="L416" s="130"/>
      <c r="M416" s="130"/>
      <c r="N416" s="140"/>
      <c r="O416" s="150"/>
      <c r="P416" s="150"/>
      <c r="Q416" s="134"/>
      <c r="R416" s="134"/>
      <c r="S416" s="134"/>
      <c r="T416" s="134"/>
      <c r="U416" s="134"/>
      <c r="V416" s="134"/>
      <c r="W416" s="134"/>
      <c r="X416" s="134"/>
      <c r="Y416" s="134"/>
    </row>
    <row r="417">
      <c r="A417" s="126"/>
      <c r="B417" s="127"/>
      <c r="C417" s="135"/>
      <c r="D417" s="144"/>
      <c r="E417" s="74" t="s">
        <v>56</v>
      </c>
      <c r="F417" s="63" t="s">
        <v>56</v>
      </c>
      <c r="G417" s="129"/>
      <c r="H417" s="133"/>
      <c r="I417" s="129"/>
      <c r="J417" s="130"/>
      <c r="K417" s="130"/>
      <c r="L417" s="130"/>
      <c r="M417" s="130"/>
      <c r="N417" s="140"/>
      <c r="O417" s="150"/>
      <c r="P417" s="150"/>
      <c r="Q417" s="134"/>
      <c r="R417" s="134"/>
      <c r="S417" s="134"/>
      <c r="T417" s="134"/>
      <c r="U417" s="134"/>
      <c r="V417" s="134"/>
      <c r="W417" s="134"/>
      <c r="X417" s="134"/>
      <c r="Y417" s="134"/>
    </row>
    <row r="418">
      <c r="A418" s="126"/>
      <c r="B418" s="127"/>
      <c r="C418" s="135"/>
      <c r="D418" s="144"/>
      <c r="E418" s="74" t="s">
        <v>56</v>
      </c>
      <c r="F418" s="63" t="s">
        <v>56</v>
      </c>
      <c r="G418" s="129"/>
      <c r="H418" s="133"/>
      <c r="I418" s="129"/>
      <c r="J418" s="130"/>
      <c r="K418" s="130"/>
      <c r="L418" s="130"/>
      <c r="M418" s="130"/>
      <c r="N418" s="140"/>
      <c r="O418" s="150"/>
      <c r="P418" s="150"/>
      <c r="Q418" s="134"/>
      <c r="R418" s="134"/>
      <c r="S418" s="134"/>
      <c r="T418" s="134"/>
      <c r="U418" s="134"/>
      <c r="V418" s="134"/>
      <c r="W418" s="134"/>
      <c r="X418" s="134"/>
      <c r="Y418" s="134"/>
    </row>
    <row r="419">
      <c r="A419" s="126"/>
      <c r="B419" s="127"/>
      <c r="C419" s="135"/>
      <c r="D419" s="144"/>
      <c r="E419" s="74" t="s">
        <v>56</v>
      </c>
      <c r="F419" s="63" t="s">
        <v>56</v>
      </c>
      <c r="G419" s="129"/>
      <c r="H419" s="133"/>
      <c r="I419" s="129"/>
      <c r="J419" s="130"/>
      <c r="K419" s="130"/>
      <c r="L419" s="130"/>
      <c r="M419" s="130"/>
      <c r="N419" s="140"/>
      <c r="O419" s="150"/>
      <c r="P419" s="150"/>
      <c r="Q419" s="134"/>
      <c r="R419" s="134"/>
      <c r="S419" s="134"/>
      <c r="T419" s="134"/>
      <c r="U419" s="134"/>
      <c r="V419" s="134"/>
      <c r="W419" s="134"/>
      <c r="X419" s="134"/>
      <c r="Y419" s="134"/>
    </row>
    <row r="420">
      <c r="A420" s="126"/>
      <c r="B420" s="127"/>
      <c r="C420" s="135"/>
      <c r="D420" s="144"/>
      <c r="E420" s="74" t="s">
        <v>56</v>
      </c>
      <c r="F420" s="63" t="s">
        <v>56</v>
      </c>
      <c r="G420" s="129"/>
      <c r="H420" s="133"/>
      <c r="I420" s="129"/>
      <c r="J420" s="130"/>
      <c r="K420" s="130"/>
      <c r="L420" s="130"/>
      <c r="M420" s="130"/>
      <c r="N420" s="140"/>
      <c r="O420" s="150"/>
      <c r="P420" s="150"/>
      <c r="Q420" s="134"/>
      <c r="R420" s="134"/>
      <c r="S420" s="134"/>
      <c r="T420" s="134"/>
      <c r="U420" s="134"/>
      <c r="V420" s="134"/>
      <c r="W420" s="134"/>
      <c r="X420" s="134"/>
      <c r="Y420" s="134"/>
    </row>
    <row r="421">
      <c r="A421" s="126"/>
      <c r="B421" s="127"/>
      <c r="C421" s="135"/>
      <c r="D421" s="144"/>
      <c r="E421" s="74" t="s">
        <v>56</v>
      </c>
      <c r="F421" s="63" t="s">
        <v>56</v>
      </c>
      <c r="G421" s="129"/>
      <c r="H421" s="133"/>
      <c r="I421" s="129"/>
      <c r="J421" s="130"/>
      <c r="K421" s="130"/>
      <c r="L421" s="130"/>
      <c r="M421" s="130"/>
      <c r="N421" s="140"/>
      <c r="O421" s="150"/>
      <c r="P421" s="150"/>
      <c r="Q421" s="134"/>
      <c r="R421" s="134"/>
      <c r="S421" s="134"/>
      <c r="T421" s="134"/>
      <c r="U421" s="134"/>
      <c r="V421" s="134"/>
      <c r="W421" s="134"/>
      <c r="X421" s="134"/>
      <c r="Y421" s="134"/>
    </row>
    <row r="422">
      <c r="A422" s="126"/>
      <c r="B422" s="127"/>
      <c r="C422" s="135"/>
      <c r="D422" s="144"/>
      <c r="E422" s="74" t="s">
        <v>56</v>
      </c>
      <c r="F422" s="63" t="s">
        <v>56</v>
      </c>
      <c r="G422" s="129"/>
      <c r="H422" s="133"/>
      <c r="I422" s="129"/>
      <c r="J422" s="130"/>
      <c r="K422" s="130"/>
      <c r="L422" s="130"/>
      <c r="M422" s="130"/>
      <c r="N422" s="140"/>
      <c r="O422" s="150"/>
      <c r="P422" s="150"/>
      <c r="Q422" s="134"/>
      <c r="R422" s="134"/>
      <c r="S422" s="134"/>
      <c r="T422" s="134"/>
      <c r="U422" s="134"/>
      <c r="V422" s="134"/>
      <c r="W422" s="134"/>
      <c r="X422" s="134"/>
      <c r="Y422" s="134"/>
    </row>
    <row r="423">
      <c r="A423" s="126"/>
      <c r="B423" s="127"/>
      <c r="C423" s="135"/>
      <c r="D423" s="144"/>
      <c r="E423" s="74" t="s">
        <v>56</v>
      </c>
      <c r="F423" s="63" t="s">
        <v>56</v>
      </c>
      <c r="G423" s="129"/>
      <c r="H423" s="133"/>
      <c r="I423" s="129"/>
      <c r="J423" s="130"/>
      <c r="K423" s="130"/>
      <c r="L423" s="130"/>
      <c r="M423" s="130"/>
      <c r="N423" s="140"/>
      <c r="O423" s="150"/>
      <c r="P423" s="150"/>
      <c r="Q423" s="134"/>
      <c r="R423" s="134"/>
      <c r="S423" s="134"/>
      <c r="T423" s="134"/>
      <c r="U423" s="134"/>
      <c r="V423" s="134"/>
      <c r="W423" s="134"/>
      <c r="X423" s="134"/>
      <c r="Y423" s="134"/>
    </row>
    <row r="424">
      <c r="A424" s="126"/>
      <c r="B424" s="127"/>
      <c r="C424" s="135"/>
      <c r="D424" s="144"/>
      <c r="E424" s="74" t="s">
        <v>56</v>
      </c>
      <c r="F424" s="63" t="s">
        <v>56</v>
      </c>
      <c r="G424" s="129"/>
      <c r="H424" s="133"/>
      <c r="I424" s="129"/>
      <c r="J424" s="130"/>
      <c r="K424" s="130"/>
      <c r="L424" s="130"/>
      <c r="M424" s="130"/>
      <c r="N424" s="140"/>
      <c r="O424" s="150"/>
      <c r="P424" s="150"/>
      <c r="Q424" s="134"/>
      <c r="R424" s="134"/>
      <c r="S424" s="134"/>
      <c r="T424" s="134"/>
      <c r="U424" s="134"/>
      <c r="V424" s="134"/>
      <c r="W424" s="134"/>
      <c r="X424" s="134"/>
      <c r="Y424" s="134"/>
    </row>
    <row r="425">
      <c r="A425" s="126"/>
      <c r="B425" s="127"/>
      <c r="C425" s="135"/>
      <c r="D425" s="144"/>
      <c r="E425" s="74" t="s">
        <v>56</v>
      </c>
      <c r="F425" s="63" t="s">
        <v>56</v>
      </c>
      <c r="G425" s="129"/>
      <c r="H425" s="133"/>
      <c r="I425" s="129"/>
      <c r="J425" s="130"/>
      <c r="K425" s="130"/>
      <c r="L425" s="130"/>
      <c r="M425" s="130"/>
      <c r="N425" s="140"/>
      <c r="O425" s="150"/>
      <c r="P425" s="150"/>
      <c r="Q425" s="134"/>
      <c r="R425" s="134"/>
      <c r="S425" s="134"/>
      <c r="T425" s="134"/>
      <c r="U425" s="134"/>
      <c r="V425" s="134"/>
      <c r="W425" s="134"/>
      <c r="X425" s="134"/>
      <c r="Y425" s="134"/>
    </row>
    <row r="426">
      <c r="A426" s="126"/>
      <c r="B426" s="127"/>
      <c r="C426" s="135"/>
      <c r="D426" s="144"/>
      <c r="E426" s="74" t="s">
        <v>56</v>
      </c>
      <c r="F426" s="63" t="s">
        <v>56</v>
      </c>
      <c r="G426" s="129"/>
      <c r="H426" s="133"/>
      <c r="I426" s="129"/>
      <c r="J426" s="130"/>
      <c r="K426" s="130"/>
      <c r="L426" s="130"/>
      <c r="M426" s="130"/>
      <c r="N426" s="140"/>
      <c r="O426" s="150"/>
      <c r="P426" s="150"/>
      <c r="Q426" s="134"/>
      <c r="R426" s="134"/>
      <c r="S426" s="134"/>
      <c r="T426" s="134"/>
      <c r="U426" s="134"/>
      <c r="V426" s="134"/>
      <c r="W426" s="134"/>
      <c r="X426" s="134"/>
      <c r="Y426" s="134"/>
    </row>
    <row r="427">
      <c r="A427" s="126"/>
      <c r="B427" s="127"/>
      <c r="C427" s="135"/>
      <c r="D427" s="144"/>
      <c r="E427" s="74" t="s">
        <v>56</v>
      </c>
      <c r="F427" s="63" t="s">
        <v>56</v>
      </c>
      <c r="G427" s="129"/>
      <c r="H427" s="133"/>
      <c r="I427" s="129"/>
      <c r="J427" s="130"/>
      <c r="K427" s="130"/>
      <c r="L427" s="130"/>
      <c r="M427" s="130"/>
      <c r="N427" s="140"/>
      <c r="O427" s="150"/>
      <c r="P427" s="150"/>
      <c r="Q427" s="134"/>
      <c r="R427" s="134"/>
      <c r="S427" s="134"/>
      <c r="T427" s="134"/>
      <c r="U427" s="134"/>
      <c r="V427" s="134"/>
      <c r="W427" s="134"/>
      <c r="X427" s="134"/>
      <c r="Y427" s="134"/>
    </row>
    <row r="428">
      <c r="A428" s="126"/>
      <c r="B428" s="127"/>
      <c r="C428" s="135"/>
      <c r="D428" s="144"/>
      <c r="E428" s="74" t="s">
        <v>56</v>
      </c>
      <c r="F428" s="63" t="s">
        <v>56</v>
      </c>
      <c r="G428" s="129"/>
      <c r="H428" s="133"/>
      <c r="I428" s="129"/>
      <c r="J428" s="130"/>
      <c r="K428" s="130"/>
      <c r="L428" s="130"/>
      <c r="M428" s="130"/>
      <c r="N428" s="140"/>
      <c r="O428" s="150"/>
      <c r="P428" s="150"/>
      <c r="Q428" s="134"/>
      <c r="R428" s="134"/>
      <c r="S428" s="134"/>
      <c r="T428" s="134"/>
      <c r="U428" s="134"/>
      <c r="V428" s="134"/>
      <c r="W428" s="134"/>
      <c r="X428" s="134"/>
      <c r="Y428" s="134"/>
    </row>
    <row r="429">
      <c r="A429" s="126"/>
      <c r="B429" s="127"/>
      <c r="C429" s="135"/>
      <c r="D429" s="144"/>
      <c r="E429" s="74" t="s">
        <v>56</v>
      </c>
      <c r="F429" s="63" t="s">
        <v>56</v>
      </c>
      <c r="G429" s="129"/>
      <c r="H429" s="133"/>
      <c r="I429" s="129"/>
      <c r="J429" s="130"/>
      <c r="K429" s="130"/>
      <c r="L429" s="130"/>
      <c r="M429" s="130"/>
      <c r="N429" s="140"/>
      <c r="O429" s="150"/>
      <c r="P429" s="150"/>
      <c r="Q429" s="134"/>
      <c r="R429" s="134"/>
      <c r="S429" s="134"/>
      <c r="T429" s="134"/>
      <c r="U429" s="134"/>
      <c r="V429" s="134"/>
      <c r="W429" s="134"/>
      <c r="X429" s="134"/>
      <c r="Y429" s="134"/>
    </row>
    <row r="430">
      <c r="A430" s="126"/>
      <c r="B430" s="127"/>
      <c r="C430" s="135"/>
      <c r="D430" s="144"/>
      <c r="E430" s="74" t="s">
        <v>56</v>
      </c>
      <c r="F430" s="63" t="s">
        <v>56</v>
      </c>
      <c r="G430" s="129"/>
      <c r="H430" s="133"/>
      <c r="I430" s="129"/>
      <c r="J430" s="130"/>
      <c r="K430" s="130"/>
      <c r="L430" s="130"/>
      <c r="M430" s="130"/>
      <c r="N430" s="140"/>
      <c r="O430" s="150"/>
      <c r="P430" s="150"/>
      <c r="Q430" s="134"/>
      <c r="R430" s="134"/>
      <c r="S430" s="134"/>
      <c r="T430" s="134"/>
      <c r="U430" s="134"/>
      <c r="V430" s="134"/>
      <c r="W430" s="134"/>
      <c r="X430" s="134"/>
      <c r="Y430" s="134"/>
    </row>
    <row r="431">
      <c r="A431" s="126"/>
      <c r="B431" s="127"/>
      <c r="C431" s="135"/>
      <c r="D431" s="144"/>
      <c r="E431" s="74" t="s">
        <v>56</v>
      </c>
      <c r="F431" s="63" t="s">
        <v>56</v>
      </c>
      <c r="G431" s="129"/>
      <c r="H431" s="133"/>
      <c r="I431" s="129"/>
      <c r="J431" s="130"/>
      <c r="K431" s="130"/>
      <c r="L431" s="130"/>
      <c r="M431" s="130"/>
      <c r="N431" s="140"/>
      <c r="O431" s="150"/>
      <c r="P431" s="150"/>
      <c r="Q431" s="134"/>
      <c r="R431" s="134"/>
      <c r="S431" s="134"/>
      <c r="T431" s="134"/>
      <c r="U431" s="134"/>
      <c r="V431" s="134"/>
      <c r="W431" s="134"/>
      <c r="X431" s="134"/>
      <c r="Y431" s="134"/>
    </row>
    <row r="432">
      <c r="A432" s="126"/>
      <c r="B432" s="127"/>
      <c r="C432" s="135"/>
      <c r="D432" s="144"/>
      <c r="E432" s="74" t="s">
        <v>56</v>
      </c>
      <c r="F432" s="63" t="s">
        <v>56</v>
      </c>
      <c r="G432" s="129"/>
      <c r="H432" s="133"/>
      <c r="I432" s="129"/>
      <c r="J432" s="130"/>
      <c r="K432" s="130"/>
      <c r="L432" s="130"/>
      <c r="M432" s="130"/>
      <c r="N432" s="140"/>
      <c r="O432" s="150"/>
      <c r="P432" s="150"/>
      <c r="Q432" s="134"/>
      <c r="R432" s="134"/>
      <c r="S432" s="134"/>
      <c r="T432" s="134"/>
      <c r="U432" s="134"/>
      <c r="V432" s="134"/>
      <c r="W432" s="134"/>
      <c r="X432" s="134"/>
      <c r="Y432" s="134"/>
    </row>
    <row r="433">
      <c r="A433" s="126"/>
      <c r="B433" s="127"/>
      <c r="C433" s="135"/>
      <c r="D433" s="144"/>
      <c r="E433" s="74" t="s">
        <v>56</v>
      </c>
      <c r="F433" s="63" t="s">
        <v>56</v>
      </c>
      <c r="G433" s="129"/>
      <c r="H433" s="133"/>
      <c r="I433" s="129"/>
      <c r="J433" s="130"/>
      <c r="K433" s="130"/>
      <c r="L433" s="130"/>
      <c r="M433" s="130"/>
      <c r="N433" s="140"/>
      <c r="O433" s="150"/>
      <c r="P433" s="150"/>
      <c r="Q433" s="134"/>
      <c r="R433" s="134"/>
      <c r="S433" s="134"/>
      <c r="T433" s="134"/>
      <c r="U433" s="134"/>
      <c r="V433" s="134"/>
      <c r="W433" s="134"/>
      <c r="X433" s="134"/>
      <c r="Y433" s="134"/>
    </row>
    <row r="434">
      <c r="A434" s="126"/>
      <c r="B434" s="127"/>
      <c r="C434" s="135"/>
      <c r="D434" s="144"/>
      <c r="E434" s="74" t="s">
        <v>56</v>
      </c>
      <c r="F434" s="63" t="s">
        <v>56</v>
      </c>
      <c r="G434" s="129"/>
      <c r="H434" s="133"/>
      <c r="I434" s="129"/>
      <c r="J434" s="130"/>
      <c r="K434" s="130"/>
      <c r="L434" s="130"/>
      <c r="M434" s="130"/>
      <c r="N434" s="140"/>
      <c r="O434" s="150"/>
      <c r="P434" s="150"/>
      <c r="Q434" s="134"/>
      <c r="R434" s="134"/>
      <c r="S434" s="134"/>
      <c r="T434" s="134"/>
      <c r="U434" s="134"/>
      <c r="V434" s="134"/>
      <c r="W434" s="134"/>
      <c r="X434" s="134"/>
      <c r="Y434" s="134"/>
    </row>
    <row r="435">
      <c r="A435" s="126"/>
      <c r="B435" s="127"/>
      <c r="C435" s="135"/>
      <c r="D435" s="144"/>
      <c r="E435" s="74" t="s">
        <v>56</v>
      </c>
      <c r="F435" s="63" t="s">
        <v>56</v>
      </c>
      <c r="G435" s="129"/>
      <c r="H435" s="133"/>
      <c r="I435" s="129"/>
      <c r="J435" s="130"/>
      <c r="K435" s="130"/>
      <c r="L435" s="130"/>
      <c r="M435" s="130"/>
      <c r="N435" s="140"/>
      <c r="O435" s="150"/>
      <c r="P435" s="150"/>
      <c r="Q435" s="134"/>
      <c r="R435" s="134"/>
      <c r="S435" s="134"/>
      <c r="T435" s="134"/>
      <c r="U435" s="134"/>
      <c r="V435" s="134"/>
      <c r="W435" s="134"/>
      <c r="X435" s="134"/>
      <c r="Y435" s="134"/>
    </row>
    <row r="436">
      <c r="A436" s="126"/>
      <c r="B436" s="127"/>
      <c r="C436" s="135"/>
      <c r="D436" s="144"/>
      <c r="E436" s="74" t="s">
        <v>56</v>
      </c>
      <c r="F436" s="63" t="s">
        <v>56</v>
      </c>
      <c r="G436" s="129"/>
      <c r="H436" s="133"/>
      <c r="I436" s="129"/>
      <c r="J436" s="130"/>
      <c r="K436" s="130"/>
      <c r="L436" s="130"/>
      <c r="M436" s="130"/>
      <c r="N436" s="140"/>
      <c r="O436" s="150"/>
      <c r="P436" s="150"/>
      <c r="Q436" s="134"/>
      <c r="R436" s="134"/>
      <c r="S436" s="134"/>
      <c r="T436" s="134"/>
      <c r="U436" s="134"/>
      <c r="V436" s="134"/>
      <c r="W436" s="134"/>
      <c r="X436" s="134"/>
      <c r="Y436" s="134"/>
    </row>
    <row r="437">
      <c r="A437" s="126"/>
      <c r="B437" s="127"/>
      <c r="C437" s="135"/>
      <c r="D437" s="144"/>
      <c r="E437" s="74" t="s">
        <v>56</v>
      </c>
      <c r="F437" s="63" t="s">
        <v>56</v>
      </c>
      <c r="G437" s="129"/>
      <c r="H437" s="133"/>
      <c r="I437" s="129"/>
      <c r="J437" s="130"/>
      <c r="K437" s="130"/>
      <c r="L437" s="130"/>
      <c r="M437" s="130"/>
      <c r="N437" s="140"/>
      <c r="O437" s="150"/>
      <c r="P437" s="150"/>
      <c r="Q437" s="134"/>
      <c r="R437" s="134"/>
      <c r="S437" s="134"/>
      <c r="T437" s="134"/>
      <c r="U437" s="134"/>
      <c r="V437" s="134"/>
      <c r="W437" s="134"/>
      <c r="X437" s="134"/>
      <c r="Y437" s="134"/>
    </row>
    <row r="438">
      <c r="A438" s="126"/>
      <c r="B438" s="127"/>
      <c r="C438" s="135"/>
      <c r="D438" s="144"/>
      <c r="E438" s="74" t="s">
        <v>56</v>
      </c>
      <c r="F438" s="63" t="s">
        <v>56</v>
      </c>
      <c r="G438" s="129"/>
      <c r="H438" s="133"/>
      <c r="I438" s="129"/>
      <c r="J438" s="130"/>
      <c r="K438" s="130"/>
      <c r="L438" s="130"/>
      <c r="M438" s="130"/>
      <c r="N438" s="140"/>
      <c r="O438" s="150"/>
      <c r="P438" s="150"/>
      <c r="Q438" s="134"/>
      <c r="R438" s="134"/>
      <c r="S438" s="134"/>
      <c r="T438" s="134"/>
      <c r="U438" s="134"/>
      <c r="V438" s="134"/>
      <c r="W438" s="134"/>
      <c r="X438" s="134"/>
      <c r="Y438" s="134"/>
    </row>
    <row r="439">
      <c r="A439" s="126"/>
      <c r="B439" s="127"/>
      <c r="C439" s="135"/>
      <c r="D439" s="144"/>
      <c r="E439" s="74" t="s">
        <v>56</v>
      </c>
      <c r="F439" s="63" t="s">
        <v>56</v>
      </c>
      <c r="G439" s="129"/>
      <c r="H439" s="133"/>
      <c r="I439" s="129"/>
      <c r="J439" s="130"/>
      <c r="K439" s="130"/>
      <c r="L439" s="130"/>
      <c r="M439" s="130"/>
      <c r="N439" s="140"/>
      <c r="O439" s="150"/>
      <c r="P439" s="150"/>
      <c r="Q439" s="134"/>
      <c r="R439" s="134"/>
      <c r="S439" s="134"/>
      <c r="T439" s="134"/>
      <c r="U439" s="134"/>
      <c r="V439" s="134"/>
      <c r="W439" s="134"/>
      <c r="X439" s="134"/>
      <c r="Y439" s="134"/>
    </row>
    <row r="440">
      <c r="A440" s="126"/>
      <c r="B440" s="127"/>
      <c r="C440" s="135"/>
      <c r="D440" s="144"/>
      <c r="E440" s="74" t="s">
        <v>56</v>
      </c>
      <c r="F440" s="63" t="s">
        <v>56</v>
      </c>
      <c r="G440" s="129"/>
      <c r="H440" s="133"/>
      <c r="I440" s="129"/>
      <c r="J440" s="130"/>
      <c r="K440" s="130"/>
      <c r="L440" s="130"/>
      <c r="M440" s="130"/>
      <c r="N440" s="140"/>
      <c r="O440" s="150"/>
      <c r="P440" s="150"/>
      <c r="Q440" s="134"/>
      <c r="R440" s="134"/>
      <c r="S440" s="134"/>
      <c r="T440" s="134"/>
      <c r="U440" s="134"/>
      <c r="V440" s="134"/>
      <c r="W440" s="134"/>
      <c r="X440" s="134"/>
      <c r="Y440" s="134"/>
    </row>
    <row r="441">
      <c r="A441" s="126"/>
      <c r="B441" s="127"/>
      <c r="C441" s="135"/>
      <c r="D441" s="144"/>
      <c r="E441" s="74" t="s">
        <v>56</v>
      </c>
      <c r="F441" s="63" t="s">
        <v>56</v>
      </c>
      <c r="G441" s="129"/>
      <c r="H441" s="133"/>
      <c r="I441" s="129"/>
      <c r="J441" s="130"/>
      <c r="K441" s="130"/>
      <c r="L441" s="130"/>
      <c r="M441" s="130"/>
      <c r="N441" s="140"/>
      <c r="O441" s="150"/>
      <c r="P441" s="150"/>
      <c r="Q441" s="134"/>
      <c r="R441" s="134"/>
      <c r="S441" s="134"/>
      <c r="T441" s="134"/>
      <c r="U441" s="134"/>
      <c r="V441" s="134"/>
      <c r="W441" s="134"/>
      <c r="X441" s="134"/>
      <c r="Y441" s="134"/>
    </row>
    <row r="442">
      <c r="A442" s="126"/>
      <c r="B442" s="127"/>
      <c r="C442" s="135"/>
      <c r="D442" s="144"/>
      <c r="E442" s="74" t="s">
        <v>56</v>
      </c>
      <c r="F442" s="63" t="s">
        <v>56</v>
      </c>
      <c r="G442" s="129"/>
      <c r="H442" s="133"/>
      <c r="I442" s="129"/>
      <c r="J442" s="130"/>
      <c r="K442" s="130"/>
      <c r="L442" s="130"/>
      <c r="M442" s="130"/>
      <c r="N442" s="140"/>
      <c r="O442" s="150"/>
      <c r="P442" s="150"/>
      <c r="Q442" s="134"/>
      <c r="R442" s="134"/>
      <c r="S442" s="134"/>
      <c r="T442" s="134"/>
      <c r="U442" s="134"/>
      <c r="V442" s="134"/>
      <c r="W442" s="134"/>
      <c r="X442" s="134"/>
      <c r="Y442" s="134"/>
    </row>
    <row r="443">
      <c r="A443" s="126"/>
      <c r="B443" s="127"/>
      <c r="C443" s="135"/>
      <c r="D443" s="144"/>
      <c r="E443" s="74" t="s">
        <v>56</v>
      </c>
      <c r="F443" s="63" t="s">
        <v>56</v>
      </c>
      <c r="G443" s="129"/>
      <c r="H443" s="133"/>
      <c r="I443" s="129"/>
      <c r="J443" s="130"/>
      <c r="K443" s="130"/>
      <c r="L443" s="130"/>
      <c r="M443" s="130"/>
      <c r="N443" s="140"/>
      <c r="O443" s="150"/>
      <c r="P443" s="150"/>
      <c r="Q443" s="134"/>
      <c r="R443" s="134"/>
      <c r="S443" s="134"/>
      <c r="T443" s="134"/>
      <c r="U443" s="134"/>
      <c r="V443" s="134"/>
      <c r="W443" s="134"/>
      <c r="X443" s="134"/>
      <c r="Y443" s="134"/>
    </row>
    <row r="444">
      <c r="A444" s="126"/>
      <c r="B444" s="127"/>
      <c r="C444" s="135"/>
      <c r="D444" s="144"/>
      <c r="E444" s="74" t="s">
        <v>56</v>
      </c>
      <c r="F444" s="63" t="s">
        <v>56</v>
      </c>
      <c r="G444" s="129"/>
      <c r="H444" s="133"/>
      <c r="I444" s="129"/>
      <c r="J444" s="130"/>
      <c r="K444" s="130"/>
      <c r="L444" s="130"/>
      <c r="M444" s="130"/>
      <c r="N444" s="140"/>
      <c r="O444" s="150"/>
      <c r="P444" s="150"/>
      <c r="Q444" s="134"/>
      <c r="R444" s="134"/>
      <c r="S444" s="134"/>
      <c r="T444" s="134"/>
      <c r="U444" s="134"/>
      <c r="V444" s="134"/>
      <c r="W444" s="134"/>
      <c r="X444" s="134"/>
      <c r="Y444" s="134"/>
    </row>
    <row r="445">
      <c r="A445" s="126"/>
      <c r="B445" s="127"/>
      <c r="C445" s="135"/>
      <c r="D445" s="144"/>
      <c r="E445" s="74" t="s">
        <v>56</v>
      </c>
      <c r="F445" s="63" t="s">
        <v>56</v>
      </c>
      <c r="G445" s="129"/>
      <c r="H445" s="133"/>
      <c r="I445" s="129"/>
      <c r="J445" s="130"/>
      <c r="K445" s="130"/>
      <c r="L445" s="130"/>
      <c r="M445" s="130"/>
      <c r="N445" s="140"/>
      <c r="O445" s="150"/>
      <c r="P445" s="150"/>
      <c r="Q445" s="134"/>
      <c r="R445" s="134"/>
      <c r="S445" s="134"/>
      <c r="T445" s="134"/>
      <c r="U445" s="134"/>
      <c r="V445" s="134"/>
      <c r="W445" s="134"/>
      <c r="X445" s="134"/>
      <c r="Y445" s="134"/>
    </row>
    <row r="446">
      <c r="A446" s="126"/>
      <c r="B446" s="127"/>
      <c r="C446" s="135"/>
      <c r="D446" s="144"/>
      <c r="E446" s="74" t="s">
        <v>56</v>
      </c>
      <c r="F446" s="63" t="s">
        <v>56</v>
      </c>
      <c r="G446" s="129"/>
      <c r="H446" s="133"/>
      <c r="I446" s="129"/>
      <c r="J446" s="130"/>
      <c r="K446" s="130"/>
      <c r="L446" s="130"/>
      <c r="M446" s="130"/>
      <c r="N446" s="140"/>
      <c r="O446" s="150"/>
      <c r="P446" s="150"/>
      <c r="Q446" s="134"/>
      <c r="R446" s="134"/>
      <c r="S446" s="134"/>
      <c r="T446" s="134"/>
      <c r="U446" s="134"/>
      <c r="V446" s="134"/>
      <c r="W446" s="134"/>
      <c r="X446" s="134"/>
      <c r="Y446" s="134"/>
    </row>
    <row r="447">
      <c r="A447" s="126"/>
      <c r="B447" s="127"/>
      <c r="C447" s="135"/>
      <c r="D447" s="144"/>
      <c r="E447" s="74" t="s">
        <v>56</v>
      </c>
      <c r="F447" s="63" t="s">
        <v>56</v>
      </c>
      <c r="G447" s="129"/>
      <c r="H447" s="133"/>
      <c r="I447" s="129"/>
      <c r="J447" s="130"/>
      <c r="K447" s="130"/>
      <c r="L447" s="130"/>
      <c r="M447" s="130"/>
      <c r="N447" s="140"/>
      <c r="O447" s="150"/>
      <c r="P447" s="150"/>
      <c r="Q447" s="134"/>
      <c r="R447" s="134"/>
      <c r="S447" s="134"/>
      <c r="T447" s="134"/>
      <c r="U447" s="134"/>
      <c r="V447" s="134"/>
      <c r="W447" s="134"/>
      <c r="X447" s="134"/>
      <c r="Y447" s="134"/>
    </row>
    <row r="448">
      <c r="A448" s="126"/>
      <c r="B448" s="127"/>
      <c r="C448" s="135"/>
      <c r="D448" s="144"/>
      <c r="E448" s="74" t="s">
        <v>56</v>
      </c>
      <c r="F448" s="63" t="s">
        <v>56</v>
      </c>
      <c r="G448" s="129"/>
      <c r="H448" s="133"/>
      <c r="I448" s="129"/>
      <c r="J448" s="130"/>
      <c r="K448" s="130"/>
      <c r="L448" s="130"/>
      <c r="M448" s="130"/>
      <c r="N448" s="140"/>
      <c r="O448" s="150"/>
      <c r="P448" s="150"/>
      <c r="Q448" s="134"/>
      <c r="R448" s="134"/>
      <c r="S448" s="134"/>
      <c r="T448" s="134"/>
      <c r="U448" s="134"/>
      <c r="V448" s="134"/>
      <c r="W448" s="134"/>
      <c r="X448" s="134"/>
      <c r="Y448" s="134"/>
    </row>
    <row r="449">
      <c r="A449" s="126"/>
      <c r="B449" s="127"/>
      <c r="C449" s="135"/>
      <c r="D449" s="144"/>
      <c r="E449" s="74" t="s">
        <v>56</v>
      </c>
      <c r="F449" s="63" t="s">
        <v>56</v>
      </c>
      <c r="G449" s="129"/>
      <c r="H449" s="133"/>
      <c r="I449" s="129"/>
      <c r="J449" s="130"/>
      <c r="K449" s="130"/>
      <c r="L449" s="130"/>
      <c r="M449" s="130"/>
      <c r="N449" s="140"/>
      <c r="O449" s="150"/>
      <c r="P449" s="150"/>
      <c r="Q449" s="134"/>
      <c r="R449" s="134"/>
      <c r="S449" s="134"/>
      <c r="T449" s="134"/>
      <c r="U449" s="134"/>
      <c r="V449" s="134"/>
      <c r="W449" s="134"/>
      <c r="X449" s="134"/>
      <c r="Y449" s="134"/>
    </row>
    <row r="450">
      <c r="A450" s="126"/>
      <c r="B450" s="127"/>
      <c r="C450" s="135"/>
      <c r="D450" s="144"/>
      <c r="E450" s="74" t="s">
        <v>56</v>
      </c>
      <c r="F450" s="63" t="s">
        <v>56</v>
      </c>
      <c r="G450" s="129"/>
      <c r="H450" s="133"/>
      <c r="I450" s="129"/>
      <c r="J450" s="130"/>
      <c r="K450" s="130"/>
      <c r="L450" s="130"/>
      <c r="M450" s="130"/>
      <c r="N450" s="140"/>
      <c r="O450" s="150"/>
      <c r="P450" s="150"/>
      <c r="Q450" s="134"/>
      <c r="R450" s="134"/>
      <c r="S450" s="134"/>
      <c r="T450" s="134"/>
      <c r="U450" s="134"/>
      <c r="V450" s="134"/>
      <c r="W450" s="134"/>
      <c r="X450" s="134"/>
      <c r="Y450" s="134"/>
    </row>
    <row r="451">
      <c r="A451" s="126"/>
      <c r="B451" s="127"/>
      <c r="C451" s="135"/>
      <c r="D451" s="144"/>
      <c r="E451" s="74" t="s">
        <v>56</v>
      </c>
      <c r="F451" s="63" t="s">
        <v>56</v>
      </c>
      <c r="G451" s="129"/>
      <c r="H451" s="133"/>
      <c r="I451" s="129"/>
      <c r="J451" s="130"/>
      <c r="K451" s="130"/>
      <c r="L451" s="130"/>
      <c r="M451" s="130"/>
      <c r="N451" s="140"/>
      <c r="O451" s="150"/>
      <c r="P451" s="150"/>
      <c r="Q451" s="134"/>
      <c r="R451" s="134"/>
      <c r="S451" s="134"/>
      <c r="T451" s="134"/>
      <c r="U451" s="134"/>
      <c r="V451" s="134"/>
      <c r="W451" s="134"/>
      <c r="X451" s="134"/>
      <c r="Y451" s="134"/>
    </row>
    <row r="452">
      <c r="A452" s="126"/>
      <c r="B452" s="127"/>
      <c r="C452" s="135"/>
      <c r="D452" s="144"/>
      <c r="E452" s="74" t="s">
        <v>56</v>
      </c>
      <c r="F452" s="63" t="s">
        <v>56</v>
      </c>
      <c r="G452" s="129"/>
      <c r="H452" s="133"/>
      <c r="I452" s="129"/>
      <c r="J452" s="130"/>
      <c r="K452" s="130"/>
      <c r="L452" s="130"/>
      <c r="M452" s="130"/>
      <c r="N452" s="140"/>
      <c r="O452" s="150"/>
      <c r="P452" s="150"/>
      <c r="Q452" s="134"/>
      <c r="R452" s="134"/>
      <c r="S452" s="134"/>
      <c r="T452" s="134"/>
      <c r="U452" s="134"/>
      <c r="V452" s="134"/>
      <c r="W452" s="134"/>
      <c r="X452" s="134"/>
      <c r="Y452" s="134"/>
    </row>
    <row r="453">
      <c r="A453" s="126"/>
      <c r="B453" s="127"/>
      <c r="C453" s="135"/>
      <c r="D453" s="144"/>
      <c r="E453" s="74" t="s">
        <v>56</v>
      </c>
      <c r="F453" s="63" t="s">
        <v>56</v>
      </c>
      <c r="G453" s="129"/>
      <c r="H453" s="133"/>
      <c r="I453" s="129"/>
      <c r="J453" s="130"/>
      <c r="K453" s="130"/>
      <c r="L453" s="130"/>
      <c r="M453" s="130"/>
      <c r="N453" s="140"/>
      <c r="O453" s="150"/>
      <c r="P453" s="150"/>
      <c r="Q453" s="134"/>
      <c r="R453" s="134"/>
      <c r="S453" s="134"/>
      <c r="T453" s="134"/>
      <c r="U453" s="134"/>
      <c r="V453" s="134"/>
      <c r="W453" s="134"/>
      <c r="X453" s="134"/>
      <c r="Y453" s="134"/>
    </row>
    <row r="454">
      <c r="A454" s="126"/>
      <c r="B454" s="127"/>
      <c r="C454" s="135"/>
      <c r="D454" s="144"/>
      <c r="E454" s="74" t="s">
        <v>56</v>
      </c>
      <c r="F454" s="63" t="s">
        <v>56</v>
      </c>
      <c r="G454" s="129"/>
      <c r="H454" s="133"/>
      <c r="I454" s="129"/>
      <c r="J454" s="130"/>
      <c r="K454" s="130"/>
      <c r="L454" s="130"/>
      <c r="M454" s="130"/>
      <c r="N454" s="140"/>
      <c r="O454" s="150"/>
      <c r="P454" s="150"/>
      <c r="Q454" s="134"/>
      <c r="R454" s="134"/>
      <c r="S454" s="134"/>
      <c r="T454" s="134"/>
      <c r="U454" s="134"/>
      <c r="V454" s="134"/>
      <c r="W454" s="134"/>
      <c r="X454" s="134"/>
      <c r="Y454" s="134"/>
    </row>
    <row r="455">
      <c r="A455" s="126"/>
      <c r="B455" s="127"/>
      <c r="C455" s="135"/>
      <c r="D455" s="144"/>
      <c r="E455" s="74" t="s">
        <v>56</v>
      </c>
      <c r="F455" s="63" t="s">
        <v>56</v>
      </c>
      <c r="G455" s="129"/>
      <c r="H455" s="133"/>
      <c r="I455" s="129"/>
      <c r="J455" s="130"/>
      <c r="K455" s="130"/>
      <c r="L455" s="130"/>
      <c r="M455" s="130"/>
      <c r="N455" s="140"/>
      <c r="O455" s="150"/>
      <c r="P455" s="150"/>
      <c r="Q455" s="134"/>
      <c r="R455" s="134"/>
      <c r="S455" s="134"/>
      <c r="T455" s="134"/>
      <c r="U455" s="134"/>
      <c r="V455" s="134"/>
      <c r="W455" s="134"/>
      <c r="X455" s="134"/>
      <c r="Y455" s="134"/>
    </row>
    <row r="456">
      <c r="A456" s="126"/>
      <c r="B456" s="127"/>
      <c r="C456" s="135"/>
      <c r="D456" s="144"/>
      <c r="E456" s="74" t="s">
        <v>56</v>
      </c>
      <c r="F456" s="63" t="s">
        <v>56</v>
      </c>
      <c r="G456" s="129"/>
      <c r="H456" s="133"/>
      <c r="I456" s="129"/>
      <c r="J456" s="130"/>
      <c r="K456" s="130"/>
      <c r="L456" s="130"/>
      <c r="M456" s="130"/>
      <c r="N456" s="140"/>
      <c r="O456" s="150"/>
      <c r="P456" s="150"/>
      <c r="Q456" s="134"/>
      <c r="R456" s="134"/>
      <c r="S456" s="134"/>
      <c r="T456" s="134"/>
      <c r="U456" s="134"/>
      <c r="V456" s="134"/>
      <c r="W456" s="134"/>
      <c r="X456" s="134"/>
      <c r="Y456" s="134"/>
    </row>
    <row r="457">
      <c r="A457" s="126"/>
      <c r="B457" s="127"/>
      <c r="C457" s="135"/>
      <c r="D457" s="144"/>
      <c r="E457" s="74" t="s">
        <v>56</v>
      </c>
      <c r="F457" s="63" t="s">
        <v>56</v>
      </c>
      <c r="G457" s="129"/>
      <c r="H457" s="133"/>
      <c r="I457" s="129"/>
      <c r="J457" s="130"/>
      <c r="K457" s="130"/>
      <c r="L457" s="130"/>
      <c r="M457" s="130"/>
      <c r="N457" s="140"/>
      <c r="O457" s="150"/>
      <c r="P457" s="150"/>
      <c r="Q457" s="134"/>
      <c r="R457" s="134"/>
      <c r="S457" s="134"/>
      <c r="T457" s="134"/>
      <c r="U457" s="134"/>
      <c r="V457" s="134"/>
      <c r="W457" s="134"/>
      <c r="X457" s="134"/>
      <c r="Y457" s="134"/>
    </row>
    <row r="458">
      <c r="A458" s="126"/>
      <c r="B458" s="127"/>
      <c r="C458" s="135"/>
      <c r="D458" s="144"/>
      <c r="E458" s="74" t="s">
        <v>56</v>
      </c>
      <c r="F458" s="63" t="s">
        <v>56</v>
      </c>
      <c r="G458" s="129"/>
      <c r="H458" s="133"/>
      <c r="I458" s="129"/>
      <c r="J458" s="130"/>
      <c r="K458" s="130"/>
      <c r="L458" s="130"/>
      <c r="M458" s="130"/>
      <c r="N458" s="140"/>
      <c r="O458" s="150"/>
      <c r="P458" s="150"/>
      <c r="Q458" s="134"/>
      <c r="R458" s="134"/>
      <c r="S458" s="134"/>
      <c r="T458" s="134"/>
      <c r="U458" s="134"/>
      <c r="V458" s="134"/>
      <c r="W458" s="134"/>
      <c r="X458" s="134"/>
      <c r="Y458" s="134"/>
    </row>
    <row r="459">
      <c r="A459" s="126"/>
      <c r="B459" s="127"/>
      <c r="C459" s="135"/>
      <c r="D459" s="144"/>
      <c r="E459" s="74" t="s">
        <v>56</v>
      </c>
      <c r="F459" s="63" t="s">
        <v>56</v>
      </c>
      <c r="G459" s="129"/>
      <c r="H459" s="133"/>
      <c r="I459" s="129"/>
      <c r="J459" s="130"/>
      <c r="K459" s="130"/>
      <c r="L459" s="130"/>
      <c r="M459" s="130"/>
      <c r="N459" s="140"/>
      <c r="O459" s="150"/>
      <c r="P459" s="150"/>
      <c r="Q459" s="134"/>
      <c r="R459" s="134"/>
      <c r="S459" s="134"/>
      <c r="T459" s="134"/>
      <c r="U459" s="134"/>
      <c r="V459" s="134"/>
      <c r="W459" s="134"/>
      <c r="X459" s="134"/>
      <c r="Y459" s="134"/>
    </row>
    <row r="460">
      <c r="A460" s="126"/>
      <c r="B460" s="127"/>
      <c r="C460" s="135"/>
      <c r="D460" s="144"/>
      <c r="E460" s="74" t="s">
        <v>56</v>
      </c>
      <c r="F460" s="63" t="s">
        <v>56</v>
      </c>
      <c r="G460" s="129"/>
      <c r="H460" s="133"/>
      <c r="I460" s="129"/>
      <c r="J460" s="130"/>
      <c r="K460" s="130"/>
      <c r="L460" s="130"/>
      <c r="M460" s="130"/>
      <c r="N460" s="140"/>
      <c r="O460" s="150"/>
      <c r="P460" s="150"/>
      <c r="Q460" s="134"/>
      <c r="R460" s="134"/>
      <c r="S460" s="134"/>
      <c r="T460" s="134"/>
      <c r="U460" s="134"/>
      <c r="V460" s="134"/>
      <c r="W460" s="134"/>
      <c r="X460" s="134"/>
      <c r="Y460" s="134"/>
    </row>
    <row r="461">
      <c r="A461" s="126"/>
      <c r="B461" s="127"/>
      <c r="C461" s="135"/>
      <c r="D461" s="144"/>
      <c r="E461" s="74" t="s">
        <v>56</v>
      </c>
      <c r="F461" s="63" t="s">
        <v>56</v>
      </c>
      <c r="G461" s="129"/>
      <c r="H461" s="133"/>
      <c r="I461" s="129"/>
      <c r="J461" s="130"/>
      <c r="K461" s="130"/>
      <c r="L461" s="130"/>
      <c r="M461" s="130"/>
      <c r="N461" s="140"/>
      <c r="O461" s="150"/>
      <c r="P461" s="150"/>
      <c r="Q461" s="134"/>
      <c r="R461" s="134"/>
      <c r="S461" s="134"/>
      <c r="T461" s="134"/>
      <c r="U461" s="134"/>
      <c r="V461" s="134"/>
      <c r="W461" s="134"/>
      <c r="X461" s="134"/>
      <c r="Y461" s="134"/>
    </row>
    <row r="462">
      <c r="A462" s="126"/>
      <c r="B462" s="127"/>
      <c r="C462" s="135"/>
      <c r="D462" s="144"/>
      <c r="E462" s="74" t="s">
        <v>56</v>
      </c>
      <c r="F462" s="63" t="s">
        <v>56</v>
      </c>
      <c r="G462" s="129"/>
      <c r="H462" s="133"/>
      <c r="I462" s="129"/>
      <c r="J462" s="130"/>
      <c r="K462" s="130"/>
      <c r="L462" s="130"/>
      <c r="M462" s="130"/>
      <c r="N462" s="140"/>
      <c r="O462" s="150"/>
      <c r="P462" s="150"/>
      <c r="Q462" s="134"/>
      <c r="R462" s="134"/>
      <c r="S462" s="134"/>
      <c r="T462" s="134"/>
      <c r="U462" s="134"/>
      <c r="V462" s="134"/>
      <c r="W462" s="134"/>
      <c r="X462" s="134"/>
      <c r="Y462" s="134"/>
    </row>
    <row r="463">
      <c r="A463" s="126"/>
      <c r="B463" s="127"/>
      <c r="C463" s="135"/>
      <c r="D463" s="144"/>
      <c r="E463" s="74" t="s">
        <v>56</v>
      </c>
      <c r="F463" s="63" t="s">
        <v>56</v>
      </c>
      <c r="G463" s="129"/>
      <c r="H463" s="133"/>
      <c r="I463" s="129"/>
      <c r="J463" s="130"/>
      <c r="K463" s="130"/>
      <c r="L463" s="130"/>
      <c r="M463" s="130"/>
      <c r="N463" s="140"/>
      <c r="O463" s="150"/>
      <c r="P463" s="150"/>
      <c r="Q463" s="134"/>
      <c r="R463" s="134"/>
      <c r="S463" s="134"/>
      <c r="T463" s="134"/>
      <c r="U463" s="134"/>
      <c r="V463" s="134"/>
      <c r="W463" s="134"/>
      <c r="X463" s="134"/>
      <c r="Y463" s="134"/>
    </row>
    <row r="464">
      <c r="A464" s="126"/>
      <c r="B464" s="127"/>
      <c r="C464" s="135"/>
      <c r="D464" s="144"/>
      <c r="E464" s="74" t="s">
        <v>56</v>
      </c>
      <c r="F464" s="63" t="s">
        <v>56</v>
      </c>
      <c r="G464" s="129"/>
      <c r="H464" s="133"/>
      <c r="I464" s="129"/>
      <c r="J464" s="130"/>
      <c r="K464" s="130"/>
      <c r="L464" s="130"/>
      <c r="M464" s="130"/>
      <c r="N464" s="140"/>
      <c r="O464" s="150"/>
      <c r="P464" s="150"/>
      <c r="Q464" s="134"/>
      <c r="R464" s="134"/>
      <c r="S464" s="134"/>
      <c r="T464" s="134"/>
      <c r="U464" s="134"/>
      <c r="V464" s="134"/>
      <c r="W464" s="134"/>
      <c r="X464" s="134"/>
      <c r="Y464" s="134"/>
    </row>
    <row r="465">
      <c r="A465" s="126"/>
      <c r="B465" s="127"/>
      <c r="C465" s="135"/>
      <c r="D465" s="144"/>
      <c r="E465" s="74" t="s">
        <v>56</v>
      </c>
      <c r="F465" s="63" t="s">
        <v>56</v>
      </c>
      <c r="G465" s="129"/>
      <c r="H465" s="133"/>
      <c r="I465" s="129"/>
      <c r="J465" s="130"/>
      <c r="K465" s="130"/>
      <c r="L465" s="130"/>
      <c r="M465" s="130"/>
      <c r="N465" s="140"/>
      <c r="O465" s="150"/>
      <c r="P465" s="150"/>
      <c r="Q465" s="134"/>
      <c r="R465" s="134"/>
      <c r="S465" s="134"/>
      <c r="T465" s="134"/>
      <c r="U465" s="134"/>
      <c r="V465" s="134"/>
      <c r="W465" s="134"/>
      <c r="X465" s="134"/>
      <c r="Y465" s="134"/>
    </row>
    <row r="466">
      <c r="A466" s="126"/>
      <c r="B466" s="127"/>
      <c r="C466" s="135"/>
      <c r="D466" s="144"/>
      <c r="E466" s="74" t="s">
        <v>56</v>
      </c>
      <c r="F466" s="63" t="s">
        <v>56</v>
      </c>
      <c r="G466" s="129"/>
      <c r="H466" s="133"/>
      <c r="I466" s="129"/>
      <c r="J466" s="130"/>
      <c r="K466" s="130"/>
      <c r="L466" s="130"/>
      <c r="M466" s="130"/>
      <c r="N466" s="140"/>
      <c r="O466" s="150"/>
      <c r="P466" s="150"/>
      <c r="Q466" s="134"/>
      <c r="R466" s="134"/>
      <c r="S466" s="134"/>
      <c r="T466" s="134"/>
      <c r="U466" s="134"/>
      <c r="V466" s="134"/>
      <c r="W466" s="134"/>
      <c r="X466" s="134"/>
      <c r="Y466" s="134"/>
    </row>
    <row r="467">
      <c r="A467" s="126"/>
      <c r="B467" s="127"/>
      <c r="C467" s="135"/>
      <c r="D467" s="144"/>
      <c r="E467" s="74" t="s">
        <v>56</v>
      </c>
      <c r="F467" s="63" t="s">
        <v>56</v>
      </c>
      <c r="G467" s="129"/>
      <c r="H467" s="133"/>
      <c r="I467" s="129"/>
      <c r="J467" s="130"/>
      <c r="K467" s="130"/>
      <c r="L467" s="130"/>
      <c r="M467" s="130"/>
      <c r="N467" s="140"/>
      <c r="O467" s="150"/>
      <c r="P467" s="150"/>
      <c r="Q467" s="134"/>
      <c r="R467" s="134"/>
      <c r="S467" s="134"/>
      <c r="T467" s="134"/>
      <c r="U467" s="134"/>
      <c r="V467" s="134"/>
      <c r="W467" s="134"/>
      <c r="X467" s="134"/>
      <c r="Y467" s="134"/>
    </row>
    <row r="468">
      <c r="A468" s="126"/>
      <c r="B468" s="127"/>
      <c r="C468" s="135"/>
      <c r="D468" s="144"/>
      <c r="E468" s="74" t="s">
        <v>56</v>
      </c>
      <c r="F468" s="63" t="s">
        <v>56</v>
      </c>
      <c r="G468" s="129"/>
      <c r="H468" s="133"/>
      <c r="I468" s="129"/>
      <c r="J468" s="130"/>
      <c r="K468" s="130"/>
      <c r="L468" s="130"/>
      <c r="M468" s="130"/>
      <c r="N468" s="140"/>
      <c r="O468" s="150"/>
      <c r="P468" s="150"/>
      <c r="Q468" s="134"/>
      <c r="R468" s="134"/>
      <c r="S468" s="134"/>
      <c r="T468" s="134"/>
      <c r="U468" s="134"/>
      <c r="V468" s="134"/>
      <c r="W468" s="134"/>
      <c r="X468" s="134"/>
      <c r="Y468" s="134"/>
    </row>
    <row r="469">
      <c r="A469" s="126"/>
      <c r="B469" s="127"/>
      <c r="C469" s="135"/>
      <c r="D469" s="144"/>
      <c r="E469" s="74" t="s">
        <v>56</v>
      </c>
      <c r="F469" s="63" t="s">
        <v>56</v>
      </c>
      <c r="G469" s="129"/>
      <c r="H469" s="133"/>
      <c r="I469" s="129"/>
      <c r="J469" s="130"/>
      <c r="K469" s="130"/>
      <c r="L469" s="130"/>
      <c r="M469" s="130"/>
      <c r="N469" s="140"/>
      <c r="O469" s="150"/>
      <c r="P469" s="150"/>
      <c r="Q469" s="134"/>
      <c r="R469" s="134"/>
      <c r="S469" s="134"/>
      <c r="T469" s="134"/>
      <c r="U469" s="134"/>
      <c r="V469" s="134"/>
      <c r="W469" s="134"/>
      <c r="X469" s="134"/>
      <c r="Y469" s="134"/>
    </row>
    <row r="470">
      <c r="A470" s="126"/>
      <c r="B470" s="127"/>
      <c r="C470" s="135"/>
      <c r="D470" s="144"/>
      <c r="E470" s="74" t="s">
        <v>56</v>
      </c>
      <c r="F470" s="63" t="s">
        <v>56</v>
      </c>
      <c r="G470" s="129"/>
      <c r="H470" s="133"/>
      <c r="I470" s="129"/>
      <c r="J470" s="130"/>
      <c r="K470" s="130"/>
      <c r="L470" s="130"/>
      <c r="M470" s="130"/>
      <c r="N470" s="140"/>
      <c r="O470" s="150"/>
      <c r="P470" s="150"/>
      <c r="Q470" s="134"/>
      <c r="R470" s="134"/>
      <c r="S470" s="134"/>
      <c r="T470" s="134"/>
      <c r="U470" s="134"/>
      <c r="V470" s="134"/>
      <c r="W470" s="134"/>
      <c r="X470" s="134"/>
      <c r="Y470" s="134"/>
    </row>
    <row r="471">
      <c r="A471" s="126"/>
      <c r="B471" s="127"/>
      <c r="C471" s="135"/>
      <c r="D471" s="144"/>
      <c r="E471" s="74" t="s">
        <v>56</v>
      </c>
      <c r="F471" s="63" t="s">
        <v>56</v>
      </c>
      <c r="G471" s="129"/>
      <c r="H471" s="133"/>
      <c r="I471" s="129"/>
      <c r="J471" s="130"/>
      <c r="K471" s="130"/>
      <c r="L471" s="130"/>
      <c r="M471" s="130"/>
      <c r="N471" s="140"/>
      <c r="O471" s="150"/>
      <c r="P471" s="150"/>
      <c r="Q471" s="134"/>
      <c r="R471" s="134"/>
      <c r="S471" s="134"/>
      <c r="T471" s="134"/>
      <c r="U471" s="134"/>
      <c r="V471" s="134"/>
      <c r="W471" s="134"/>
      <c r="X471" s="134"/>
      <c r="Y471" s="134"/>
    </row>
    <row r="472">
      <c r="A472" s="126"/>
      <c r="B472" s="127"/>
      <c r="C472" s="135"/>
      <c r="D472" s="144"/>
      <c r="E472" s="74" t="s">
        <v>56</v>
      </c>
      <c r="F472" s="63" t="s">
        <v>56</v>
      </c>
      <c r="G472" s="129"/>
      <c r="H472" s="133"/>
      <c r="I472" s="129"/>
      <c r="J472" s="130"/>
      <c r="K472" s="130"/>
      <c r="L472" s="130"/>
      <c r="M472" s="130"/>
      <c r="N472" s="140"/>
      <c r="O472" s="150"/>
      <c r="P472" s="150"/>
      <c r="Q472" s="134"/>
      <c r="R472" s="134"/>
      <c r="S472" s="134"/>
      <c r="T472" s="134"/>
      <c r="U472" s="134"/>
      <c r="V472" s="134"/>
      <c r="W472" s="134"/>
      <c r="X472" s="134"/>
      <c r="Y472" s="134"/>
    </row>
    <row r="473">
      <c r="A473" s="126"/>
      <c r="B473" s="127"/>
      <c r="C473" s="135"/>
      <c r="D473" s="144"/>
      <c r="E473" s="74" t="s">
        <v>56</v>
      </c>
      <c r="F473" s="63" t="s">
        <v>56</v>
      </c>
      <c r="G473" s="129"/>
      <c r="H473" s="133"/>
      <c r="I473" s="129"/>
      <c r="J473" s="130"/>
      <c r="K473" s="130"/>
      <c r="L473" s="130"/>
      <c r="M473" s="130"/>
      <c r="N473" s="140"/>
      <c r="O473" s="150"/>
      <c r="P473" s="150"/>
      <c r="Q473" s="134"/>
      <c r="R473" s="134"/>
      <c r="S473" s="134"/>
      <c r="T473" s="134"/>
      <c r="U473" s="134"/>
      <c r="V473" s="134"/>
      <c r="W473" s="134"/>
      <c r="X473" s="134"/>
      <c r="Y473" s="134"/>
    </row>
    <row r="474">
      <c r="A474" s="126"/>
      <c r="B474" s="127"/>
      <c r="C474" s="135"/>
      <c r="D474" s="144"/>
      <c r="E474" s="74" t="s">
        <v>56</v>
      </c>
      <c r="F474" s="63" t="s">
        <v>56</v>
      </c>
      <c r="G474" s="129"/>
      <c r="H474" s="133"/>
      <c r="I474" s="129"/>
      <c r="J474" s="130"/>
      <c r="K474" s="130"/>
      <c r="L474" s="130"/>
      <c r="M474" s="130"/>
      <c r="N474" s="140"/>
      <c r="O474" s="150"/>
      <c r="P474" s="150"/>
      <c r="Q474" s="134"/>
      <c r="R474" s="134"/>
      <c r="S474" s="134"/>
      <c r="T474" s="134"/>
      <c r="U474" s="134"/>
      <c r="V474" s="134"/>
      <c r="W474" s="134"/>
      <c r="X474" s="134"/>
      <c r="Y474" s="134"/>
    </row>
    <row r="475">
      <c r="A475" s="126"/>
      <c r="B475" s="127"/>
      <c r="C475" s="135"/>
      <c r="D475" s="144"/>
      <c r="E475" s="74" t="s">
        <v>56</v>
      </c>
      <c r="F475" s="63" t="s">
        <v>56</v>
      </c>
      <c r="G475" s="129"/>
      <c r="H475" s="133"/>
      <c r="I475" s="129"/>
      <c r="J475" s="130"/>
      <c r="K475" s="130"/>
      <c r="L475" s="130"/>
      <c r="M475" s="130"/>
      <c r="N475" s="140"/>
      <c r="O475" s="150"/>
      <c r="P475" s="150"/>
      <c r="Q475" s="134"/>
      <c r="R475" s="134"/>
      <c r="S475" s="134"/>
      <c r="T475" s="134"/>
      <c r="U475" s="134"/>
      <c r="V475" s="134"/>
      <c r="W475" s="134"/>
      <c r="X475" s="134"/>
      <c r="Y475" s="134"/>
    </row>
    <row r="476">
      <c r="A476" s="126"/>
      <c r="B476" s="127"/>
      <c r="C476" s="135"/>
      <c r="D476" s="144"/>
      <c r="E476" s="74" t="s">
        <v>56</v>
      </c>
      <c r="F476" s="63" t="s">
        <v>56</v>
      </c>
      <c r="G476" s="129"/>
      <c r="H476" s="133"/>
      <c r="I476" s="129"/>
      <c r="J476" s="130"/>
      <c r="K476" s="130"/>
      <c r="L476" s="130"/>
      <c r="M476" s="130"/>
      <c r="N476" s="140"/>
      <c r="O476" s="150"/>
      <c r="P476" s="150"/>
      <c r="Q476" s="134"/>
      <c r="R476" s="134"/>
      <c r="S476" s="134"/>
      <c r="T476" s="134"/>
      <c r="U476" s="134"/>
      <c r="V476" s="134"/>
      <c r="W476" s="134"/>
      <c r="X476" s="134"/>
      <c r="Y476" s="134"/>
    </row>
    <row r="477">
      <c r="A477" s="126"/>
      <c r="B477" s="127"/>
      <c r="C477" s="135"/>
      <c r="D477" s="144"/>
      <c r="E477" s="74" t="s">
        <v>56</v>
      </c>
      <c r="F477" s="63" t="s">
        <v>56</v>
      </c>
      <c r="G477" s="129"/>
      <c r="H477" s="133"/>
      <c r="I477" s="129"/>
      <c r="J477" s="130"/>
      <c r="K477" s="130"/>
      <c r="L477" s="130"/>
      <c r="M477" s="130"/>
      <c r="N477" s="140"/>
      <c r="O477" s="150"/>
      <c r="P477" s="150"/>
      <c r="Q477" s="134"/>
      <c r="R477" s="134"/>
      <c r="S477" s="134"/>
      <c r="T477" s="134"/>
      <c r="U477" s="134"/>
      <c r="V477" s="134"/>
      <c r="W477" s="134"/>
      <c r="X477" s="134"/>
      <c r="Y477" s="134"/>
    </row>
    <row r="478">
      <c r="A478" s="126"/>
      <c r="B478" s="127"/>
      <c r="C478" s="135"/>
      <c r="D478" s="144"/>
      <c r="E478" s="74" t="s">
        <v>56</v>
      </c>
      <c r="F478" s="63" t="s">
        <v>56</v>
      </c>
      <c r="G478" s="129"/>
      <c r="H478" s="133"/>
      <c r="I478" s="129"/>
      <c r="J478" s="130"/>
      <c r="K478" s="130"/>
      <c r="L478" s="130"/>
      <c r="M478" s="130"/>
      <c r="N478" s="140"/>
      <c r="O478" s="150"/>
      <c r="P478" s="150"/>
      <c r="Q478" s="134"/>
      <c r="R478" s="134"/>
      <c r="S478" s="134"/>
      <c r="T478" s="134"/>
      <c r="U478" s="134"/>
      <c r="V478" s="134"/>
      <c r="W478" s="134"/>
      <c r="X478" s="134"/>
      <c r="Y478" s="134"/>
    </row>
    <row r="479">
      <c r="A479" s="126"/>
      <c r="B479" s="127"/>
      <c r="C479" s="135"/>
      <c r="D479" s="144"/>
      <c r="E479" s="74" t="s">
        <v>56</v>
      </c>
      <c r="F479" s="63" t="s">
        <v>56</v>
      </c>
      <c r="G479" s="129"/>
      <c r="H479" s="133"/>
      <c r="I479" s="129"/>
      <c r="J479" s="130"/>
      <c r="K479" s="130"/>
      <c r="L479" s="130"/>
      <c r="M479" s="130"/>
      <c r="N479" s="140"/>
      <c r="O479" s="150"/>
      <c r="P479" s="150"/>
      <c r="Q479" s="134"/>
      <c r="R479" s="134"/>
      <c r="S479" s="134"/>
      <c r="T479" s="134"/>
      <c r="U479" s="134"/>
      <c r="V479" s="134"/>
      <c r="W479" s="134"/>
      <c r="X479" s="134"/>
      <c r="Y479" s="134"/>
    </row>
    <row r="480">
      <c r="A480" s="126"/>
      <c r="B480" s="127"/>
      <c r="C480" s="135"/>
      <c r="D480" s="144"/>
      <c r="E480" s="74" t="s">
        <v>56</v>
      </c>
      <c r="F480" s="63" t="s">
        <v>56</v>
      </c>
      <c r="G480" s="129"/>
      <c r="H480" s="133"/>
      <c r="I480" s="129"/>
      <c r="J480" s="130"/>
      <c r="K480" s="130"/>
      <c r="L480" s="130"/>
      <c r="M480" s="130"/>
      <c r="N480" s="140"/>
      <c r="O480" s="150"/>
      <c r="P480" s="150"/>
      <c r="Q480" s="134"/>
      <c r="R480" s="134"/>
      <c r="S480" s="134"/>
      <c r="T480" s="134"/>
      <c r="U480" s="134"/>
      <c r="V480" s="134"/>
      <c r="W480" s="134"/>
      <c r="X480" s="134"/>
      <c r="Y480" s="134"/>
    </row>
    <row r="481">
      <c r="A481" s="126"/>
      <c r="B481" s="127"/>
      <c r="C481" s="135"/>
      <c r="D481" s="144"/>
      <c r="E481" s="74" t="s">
        <v>56</v>
      </c>
      <c r="F481" s="63" t="s">
        <v>56</v>
      </c>
      <c r="G481" s="129"/>
      <c r="H481" s="133"/>
      <c r="I481" s="129"/>
      <c r="J481" s="130"/>
      <c r="K481" s="130"/>
      <c r="L481" s="130"/>
      <c r="M481" s="130"/>
      <c r="N481" s="140"/>
      <c r="O481" s="150"/>
      <c r="P481" s="150"/>
      <c r="Q481" s="134"/>
      <c r="R481" s="134"/>
      <c r="S481" s="134"/>
      <c r="T481" s="134"/>
      <c r="U481" s="134"/>
      <c r="V481" s="134"/>
      <c r="W481" s="134"/>
      <c r="X481" s="134"/>
      <c r="Y481" s="134"/>
    </row>
    <row r="482">
      <c r="A482" s="126"/>
      <c r="B482" s="127"/>
      <c r="C482" s="135"/>
      <c r="D482" s="144"/>
      <c r="E482" s="74" t="s">
        <v>56</v>
      </c>
      <c r="F482" s="63" t="s">
        <v>56</v>
      </c>
      <c r="G482" s="129"/>
      <c r="H482" s="133"/>
      <c r="I482" s="129"/>
      <c r="J482" s="130"/>
      <c r="K482" s="130"/>
      <c r="L482" s="130"/>
      <c r="M482" s="130"/>
      <c r="N482" s="140"/>
      <c r="O482" s="150"/>
      <c r="P482" s="150"/>
      <c r="Q482" s="134"/>
      <c r="R482" s="134"/>
      <c r="S482" s="134"/>
      <c r="T482" s="134"/>
      <c r="U482" s="134"/>
      <c r="V482" s="134"/>
      <c r="W482" s="134"/>
      <c r="X482" s="134"/>
      <c r="Y482" s="134"/>
    </row>
    <row r="483">
      <c r="A483" s="126"/>
      <c r="B483" s="127"/>
      <c r="C483" s="135"/>
      <c r="D483" s="144"/>
      <c r="E483" s="74" t="s">
        <v>56</v>
      </c>
      <c r="F483" s="63" t="s">
        <v>56</v>
      </c>
      <c r="G483" s="129"/>
      <c r="H483" s="133"/>
      <c r="I483" s="129"/>
      <c r="J483" s="130"/>
      <c r="K483" s="130"/>
      <c r="L483" s="130"/>
      <c r="M483" s="130"/>
      <c r="N483" s="140"/>
      <c r="O483" s="150"/>
      <c r="P483" s="150"/>
      <c r="Q483" s="134"/>
      <c r="R483" s="134"/>
      <c r="S483" s="134"/>
      <c r="T483" s="134"/>
      <c r="U483" s="134"/>
      <c r="V483" s="134"/>
      <c r="W483" s="134"/>
      <c r="X483" s="134"/>
      <c r="Y483" s="134"/>
    </row>
    <row r="484">
      <c r="A484" s="126"/>
      <c r="B484" s="127"/>
      <c r="C484" s="135"/>
      <c r="D484" s="144"/>
      <c r="E484" s="74" t="s">
        <v>56</v>
      </c>
      <c r="F484" s="63" t="s">
        <v>56</v>
      </c>
      <c r="G484" s="129"/>
      <c r="H484" s="133"/>
      <c r="I484" s="129"/>
      <c r="J484" s="130"/>
      <c r="K484" s="130"/>
      <c r="L484" s="130"/>
      <c r="M484" s="130"/>
      <c r="N484" s="140"/>
      <c r="O484" s="150"/>
      <c r="P484" s="150"/>
      <c r="Q484" s="134"/>
      <c r="R484" s="134"/>
      <c r="S484" s="134"/>
      <c r="T484" s="134"/>
      <c r="U484" s="134"/>
      <c r="V484" s="134"/>
      <c r="W484" s="134"/>
      <c r="X484" s="134"/>
      <c r="Y484" s="134"/>
    </row>
    <row r="485">
      <c r="A485" s="126"/>
      <c r="B485" s="127"/>
      <c r="C485" s="135"/>
      <c r="D485" s="144"/>
      <c r="E485" s="74" t="s">
        <v>56</v>
      </c>
      <c r="F485" s="63" t="s">
        <v>56</v>
      </c>
      <c r="G485" s="129"/>
      <c r="H485" s="133"/>
      <c r="I485" s="129"/>
      <c r="J485" s="130"/>
      <c r="K485" s="130"/>
      <c r="L485" s="130"/>
      <c r="M485" s="130"/>
      <c r="N485" s="140"/>
      <c r="O485" s="150"/>
      <c r="P485" s="150"/>
      <c r="Q485" s="134"/>
      <c r="R485" s="134"/>
      <c r="S485" s="134"/>
      <c r="T485" s="134"/>
      <c r="U485" s="134"/>
      <c r="V485" s="134"/>
      <c r="W485" s="134"/>
      <c r="X485" s="134"/>
      <c r="Y485" s="134"/>
    </row>
    <row r="486">
      <c r="A486" s="126"/>
      <c r="B486" s="127"/>
      <c r="C486" s="135"/>
      <c r="D486" s="144"/>
      <c r="E486" s="74" t="s">
        <v>56</v>
      </c>
      <c r="F486" s="63" t="s">
        <v>56</v>
      </c>
      <c r="G486" s="129"/>
      <c r="H486" s="133"/>
      <c r="I486" s="129"/>
      <c r="J486" s="130"/>
      <c r="K486" s="130"/>
      <c r="L486" s="130"/>
      <c r="M486" s="130"/>
      <c r="N486" s="140"/>
      <c r="O486" s="150"/>
      <c r="P486" s="150"/>
      <c r="Q486" s="134"/>
      <c r="R486" s="134"/>
      <c r="S486" s="134"/>
      <c r="T486" s="134"/>
      <c r="U486" s="134"/>
      <c r="V486" s="134"/>
      <c r="W486" s="134"/>
      <c r="X486" s="134"/>
      <c r="Y486" s="134"/>
    </row>
    <row r="487">
      <c r="A487" s="126"/>
      <c r="B487" s="127"/>
      <c r="C487" s="135"/>
      <c r="D487" s="144"/>
      <c r="E487" s="74" t="s">
        <v>56</v>
      </c>
      <c r="F487" s="63" t="s">
        <v>56</v>
      </c>
      <c r="G487" s="129"/>
      <c r="H487" s="133"/>
      <c r="I487" s="129"/>
      <c r="J487" s="130"/>
      <c r="K487" s="130"/>
      <c r="L487" s="130"/>
      <c r="M487" s="130"/>
      <c r="N487" s="140"/>
      <c r="O487" s="150"/>
      <c r="P487" s="150"/>
      <c r="Q487" s="134"/>
      <c r="R487" s="134"/>
      <c r="S487" s="134"/>
      <c r="T487" s="134"/>
      <c r="U487" s="134"/>
      <c r="V487" s="134"/>
      <c r="W487" s="134"/>
      <c r="X487" s="134"/>
      <c r="Y487" s="134"/>
    </row>
    <row r="488">
      <c r="A488" s="126"/>
      <c r="B488" s="127"/>
      <c r="C488" s="135"/>
      <c r="D488" s="144"/>
      <c r="E488" s="74" t="s">
        <v>56</v>
      </c>
      <c r="F488" s="63" t="s">
        <v>56</v>
      </c>
      <c r="G488" s="129"/>
      <c r="H488" s="133"/>
      <c r="I488" s="129"/>
      <c r="J488" s="130"/>
      <c r="K488" s="130"/>
      <c r="L488" s="130"/>
      <c r="M488" s="130"/>
      <c r="N488" s="140"/>
      <c r="O488" s="150"/>
      <c r="P488" s="150"/>
      <c r="Q488" s="134"/>
      <c r="R488" s="134"/>
      <c r="S488" s="134"/>
      <c r="T488" s="134"/>
      <c r="U488" s="134"/>
      <c r="V488" s="134"/>
      <c r="W488" s="134"/>
      <c r="X488" s="134"/>
      <c r="Y488" s="134"/>
    </row>
    <row r="489">
      <c r="A489" s="126"/>
      <c r="B489" s="127"/>
      <c r="C489" s="135"/>
      <c r="D489" s="144"/>
      <c r="E489" s="74" t="s">
        <v>56</v>
      </c>
      <c r="F489" s="63" t="s">
        <v>56</v>
      </c>
      <c r="G489" s="129"/>
      <c r="H489" s="133"/>
      <c r="I489" s="129"/>
      <c r="J489" s="130"/>
      <c r="K489" s="130"/>
      <c r="L489" s="130"/>
      <c r="M489" s="130"/>
      <c r="N489" s="140"/>
      <c r="O489" s="150"/>
      <c r="P489" s="150"/>
      <c r="Q489" s="134"/>
      <c r="R489" s="134"/>
      <c r="S489" s="134"/>
      <c r="T489" s="134"/>
      <c r="U489" s="134"/>
      <c r="V489" s="134"/>
      <c r="W489" s="134"/>
      <c r="X489" s="134"/>
      <c r="Y489" s="134"/>
    </row>
    <row r="490">
      <c r="A490" s="126"/>
      <c r="B490" s="127"/>
      <c r="C490" s="135"/>
      <c r="D490" s="144"/>
      <c r="E490" s="74" t="s">
        <v>56</v>
      </c>
      <c r="F490" s="63" t="s">
        <v>56</v>
      </c>
      <c r="G490" s="129"/>
      <c r="H490" s="133"/>
      <c r="I490" s="129"/>
      <c r="J490" s="130"/>
      <c r="K490" s="130"/>
      <c r="L490" s="130"/>
      <c r="M490" s="130"/>
      <c r="N490" s="140"/>
      <c r="O490" s="150"/>
      <c r="P490" s="150"/>
      <c r="Q490" s="134"/>
      <c r="R490" s="134"/>
      <c r="S490" s="134"/>
      <c r="T490" s="134"/>
      <c r="U490" s="134"/>
      <c r="V490" s="134"/>
      <c r="W490" s="134"/>
      <c r="X490" s="134"/>
      <c r="Y490" s="134"/>
    </row>
    <row r="491">
      <c r="A491" s="126"/>
      <c r="B491" s="127"/>
      <c r="C491" s="135"/>
      <c r="D491" s="144"/>
      <c r="E491" s="74" t="s">
        <v>56</v>
      </c>
      <c r="F491" s="63" t="s">
        <v>56</v>
      </c>
      <c r="G491" s="129"/>
      <c r="H491" s="133"/>
      <c r="I491" s="129"/>
      <c r="J491" s="130"/>
      <c r="K491" s="130"/>
      <c r="L491" s="130"/>
      <c r="M491" s="130"/>
      <c r="N491" s="140"/>
      <c r="O491" s="150"/>
      <c r="P491" s="150"/>
      <c r="Q491" s="134"/>
      <c r="R491" s="134"/>
      <c r="S491" s="134"/>
      <c r="T491" s="134"/>
      <c r="U491" s="134"/>
      <c r="V491" s="134"/>
      <c r="W491" s="134"/>
      <c r="X491" s="134"/>
      <c r="Y491" s="134"/>
    </row>
    <row r="492">
      <c r="A492" s="126"/>
      <c r="B492" s="127"/>
      <c r="C492" s="135"/>
      <c r="D492" s="144"/>
      <c r="E492" s="74" t="s">
        <v>56</v>
      </c>
      <c r="F492" s="63" t="s">
        <v>56</v>
      </c>
      <c r="G492" s="129"/>
      <c r="H492" s="133"/>
      <c r="I492" s="129"/>
      <c r="J492" s="130"/>
      <c r="K492" s="130"/>
      <c r="L492" s="130"/>
      <c r="M492" s="130"/>
      <c r="N492" s="140"/>
      <c r="O492" s="150"/>
      <c r="P492" s="150"/>
      <c r="Q492" s="134"/>
      <c r="R492" s="134"/>
      <c r="S492" s="134"/>
      <c r="T492" s="134"/>
      <c r="U492" s="134"/>
      <c r="V492" s="134"/>
      <c r="W492" s="134"/>
      <c r="X492" s="134"/>
      <c r="Y492" s="134"/>
    </row>
    <row r="493">
      <c r="A493" s="126"/>
      <c r="B493" s="127"/>
      <c r="C493" s="135"/>
      <c r="D493" s="144"/>
      <c r="E493" s="74" t="s">
        <v>56</v>
      </c>
      <c r="F493" s="63" t="s">
        <v>56</v>
      </c>
      <c r="G493" s="129"/>
      <c r="H493" s="133"/>
      <c r="I493" s="129"/>
      <c r="J493" s="130"/>
      <c r="K493" s="130"/>
      <c r="L493" s="130"/>
      <c r="M493" s="130"/>
      <c r="N493" s="140"/>
      <c r="O493" s="150"/>
      <c r="P493" s="150"/>
      <c r="Q493" s="134"/>
      <c r="R493" s="134"/>
      <c r="S493" s="134"/>
      <c r="T493" s="134"/>
      <c r="U493" s="134"/>
      <c r="V493" s="134"/>
      <c r="W493" s="134"/>
      <c r="X493" s="134"/>
      <c r="Y493" s="134"/>
    </row>
    <row r="494">
      <c r="A494" s="126"/>
      <c r="B494" s="127"/>
      <c r="C494" s="135"/>
      <c r="D494" s="144"/>
      <c r="E494" s="74" t="s">
        <v>56</v>
      </c>
      <c r="F494" s="63" t="s">
        <v>56</v>
      </c>
      <c r="G494" s="129"/>
      <c r="H494" s="133"/>
      <c r="I494" s="129"/>
      <c r="J494" s="130"/>
      <c r="K494" s="130"/>
      <c r="L494" s="130"/>
      <c r="M494" s="130"/>
      <c r="N494" s="140"/>
      <c r="O494" s="150"/>
      <c r="P494" s="150"/>
      <c r="Q494" s="134"/>
      <c r="R494" s="134"/>
      <c r="S494" s="134"/>
      <c r="T494" s="134"/>
      <c r="U494" s="134"/>
      <c r="V494" s="134"/>
      <c r="W494" s="134"/>
      <c r="X494" s="134"/>
      <c r="Y494" s="134"/>
    </row>
    <row r="495">
      <c r="A495" s="126"/>
      <c r="B495" s="127"/>
      <c r="C495" s="135"/>
      <c r="D495" s="144"/>
      <c r="E495" s="74" t="s">
        <v>56</v>
      </c>
      <c r="F495" s="63" t="s">
        <v>56</v>
      </c>
      <c r="G495" s="129"/>
      <c r="H495" s="133"/>
      <c r="I495" s="129"/>
      <c r="J495" s="130"/>
      <c r="K495" s="130"/>
      <c r="L495" s="130"/>
      <c r="M495" s="130"/>
      <c r="N495" s="140"/>
      <c r="O495" s="150"/>
      <c r="P495" s="150"/>
      <c r="Q495" s="134"/>
      <c r="R495" s="134"/>
      <c r="S495" s="134"/>
      <c r="T495" s="134"/>
      <c r="U495" s="134"/>
      <c r="V495" s="134"/>
      <c r="W495" s="134"/>
      <c r="X495" s="134"/>
      <c r="Y495" s="134"/>
    </row>
    <row r="496">
      <c r="A496" s="126"/>
      <c r="B496" s="127"/>
      <c r="C496" s="135"/>
      <c r="D496" s="144"/>
      <c r="E496" s="74" t="s">
        <v>56</v>
      </c>
      <c r="F496" s="63" t="s">
        <v>56</v>
      </c>
      <c r="G496" s="129"/>
      <c r="H496" s="133"/>
      <c r="I496" s="129"/>
      <c r="J496" s="130"/>
      <c r="K496" s="130"/>
      <c r="L496" s="130"/>
      <c r="M496" s="130"/>
      <c r="N496" s="140"/>
      <c r="O496" s="150"/>
      <c r="P496" s="150"/>
      <c r="Q496" s="134"/>
      <c r="R496" s="134"/>
      <c r="S496" s="134"/>
      <c r="T496" s="134"/>
      <c r="U496" s="134"/>
      <c r="V496" s="134"/>
      <c r="W496" s="134"/>
      <c r="X496" s="134"/>
      <c r="Y496" s="134"/>
    </row>
    <row r="497">
      <c r="A497" s="126"/>
      <c r="B497" s="127"/>
      <c r="C497" s="135"/>
      <c r="D497" s="144"/>
      <c r="E497" s="74" t="s">
        <v>56</v>
      </c>
      <c r="F497" s="63" t="s">
        <v>56</v>
      </c>
      <c r="G497" s="129"/>
      <c r="H497" s="133"/>
      <c r="I497" s="129"/>
      <c r="J497" s="130"/>
      <c r="K497" s="130"/>
      <c r="L497" s="130"/>
      <c r="M497" s="130"/>
      <c r="N497" s="140"/>
      <c r="O497" s="150"/>
      <c r="P497" s="150"/>
      <c r="Q497" s="134"/>
      <c r="R497" s="134"/>
      <c r="S497" s="134"/>
      <c r="T497" s="134"/>
      <c r="U497" s="134"/>
      <c r="V497" s="134"/>
      <c r="W497" s="134"/>
      <c r="X497" s="134"/>
      <c r="Y497" s="134"/>
    </row>
    <row r="498">
      <c r="A498" s="126"/>
      <c r="B498" s="127"/>
      <c r="C498" s="135"/>
      <c r="D498" s="144"/>
      <c r="E498" s="74" t="s">
        <v>56</v>
      </c>
      <c r="F498" s="63" t="s">
        <v>56</v>
      </c>
      <c r="G498" s="129"/>
      <c r="H498" s="133"/>
      <c r="I498" s="129"/>
      <c r="J498" s="130"/>
      <c r="K498" s="130"/>
      <c r="L498" s="130"/>
      <c r="M498" s="130"/>
      <c r="N498" s="140"/>
      <c r="O498" s="150"/>
      <c r="P498" s="150"/>
      <c r="Q498" s="134"/>
      <c r="R498" s="134"/>
      <c r="S498" s="134"/>
      <c r="T498" s="134"/>
      <c r="U498" s="134"/>
      <c r="V498" s="134"/>
      <c r="W498" s="134"/>
      <c r="X498" s="134"/>
      <c r="Y498" s="134"/>
    </row>
    <row r="499">
      <c r="A499" s="126"/>
      <c r="B499" s="127"/>
      <c r="C499" s="135"/>
      <c r="D499" s="144"/>
      <c r="E499" s="74" t="s">
        <v>56</v>
      </c>
      <c r="F499" s="63" t="s">
        <v>56</v>
      </c>
      <c r="G499" s="129"/>
      <c r="H499" s="133"/>
      <c r="I499" s="129"/>
      <c r="J499" s="130"/>
      <c r="K499" s="130"/>
      <c r="L499" s="130"/>
      <c r="M499" s="130"/>
      <c r="N499" s="140"/>
      <c r="O499" s="150"/>
      <c r="P499" s="150"/>
      <c r="Q499" s="134"/>
      <c r="R499" s="134"/>
      <c r="S499" s="134"/>
      <c r="T499" s="134"/>
      <c r="U499" s="134"/>
      <c r="V499" s="134"/>
      <c r="W499" s="134"/>
      <c r="X499" s="134"/>
      <c r="Y499" s="134"/>
    </row>
    <row r="500">
      <c r="A500" s="126"/>
      <c r="B500" s="127"/>
      <c r="C500" s="135"/>
      <c r="D500" s="144"/>
      <c r="E500" s="74" t="s">
        <v>56</v>
      </c>
      <c r="F500" s="63" t="s">
        <v>56</v>
      </c>
      <c r="G500" s="129"/>
      <c r="H500" s="133"/>
      <c r="I500" s="129"/>
      <c r="J500" s="130"/>
      <c r="K500" s="130"/>
      <c r="L500" s="130"/>
      <c r="M500" s="130"/>
      <c r="N500" s="140"/>
      <c r="O500" s="150"/>
      <c r="P500" s="150"/>
      <c r="Q500" s="134"/>
      <c r="R500" s="134"/>
      <c r="S500" s="134"/>
      <c r="T500" s="134"/>
      <c r="U500" s="134"/>
      <c r="V500" s="134"/>
      <c r="W500" s="134"/>
      <c r="X500" s="134"/>
      <c r="Y500" s="134"/>
    </row>
    <row r="501">
      <c r="A501" s="126"/>
      <c r="B501" s="127"/>
      <c r="C501" s="135"/>
      <c r="D501" s="144"/>
      <c r="E501" s="74" t="s">
        <v>56</v>
      </c>
      <c r="F501" s="63" t="s">
        <v>56</v>
      </c>
      <c r="G501" s="129"/>
      <c r="H501" s="133"/>
      <c r="I501" s="129"/>
      <c r="J501" s="130"/>
      <c r="K501" s="130"/>
      <c r="L501" s="130"/>
      <c r="M501" s="130"/>
      <c r="N501" s="140"/>
      <c r="O501" s="150"/>
      <c r="P501" s="150"/>
      <c r="Q501" s="134"/>
      <c r="R501" s="134"/>
      <c r="S501" s="134"/>
      <c r="T501" s="134"/>
      <c r="U501" s="134"/>
      <c r="V501" s="134"/>
      <c r="W501" s="134"/>
      <c r="X501" s="134"/>
      <c r="Y501" s="134"/>
    </row>
    <row r="502">
      <c r="A502" s="126"/>
      <c r="B502" s="127"/>
      <c r="C502" s="135"/>
      <c r="D502" s="144"/>
      <c r="E502" s="74" t="s">
        <v>56</v>
      </c>
      <c r="F502" s="63" t="s">
        <v>56</v>
      </c>
      <c r="G502" s="129"/>
      <c r="H502" s="133"/>
      <c r="I502" s="129"/>
      <c r="J502" s="130"/>
      <c r="K502" s="130"/>
      <c r="L502" s="130"/>
      <c r="M502" s="130"/>
      <c r="N502" s="140"/>
      <c r="O502" s="150"/>
      <c r="P502" s="150"/>
      <c r="Q502" s="134"/>
      <c r="R502" s="134"/>
      <c r="S502" s="134"/>
      <c r="T502" s="134"/>
      <c r="U502" s="134"/>
      <c r="V502" s="134"/>
      <c r="W502" s="134"/>
      <c r="X502" s="134"/>
      <c r="Y502" s="134"/>
    </row>
    <row r="503">
      <c r="A503" s="126"/>
      <c r="B503" s="127"/>
      <c r="C503" s="135"/>
      <c r="D503" s="144"/>
      <c r="E503" s="74" t="s">
        <v>56</v>
      </c>
      <c r="F503" s="63" t="s">
        <v>56</v>
      </c>
      <c r="G503" s="129"/>
      <c r="H503" s="133"/>
      <c r="I503" s="129"/>
      <c r="J503" s="130"/>
      <c r="K503" s="130"/>
      <c r="L503" s="130"/>
      <c r="M503" s="130"/>
      <c r="N503" s="140"/>
      <c r="O503" s="150"/>
      <c r="P503" s="150"/>
      <c r="Q503" s="134"/>
      <c r="R503" s="134"/>
      <c r="S503" s="134"/>
      <c r="T503" s="134"/>
      <c r="U503" s="134"/>
      <c r="V503" s="134"/>
      <c r="W503" s="134"/>
      <c r="X503" s="134"/>
      <c r="Y503" s="134"/>
    </row>
    <row r="504">
      <c r="A504" s="126"/>
      <c r="B504" s="127"/>
      <c r="C504" s="135"/>
      <c r="D504" s="144"/>
      <c r="E504" s="74" t="s">
        <v>56</v>
      </c>
      <c r="F504" s="63" t="s">
        <v>56</v>
      </c>
      <c r="G504" s="129"/>
      <c r="H504" s="133"/>
      <c r="I504" s="129"/>
      <c r="J504" s="130"/>
      <c r="K504" s="130"/>
      <c r="L504" s="130"/>
      <c r="M504" s="130"/>
      <c r="N504" s="140"/>
      <c r="O504" s="150"/>
      <c r="P504" s="150"/>
      <c r="Q504" s="134"/>
      <c r="R504" s="134"/>
      <c r="S504" s="134"/>
      <c r="T504" s="134"/>
      <c r="U504" s="134"/>
      <c r="V504" s="134"/>
      <c r="W504" s="134"/>
      <c r="X504" s="134"/>
      <c r="Y504" s="134"/>
    </row>
    <row r="505">
      <c r="A505" s="126"/>
      <c r="B505" s="127"/>
      <c r="C505" s="135"/>
      <c r="D505" s="144"/>
      <c r="E505" s="74" t="s">
        <v>56</v>
      </c>
      <c r="F505" s="63" t="s">
        <v>56</v>
      </c>
      <c r="G505" s="129"/>
      <c r="H505" s="133"/>
      <c r="I505" s="129"/>
      <c r="J505" s="130"/>
      <c r="K505" s="130"/>
      <c r="L505" s="130"/>
      <c r="M505" s="130"/>
      <c r="N505" s="140"/>
      <c r="O505" s="150"/>
      <c r="P505" s="150"/>
      <c r="Q505" s="134"/>
      <c r="R505" s="134"/>
      <c r="S505" s="134"/>
      <c r="T505" s="134"/>
      <c r="U505" s="134"/>
      <c r="V505" s="134"/>
      <c r="W505" s="134"/>
      <c r="X505" s="134"/>
      <c r="Y505" s="134"/>
    </row>
    <row r="506">
      <c r="A506" s="126"/>
      <c r="B506" s="127"/>
      <c r="C506" s="135"/>
      <c r="D506" s="144"/>
      <c r="E506" s="74" t="s">
        <v>56</v>
      </c>
      <c r="F506" s="63" t="s">
        <v>56</v>
      </c>
      <c r="G506" s="129"/>
      <c r="H506" s="133"/>
      <c r="I506" s="129"/>
      <c r="J506" s="130"/>
      <c r="K506" s="130"/>
      <c r="L506" s="130"/>
      <c r="M506" s="130"/>
      <c r="N506" s="140"/>
      <c r="O506" s="150"/>
      <c r="P506" s="150"/>
      <c r="Q506" s="134"/>
      <c r="R506" s="134"/>
      <c r="S506" s="134"/>
      <c r="T506" s="134"/>
      <c r="U506" s="134"/>
      <c r="V506" s="134"/>
      <c r="W506" s="134"/>
      <c r="X506" s="134"/>
      <c r="Y506" s="134"/>
    </row>
    <row r="507">
      <c r="A507" s="126"/>
      <c r="B507" s="127"/>
      <c r="C507" s="135"/>
      <c r="D507" s="144"/>
      <c r="E507" s="74" t="s">
        <v>56</v>
      </c>
      <c r="F507" s="63" t="s">
        <v>56</v>
      </c>
      <c r="G507" s="129"/>
      <c r="H507" s="133"/>
      <c r="I507" s="129"/>
      <c r="J507" s="130"/>
      <c r="K507" s="130"/>
      <c r="L507" s="130"/>
      <c r="M507" s="130"/>
      <c r="N507" s="140"/>
      <c r="O507" s="150"/>
      <c r="P507" s="150"/>
      <c r="Q507" s="134"/>
      <c r="R507" s="134"/>
      <c r="S507" s="134"/>
      <c r="T507" s="134"/>
      <c r="U507" s="134"/>
      <c r="V507" s="134"/>
      <c r="W507" s="134"/>
      <c r="X507" s="134"/>
      <c r="Y507" s="134"/>
    </row>
    <row r="508">
      <c r="A508" s="126"/>
      <c r="B508" s="127"/>
      <c r="C508" s="135"/>
      <c r="D508" s="144"/>
      <c r="E508" s="74" t="s">
        <v>56</v>
      </c>
      <c r="F508" s="63" t="s">
        <v>56</v>
      </c>
      <c r="G508" s="129"/>
      <c r="H508" s="133"/>
      <c r="I508" s="129"/>
      <c r="J508" s="130"/>
      <c r="K508" s="130"/>
      <c r="L508" s="130"/>
      <c r="M508" s="130"/>
      <c r="N508" s="140"/>
      <c r="O508" s="150"/>
      <c r="P508" s="150"/>
      <c r="Q508" s="134"/>
      <c r="R508" s="134"/>
      <c r="S508" s="134"/>
      <c r="T508" s="134"/>
      <c r="U508" s="134"/>
      <c r="V508" s="134"/>
      <c r="W508" s="134"/>
      <c r="X508" s="134"/>
      <c r="Y508" s="134"/>
    </row>
    <row r="509">
      <c r="A509" s="126"/>
      <c r="B509" s="127"/>
      <c r="C509" s="135"/>
      <c r="D509" s="144"/>
      <c r="E509" s="74" t="s">
        <v>56</v>
      </c>
      <c r="F509" s="63" t="s">
        <v>56</v>
      </c>
      <c r="G509" s="129"/>
      <c r="H509" s="133"/>
      <c r="I509" s="129"/>
      <c r="J509" s="130"/>
      <c r="K509" s="130"/>
      <c r="L509" s="130"/>
      <c r="M509" s="130"/>
      <c r="N509" s="140"/>
      <c r="O509" s="150"/>
      <c r="P509" s="150"/>
      <c r="Q509" s="134"/>
      <c r="R509" s="134"/>
      <c r="S509" s="134"/>
      <c r="T509" s="134"/>
      <c r="U509" s="134"/>
      <c r="V509" s="134"/>
      <c r="W509" s="134"/>
      <c r="X509" s="134"/>
      <c r="Y509" s="134"/>
    </row>
    <row r="510">
      <c r="A510" s="126"/>
      <c r="B510" s="127"/>
      <c r="C510" s="135"/>
      <c r="D510" s="144"/>
      <c r="E510" s="74" t="s">
        <v>56</v>
      </c>
      <c r="F510" s="63" t="s">
        <v>56</v>
      </c>
      <c r="G510" s="129"/>
      <c r="H510" s="133"/>
      <c r="I510" s="129"/>
      <c r="J510" s="130"/>
      <c r="K510" s="130"/>
      <c r="L510" s="130"/>
      <c r="M510" s="130"/>
      <c r="N510" s="140"/>
      <c r="O510" s="150"/>
      <c r="P510" s="150"/>
      <c r="Q510" s="134"/>
      <c r="R510" s="134"/>
      <c r="S510" s="134"/>
      <c r="T510" s="134"/>
      <c r="U510" s="134"/>
      <c r="V510" s="134"/>
      <c r="W510" s="134"/>
      <c r="X510" s="134"/>
      <c r="Y510" s="134"/>
    </row>
    <row r="511">
      <c r="A511" s="126"/>
      <c r="B511" s="127"/>
      <c r="C511" s="135"/>
      <c r="D511" s="144"/>
      <c r="E511" s="74" t="s">
        <v>56</v>
      </c>
      <c r="F511" s="63" t="s">
        <v>56</v>
      </c>
      <c r="G511" s="129"/>
      <c r="H511" s="133"/>
      <c r="I511" s="129"/>
      <c r="J511" s="130"/>
      <c r="K511" s="130"/>
      <c r="L511" s="130"/>
      <c r="M511" s="130"/>
      <c r="N511" s="140"/>
      <c r="O511" s="150"/>
      <c r="P511" s="150"/>
      <c r="Q511" s="134"/>
      <c r="R511" s="134"/>
      <c r="S511" s="134"/>
      <c r="T511" s="134"/>
      <c r="U511" s="134"/>
      <c r="V511" s="134"/>
      <c r="W511" s="134"/>
      <c r="X511" s="134"/>
      <c r="Y511" s="134"/>
    </row>
    <row r="512">
      <c r="A512" s="126"/>
      <c r="B512" s="127"/>
      <c r="C512" s="135"/>
      <c r="D512" s="144"/>
      <c r="E512" s="74" t="s">
        <v>56</v>
      </c>
      <c r="F512" s="63" t="s">
        <v>56</v>
      </c>
      <c r="G512" s="129"/>
      <c r="H512" s="133"/>
      <c r="I512" s="129"/>
      <c r="J512" s="130"/>
      <c r="K512" s="130"/>
      <c r="L512" s="130"/>
      <c r="M512" s="130"/>
      <c r="N512" s="140"/>
      <c r="O512" s="150"/>
      <c r="P512" s="150"/>
      <c r="Q512" s="134"/>
      <c r="R512" s="134"/>
      <c r="S512" s="134"/>
      <c r="T512" s="134"/>
      <c r="U512" s="134"/>
      <c r="V512" s="134"/>
      <c r="W512" s="134"/>
      <c r="X512" s="134"/>
      <c r="Y512" s="134"/>
    </row>
    <row r="513">
      <c r="A513" s="126"/>
      <c r="B513" s="127"/>
      <c r="C513" s="135"/>
      <c r="D513" s="144"/>
      <c r="E513" s="74" t="s">
        <v>56</v>
      </c>
      <c r="F513" s="63" t="s">
        <v>56</v>
      </c>
      <c r="G513" s="129"/>
      <c r="H513" s="133"/>
      <c r="I513" s="129"/>
      <c r="J513" s="130"/>
      <c r="K513" s="130"/>
      <c r="L513" s="130"/>
      <c r="M513" s="130"/>
      <c r="N513" s="140"/>
      <c r="O513" s="150"/>
      <c r="P513" s="150"/>
      <c r="Q513" s="134"/>
      <c r="R513" s="134"/>
      <c r="S513" s="134"/>
      <c r="T513" s="134"/>
      <c r="U513" s="134"/>
      <c r="V513" s="134"/>
      <c r="W513" s="134"/>
      <c r="X513" s="134"/>
      <c r="Y513" s="134"/>
    </row>
    <row r="514">
      <c r="A514" s="126"/>
      <c r="B514" s="127"/>
      <c r="C514" s="135"/>
      <c r="D514" s="144"/>
      <c r="E514" s="74" t="s">
        <v>56</v>
      </c>
      <c r="F514" s="63" t="s">
        <v>56</v>
      </c>
      <c r="G514" s="129"/>
      <c r="H514" s="133"/>
      <c r="I514" s="129"/>
      <c r="J514" s="130"/>
      <c r="K514" s="130"/>
      <c r="L514" s="130"/>
      <c r="M514" s="130"/>
      <c r="N514" s="140"/>
      <c r="O514" s="150"/>
      <c r="P514" s="150"/>
      <c r="Q514" s="134"/>
      <c r="R514" s="134"/>
      <c r="S514" s="134"/>
      <c r="T514" s="134"/>
      <c r="U514" s="134"/>
      <c r="V514" s="134"/>
      <c r="W514" s="134"/>
      <c r="X514" s="134"/>
      <c r="Y514" s="134"/>
    </row>
    <row r="515">
      <c r="A515" s="126"/>
      <c r="B515" s="127"/>
      <c r="C515" s="135"/>
      <c r="D515" s="144"/>
      <c r="E515" s="74" t="s">
        <v>56</v>
      </c>
      <c r="F515" s="63" t="s">
        <v>56</v>
      </c>
      <c r="G515" s="129"/>
      <c r="H515" s="133"/>
      <c r="I515" s="129"/>
      <c r="J515" s="130"/>
      <c r="K515" s="130"/>
      <c r="L515" s="130"/>
      <c r="M515" s="130"/>
      <c r="N515" s="140"/>
      <c r="O515" s="150"/>
      <c r="P515" s="150"/>
      <c r="Q515" s="134"/>
      <c r="R515" s="134"/>
      <c r="S515" s="134"/>
      <c r="T515" s="134"/>
      <c r="U515" s="134"/>
      <c r="V515" s="134"/>
      <c r="W515" s="134"/>
      <c r="X515" s="134"/>
      <c r="Y515" s="134"/>
    </row>
    <row r="516">
      <c r="A516" s="126"/>
      <c r="B516" s="127"/>
      <c r="C516" s="135"/>
      <c r="D516" s="144"/>
      <c r="E516" s="74" t="s">
        <v>56</v>
      </c>
      <c r="F516" s="63" t="s">
        <v>56</v>
      </c>
      <c r="G516" s="129"/>
      <c r="H516" s="133"/>
      <c r="I516" s="129"/>
      <c r="J516" s="130"/>
      <c r="K516" s="130"/>
      <c r="L516" s="130"/>
      <c r="M516" s="130"/>
      <c r="N516" s="140"/>
      <c r="O516" s="150"/>
      <c r="P516" s="150"/>
      <c r="Q516" s="134"/>
      <c r="R516" s="134"/>
      <c r="S516" s="134"/>
      <c r="T516" s="134"/>
      <c r="U516" s="134"/>
      <c r="V516" s="134"/>
      <c r="W516" s="134"/>
      <c r="X516" s="134"/>
      <c r="Y516" s="134"/>
    </row>
    <row r="517">
      <c r="A517" s="126"/>
      <c r="B517" s="127"/>
      <c r="C517" s="135"/>
      <c r="D517" s="144"/>
      <c r="E517" s="74" t="s">
        <v>56</v>
      </c>
      <c r="F517" s="63" t="s">
        <v>56</v>
      </c>
      <c r="G517" s="129"/>
      <c r="H517" s="133"/>
      <c r="I517" s="129"/>
      <c r="J517" s="130"/>
      <c r="K517" s="130"/>
      <c r="L517" s="130"/>
      <c r="M517" s="130"/>
      <c r="N517" s="140"/>
      <c r="O517" s="150"/>
      <c r="P517" s="150"/>
      <c r="Q517" s="134"/>
      <c r="R517" s="134"/>
      <c r="S517" s="134"/>
      <c r="T517" s="134"/>
      <c r="U517" s="134"/>
      <c r="V517" s="134"/>
      <c r="W517" s="134"/>
      <c r="X517" s="134"/>
      <c r="Y517" s="134"/>
    </row>
    <row r="518">
      <c r="A518" s="126"/>
      <c r="B518" s="127"/>
      <c r="C518" s="135"/>
      <c r="D518" s="144"/>
      <c r="E518" s="74" t="s">
        <v>56</v>
      </c>
      <c r="F518" s="63" t="s">
        <v>56</v>
      </c>
      <c r="G518" s="129"/>
      <c r="H518" s="133"/>
      <c r="I518" s="129"/>
      <c r="J518" s="130"/>
      <c r="K518" s="130"/>
      <c r="L518" s="130"/>
      <c r="M518" s="130"/>
      <c r="N518" s="140"/>
      <c r="O518" s="150"/>
      <c r="P518" s="150"/>
      <c r="Q518" s="134"/>
      <c r="R518" s="134"/>
      <c r="S518" s="134"/>
      <c r="T518" s="134"/>
      <c r="U518" s="134"/>
      <c r="V518" s="134"/>
      <c r="W518" s="134"/>
      <c r="X518" s="134"/>
      <c r="Y518" s="134"/>
    </row>
    <row r="519">
      <c r="A519" s="126"/>
      <c r="B519" s="127"/>
      <c r="C519" s="135"/>
      <c r="D519" s="144"/>
      <c r="E519" s="74" t="s">
        <v>56</v>
      </c>
      <c r="F519" s="63" t="s">
        <v>56</v>
      </c>
      <c r="G519" s="129"/>
      <c r="H519" s="133"/>
      <c r="I519" s="129"/>
      <c r="J519" s="130"/>
      <c r="K519" s="130"/>
      <c r="L519" s="130"/>
      <c r="M519" s="130"/>
      <c r="N519" s="140"/>
      <c r="O519" s="150"/>
      <c r="P519" s="150"/>
      <c r="Q519" s="134"/>
      <c r="R519" s="134"/>
      <c r="S519" s="134"/>
      <c r="T519" s="134"/>
      <c r="U519" s="134"/>
      <c r="V519" s="134"/>
      <c r="W519" s="134"/>
      <c r="X519" s="134"/>
      <c r="Y519" s="134"/>
    </row>
    <row r="520">
      <c r="A520" s="126"/>
      <c r="B520" s="127"/>
      <c r="C520" s="135"/>
      <c r="D520" s="144"/>
      <c r="E520" s="74" t="s">
        <v>56</v>
      </c>
      <c r="F520" s="63" t="s">
        <v>56</v>
      </c>
      <c r="G520" s="129"/>
      <c r="H520" s="133"/>
      <c r="I520" s="129"/>
      <c r="J520" s="130"/>
      <c r="K520" s="130"/>
      <c r="L520" s="130"/>
      <c r="M520" s="130"/>
      <c r="N520" s="140"/>
      <c r="O520" s="150"/>
      <c r="P520" s="150"/>
      <c r="Q520" s="134"/>
      <c r="R520" s="134"/>
      <c r="S520" s="134"/>
      <c r="T520" s="134"/>
      <c r="U520" s="134"/>
      <c r="V520" s="134"/>
      <c r="W520" s="134"/>
      <c r="X520" s="134"/>
      <c r="Y520" s="134"/>
    </row>
    <row r="521">
      <c r="A521" s="126"/>
      <c r="B521" s="127"/>
      <c r="C521" s="135"/>
      <c r="D521" s="144"/>
      <c r="E521" s="74" t="s">
        <v>56</v>
      </c>
      <c r="F521" s="63" t="s">
        <v>56</v>
      </c>
      <c r="G521" s="129"/>
      <c r="H521" s="133"/>
      <c r="I521" s="129"/>
      <c r="J521" s="130"/>
      <c r="K521" s="130"/>
      <c r="L521" s="130"/>
      <c r="M521" s="130"/>
      <c r="N521" s="140"/>
      <c r="O521" s="150"/>
      <c r="P521" s="150"/>
      <c r="Q521" s="134"/>
      <c r="R521" s="134"/>
      <c r="S521" s="134"/>
      <c r="T521" s="134"/>
      <c r="U521" s="134"/>
      <c r="V521" s="134"/>
      <c r="W521" s="134"/>
      <c r="X521" s="134"/>
      <c r="Y521" s="134"/>
    </row>
    <row r="522">
      <c r="A522" s="126"/>
      <c r="B522" s="127"/>
      <c r="C522" s="135"/>
      <c r="D522" s="144"/>
      <c r="E522" s="74" t="s">
        <v>56</v>
      </c>
      <c r="F522" s="63" t="s">
        <v>56</v>
      </c>
      <c r="G522" s="129"/>
      <c r="H522" s="133"/>
      <c r="I522" s="129"/>
      <c r="J522" s="130"/>
      <c r="K522" s="130"/>
      <c r="L522" s="130"/>
      <c r="M522" s="130"/>
      <c r="N522" s="140"/>
      <c r="O522" s="150"/>
      <c r="P522" s="150"/>
      <c r="Q522" s="134"/>
      <c r="R522" s="134"/>
      <c r="S522" s="134"/>
      <c r="T522" s="134"/>
      <c r="U522" s="134"/>
      <c r="V522" s="134"/>
      <c r="W522" s="134"/>
      <c r="X522" s="134"/>
      <c r="Y522" s="134"/>
    </row>
    <row r="523">
      <c r="A523" s="126"/>
      <c r="B523" s="127"/>
      <c r="C523" s="135"/>
      <c r="D523" s="144"/>
      <c r="E523" s="74" t="s">
        <v>56</v>
      </c>
      <c r="F523" s="63" t="s">
        <v>56</v>
      </c>
      <c r="G523" s="129"/>
      <c r="H523" s="133"/>
      <c r="I523" s="129"/>
      <c r="J523" s="130"/>
      <c r="K523" s="130"/>
      <c r="L523" s="130"/>
      <c r="M523" s="130"/>
      <c r="N523" s="140"/>
      <c r="O523" s="150"/>
      <c r="P523" s="150"/>
      <c r="Q523" s="134"/>
      <c r="R523" s="134"/>
      <c r="S523" s="134"/>
      <c r="T523" s="134"/>
      <c r="U523" s="134"/>
      <c r="V523" s="134"/>
      <c r="W523" s="134"/>
      <c r="X523" s="134"/>
      <c r="Y523" s="134"/>
    </row>
    <row r="524">
      <c r="A524" s="126"/>
      <c r="B524" s="127"/>
      <c r="C524" s="135"/>
      <c r="D524" s="144"/>
      <c r="E524" s="74" t="s">
        <v>56</v>
      </c>
      <c r="F524" s="63" t="s">
        <v>56</v>
      </c>
      <c r="G524" s="129"/>
      <c r="H524" s="133"/>
      <c r="I524" s="129"/>
      <c r="J524" s="130"/>
      <c r="K524" s="130"/>
      <c r="L524" s="130"/>
      <c r="M524" s="130"/>
      <c r="N524" s="140"/>
      <c r="O524" s="150"/>
      <c r="P524" s="150"/>
      <c r="Q524" s="134"/>
      <c r="R524" s="134"/>
      <c r="S524" s="134"/>
      <c r="T524" s="134"/>
      <c r="U524" s="134"/>
      <c r="V524" s="134"/>
      <c r="W524" s="134"/>
      <c r="X524" s="134"/>
      <c r="Y524" s="134"/>
    </row>
    <row r="525">
      <c r="A525" s="126"/>
      <c r="B525" s="127"/>
      <c r="C525" s="135"/>
      <c r="D525" s="144"/>
      <c r="E525" s="74" t="s">
        <v>56</v>
      </c>
      <c r="F525" s="63" t="s">
        <v>56</v>
      </c>
      <c r="G525" s="129"/>
      <c r="H525" s="133"/>
      <c r="I525" s="129"/>
      <c r="J525" s="130"/>
      <c r="K525" s="130"/>
      <c r="L525" s="130"/>
      <c r="M525" s="130"/>
      <c r="N525" s="140"/>
      <c r="O525" s="150"/>
      <c r="P525" s="150"/>
      <c r="Q525" s="134"/>
      <c r="R525" s="134"/>
      <c r="S525" s="134"/>
      <c r="T525" s="134"/>
      <c r="U525" s="134"/>
      <c r="V525" s="134"/>
      <c r="W525" s="134"/>
      <c r="X525" s="134"/>
      <c r="Y525" s="134"/>
    </row>
    <row r="526">
      <c r="A526" s="126"/>
      <c r="B526" s="127"/>
      <c r="C526" s="135"/>
      <c r="D526" s="144"/>
      <c r="E526" s="74" t="s">
        <v>56</v>
      </c>
      <c r="F526" s="63" t="s">
        <v>56</v>
      </c>
      <c r="G526" s="129"/>
      <c r="H526" s="133"/>
      <c r="I526" s="129"/>
      <c r="J526" s="130"/>
      <c r="K526" s="130"/>
      <c r="L526" s="130"/>
      <c r="M526" s="130"/>
      <c r="N526" s="140"/>
      <c r="O526" s="150"/>
      <c r="P526" s="150"/>
      <c r="Q526" s="134"/>
      <c r="R526" s="134"/>
      <c r="S526" s="134"/>
      <c r="T526" s="134"/>
      <c r="U526" s="134"/>
      <c r="V526" s="134"/>
      <c r="W526" s="134"/>
      <c r="X526" s="134"/>
      <c r="Y526" s="134"/>
    </row>
    <row r="527">
      <c r="A527" s="126"/>
      <c r="B527" s="127"/>
      <c r="C527" s="135"/>
      <c r="D527" s="144"/>
      <c r="E527" s="74" t="s">
        <v>56</v>
      </c>
      <c r="F527" s="63" t="s">
        <v>56</v>
      </c>
      <c r="G527" s="129"/>
      <c r="H527" s="133"/>
      <c r="I527" s="129"/>
      <c r="J527" s="130"/>
      <c r="K527" s="130"/>
      <c r="L527" s="130"/>
      <c r="M527" s="130"/>
      <c r="N527" s="140"/>
      <c r="O527" s="150"/>
      <c r="P527" s="150"/>
      <c r="Q527" s="134"/>
      <c r="R527" s="134"/>
      <c r="S527" s="134"/>
      <c r="T527" s="134"/>
      <c r="U527" s="134"/>
      <c r="V527" s="134"/>
      <c r="W527" s="134"/>
      <c r="X527" s="134"/>
      <c r="Y527" s="134"/>
    </row>
    <row r="528">
      <c r="A528" s="126"/>
      <c r="B528" s="127"/>
      <c r="C528" s="135"/>
      <c r="D528" s="144"/>
      <c r="E528" s="74" t="s">
        <v>56</v>
      </c>
      <c r="F528" s="63" t="s">
        <v>56</v>
      </c>
      <c r="G528" s="129"/>
      <c r="H528" s="133"/>
      <c r="I528" s="129"/>
      <c r="J528" s="130"/>
      <c r="K528" s="130"/>
      <c r="L528" s="130"/>
      <c r="M528" s="130"/>
      <c r="N528" s="140"/>
      <c r="O528" s="150"/>
      <c r="P528" s="150"/>
      <c r="Q528" s="134"/>
      <c r="R528" s="134"/>
      <c r="S528" s="134"/>
      <c r="T528" s="134"/>
      <c r="U528" s="134"/>
      <c r="V528" s="134"/>
      <c r="W528" s="134"/>
      <c r="X528" s="134"/>
      <c r="Y528" s="134"/>
    </row>
    <row r="529">
      <c r="A529" s="126"/>
      <c r="B529" s="127"/>
      <c r="C529" s="135"/>
      <c r="D529" s="144"/>
      <c r="E529" s="74" t="s">
        <v>56</v>
      </c>
      <c r="F529" s="63" t="s">
        <v>56</v>
      </c>
      <c r="G529" s="129"/>
      <c r="H529" s="133"/>
      <c r="I529" s="129"/>
      <c r="J529" s="130"/>
      <c r="K529" s="130"/>
      <c r="L529" s="130"/>
      <c r="M529" s="130"/>
      <c r="N529" s="140"/>
      <c r="O529" s="150"/>
      <c r="P529" s="150"/>
      <c r="Q529" s="134"/>
      <c r="R529" s="134"/>
      <c r="S529" s="134"/>
      <c r="T529" s="134"/>
      <c r="U529" s="134"/>
      <c r="V529" s="134"/>
      <c r="W529" s="134"/>
      <c r="X529" s="134"/>
      <c r="Y529" s="134"/>
    </row>
    <row r="530">
      <c r="A530" s="126"/>
      <c r="B530" s="127"/>
      <c r="C530" s="135"/>
      <c r="D530" s="144"/>
      <c r="E530" s="74" t="s">
        <v>56</v>
      </c>
      <c r="F530" s="63" t="s">
        <v>56</v>
      </c>
      <c r="G530" s="129"/>
      <c r="H530" s="133"/>
      <c r="I530" s="129"/>
      <c r="J530" s="130"/>
      <c r="K530" s="130"/>
      <c r="L530" s="130"/>
      <c r="M530" s="130"/>
      <c r="N530" s="140"/>
      <c r="O530" s="150"/>
      <c r="P530" s="150"/>
      <c r="Q530" s="134"/>
      <c r="R530" s="134"/>
      <c r="S530" s="134"/>
      <c r="T530" s="134"/>
      <c r="U530" s="134"/>
      <c r="V530" s="134"/>
      <c r="W530" s="134"/>
      <c r="X530" s="134"/>
      <c r="Y530" s="134"/>
    </row>
    <row r="531">
      <c r="A531" s="126"/>
      <c r="B531" s="127"/>
      <c r="C531" s="135"/>
      <c r="D531" s="144"/>
      <c r="E531" s="74" t="s">
        <v>56</v>
      </c>
      <c r="F531" s="63" t="s">
        <v>56</v>
      </c>
      <c r="G531" s="129"/>
      <c r="H531" s="133"/>
      <c r="I531" s="129"/>
      <c r="J531" s="130"/>
      <c r="K531" s="130"/>
      <c r="L531" s="130"/>
      <c r="M531" s="130"/>
      <c r="N531" s="140"/>
      <c r="O531" s="150"/>
      <c r="P531" s="150"/>
      <c r="Q531" s="134"/>
      <c r="R531" s="134"/>
      <c r="S531" s="134"/>
      <c r="T531" s="134"/>
      <c r="U531" s="134"/>
      <c r="V531" s="134"/>
      <c r="W531" s="134"/>
      <c r="X531" s="134"/>
      <c r="Y531" s="134"/>
    </row>
    <row r="532">
      <c r="A532" s="126"/>
      <c r="B532" s="127"/>
      <c r="C532" s="135"/>
      <c r="D532" s="144"/>
      <c r="E532" s="74" t="s">
        <v>56</v>
      </c>
      <c r="F532" s="63" t="s">
        <v>56</v>
      </c>
      <c r="G532" s="129"/>
      <c r="H532" s="133"/>
      <c r="I532" s="129"/>
      <c r="J532" s="130"/>
      <c r="K532" s="130"/>
      <c r="L532" s="130"/>
      <c r="M532" s="130"/>
      <c r="N532" s="140"/>
      <c r="O532" s="150"/>
      <c r="P532" s="150"/>
      <c r="Q532" s="134"/>
      <c r="R532" s="134"/>
      <c r="S532" s="134"/>
      <c r="T532" s="134"/>
      <c r="U532" s="134"/>
      <c r="V532" s="134"/>
      <c r="W532" s="134"/>
      <c r="X532" s="134"/>
      <c r="Y532" s="134"/>
    </row>
    <row r="533">
      <c r="A533" s="126"/>
      <c r="B533" s="127"/>
      <c r="C533" s="135"/>
      <c r="D533" s="144"/>
      <c r="E533" s="74" t="s">
        <v>56</v>
      </c>
      <c r="F533" s="63" t="s">
        <v>56</v>
      </c>
      <c r="G533" s="129"/>
      <c r="H533" s="133"/>
      <c r="I533" s="129"/>
      <c r="J533" s="130"/>
      <c r="K533" s="130"/>
      <c r="L533" s="130"/>
      <c r="M533" s="130"/>
      <c r="N533" s="140"/>
      <c r="O533" s="150"/>
      <c r="P533" s="150"/>
      <c r="Q533" s="134"/>
      <c r="R533" s="134"/>
      <c r="S533" s="134"/>
      <c r="T533" s="134"/>
      <c r="U533" s="134"/>
      <c r="V533" s="134"/>
      <c r="W533" s="134"/>
      <c r="X533" s="134"/>
      <c r="Y533" s="134"/>
    </row>
    <row r="534">
      <c r="A534" s="126"/>
      <c r="B534" s="127"/>
      <c r="C534" s="135"/>
      <c r="D534" s="144"/>
      <c r="E534" s="74" t="s">
        <v>56</v>
      </c>
      <c r="F534" s="63" t="s">
        <v>56</v>
      </c>
      <c r="G534" s="129"/>
      <c r="H534" s="133"/>
      <c r="I534" s="129"/>
      <c r="J534" s="130"/>
      <c r="K534" s="130"/>
      <c r="L534" s="130"/>
      <c r="M534" s="130"/>
      <c r="N534" s="140"/>
      <c r="O534" s="150"/>
      <c r="P534" s="150"/>
      <c r="Q534" s="134"/>
      <c r="R534" s="134"/>
      <c r="S534" s="134"/>
      <c r="T534" s="134"/>
      <c r="U534" s="134"/>
      <c r="V534" s="134"/>
      <c r="W534" s="134"/>
      <c r="X534" s="134"/>
      <c r="Y534" s="134"/>
    </row>
    <row r="535">
      <c r="A535" s="126"/>
      <c r="B535" s="127"/>
      <c r="C535" s="135"/>
      <c r="D535" s="144"/>
      <c r="E535" s="74" t="s">
        <v>56</v>
      </c>
      <c r="F535" s="63" t="s">
        <v>56</v>
      </c>
      <c r="G535" s="129"/>
      <c r="H535" s="133"/>
      <c r="I535" s="129"/>
      <c r="J535" s="130"/>
      <c r="K535" s="130"/>
      <c r="L535" s="130"/>
      <c r="M535" s="130"/>
      <c r="N535" s="140"/>
      <c r="O535" s="150"/>
      <c r="P535" s="150"/>
      <c r="Q535" s="134"/>
      <c r="R535" s="134"/>
      <c r="S535" s="134"/>
      <c r="T535" s="134"/>
      <c r="U535" s="134"/>
      <c r="V535" s="134"/>
      <c r="W535" s="134"/>
      <c r="X535" s="134"/>
      <c r="Y535" s="134"/>
    </row>
    <row r="536">
      <c r="A536" s="126"/>
      <c r="B536" s="127"/>
      <c r="C536" s="135"/>
      <c r="D536" s="144"/>
      <c r="E536" s="74" t="s">
        <v>56</v>
      </c>
      <c r="F536" s="63" t="s">
        <v>56</v>
      </c>
      <c r="G536" s="129"/>
      <c r="H536" s="133"/>
      <c r="I536" s="129"/>
      <c r="J536" s="130"/>
      <c r="K536" s="130"/>
      <c r="L536" s="130"/>
      <c r="M536" s="130"/>
      <c r="N536" s="140"/>
      <c r="O536" s="150"/>
      <c r="P536" s="150"/>
      <c r="Q536" s="134"/>
      <c r="R536" s="134"/>
      <c r="S536" s="134"/>
      <c r="T536" s="134"/>
      <c r="U536" s="134"/>
      <c r="V536" s="134"/>
      <c r="W536" s="134"/>
      <c r="X536" s="134"/>
      <c r="Y536" s="134"/>
    </row>
    <row r="537">
      <c r="A537" s="126"/>
      <c r="B537" s="127"/>
      <c r="C537" s="135"/>
      <c r="D537" s="144"/>
      <c r="E537" s="74" t="s">
        <v>56</v>
      </c>
      <c r="F537" s="63" t="s">
        <v>56</v>
      </c>
      <c r="G537" s="129"/>
      <c r="H537" s="133"/>
      <c r="I537" s="129"/>
      <c r="J537" s="130"/>
      <c r="K537" s="130"/>
      <c r="L537" s="130"/>
      <c r="M537" s="130"/>
      <c r="N537" s="140"/>
      <c r="O537" s="150"/>
      <c r="P537" s="150"/>
      <c r="Q537" s="134"/>
      <c r="R537" s="134"/>
      <c r="S537" s="134"/>
      <c r="T537" s="134"/>
      <c r="U537" s="134"/>
      <c r="V537" s="134"/>
      <c r="W537" s="134"/>
      <c r="X537" s="134"/>
      <c r="Y537" s="134"/>
    </row>
    <row r="538">
      <c r="A538" s="126"/>
      <c r="B538" s="127"/>
      <c r="C538" s="135"/>
      <c r="D538" s="144"/>
      <c r="E538" s="74" t="s">
        <v>56</v>
      </c>
      <c r="F538" s="63" t="s">
        <v>56</v>
      </c>
      <c r="G538" s="129"/>
      <c r="H538" s="133"/>
      <c r="I538" s="129"/>
      <c r="J538" s="130"/>
      <c r="K538" s="130"/>
      <c r="L538" s="130"/>
      <c r="M538" s="130"/>
      <c r="N538" s="140"/>
      <c r="O538" s="150"/>
      <c r="P538" s="150"/>
      <c r="Q538" s="134"/>
      <c r="R538" s="134"/>
      <c r="S538" s="134"/>
      <c r="T538" s="134"/>
      <c r="U538" s="134"/>
      <c r="V538" s="134"/>
      <c r="W538" s="134"/>
      <c r="X538" s="134"/>
      <c r="Y538" s="134"/>
    </row>
    <row r="539">
      <c r="A539" s="126"/>
      <c r="B539" s="127"/>
      <c r="C539" s="135"/>
      <c r="D539" s="144"/>
      <c r="E539" s="74" t="s">
        <v>56</v>
      </c>
      <c r="F539" s="63" t="s">
        <v>56</v>
      </c>
      <c r="G539" s="129"/>
      <c r="H539" s="133"/>
      <c r="I539" s="129"/>
      <c r="J539" s="130"/>
      <c r="K539" s="130"/>
      <c r="L539" s="130"/>
      <c r="M539" s="130"/>
      <c r="N539" s="140"/>
      <c r="O539" s="150"/>
      <c r="P539" s="150"/>
      <c r="Q539" s="134"/>
      <c r="R539" s="134"/>
      <c r="S539" s="134"/>
      <c r="T539" s="134"/>
      <c r="U539" s="134"/>
      <c r="V539" s="134"/>
      <c r="W539" s="134"/>
      <c r="X539" s="134"/>
      <c r="Y539" s="134"/>
    </row>
    <row r="540">
      <c r="A540" s="126"/>
      <c r="B540" s="127"/>
      <c r="C540" s="135"/>
      <c r="D540" s="144"/>
      <c r="E540" s="74" t="s">
        <v>56</v>
      </c>
      <c r="F540" s="63" t="s">
        <v>56</v>
      </c>
      <c r="G540" s="129"/>
      <c r="H540" s="133"/>
      <c r="I540" s="129"/>
      <c r="J540" s="130"/>
      <c r="K540" s="130"/>
      <c r="L540" s="130"/>
      <c r="M540" s="130"/>
      <c r="N540" s="140"/>
      <c r="O540" s="150"/>
      <c r="P540" s="150"/>
      <c r="Q540" s="134"/>
      <c r="R540" s="134"/>
      <c r="S540" s="134"/>
      <c r="T540" s="134"/>
      <c r="U540" s="134"/>
      <c r="V540" s="134"/>
      <c r="W540" s="134"/>
      <c r="X540" s="134"/>
      <c r="Y540" s="134"/>
    </row>
    <row r="541">
      <c r="A541" s="126"/>
      <c r="B541" s="127"/>
      <c r="C541" s="135"/>
      <c r="D541" s="144"/>
      <c r="E541" s="74" t="s">
        <v>56</v>
      </c>
      <c r="F541" s="63" t="s">
        <v>56</v>
      </c>
      <c r="G541" s="129"/>
      <c r="H541" s="133"/>
      <c r="I541" s="129"/>
      <c r="J541" s="130"/>
      <c r="K541" s="130"/>
      <c r="L541" s="130"/>
      <c r="M541" s="130"/>
      <c r="N541" s="140"/>
      <c r="O541" s="150"/>
      <c r="P541" s="150"/>
      <c r="Q541" s="134"/>
      <c r="R541" s="134"/>
      <c r="S541" s="134"/>
      <c r="T541" s="134"/>
      <c r="U541" s="134"/>
      <c r="V541" s="134"/>
      <c r="W541" s="134"/>
      <c r="X541" s="134"/>
      <c r="Y541" s="134"/>
    </row>
    <row r="542">
      <c r="A542" s="126"/>
      <c r="B542" s="127"/>
      <c r="C542" s="135"/>
      <c r="D542" s="144"/>
      <c r="E542" s="74" t="s">
        <v>56</v>
      </c>
      <c r="F542" s="63" t="s">
        <v>56</v>
      </c>
      <c r="G542" s="129"/>
      <c r="H542" s="133"/>
      <c r="I542" s="129"/>
      <c r="J542" s="130"/>
      <c r="K542" s="130"/>
      <c r="L542" s="130"/>
      <c r="M542" s="130"/>
      <c r="N542" s="140"/>
      <c r="O542" s="150"/>
      <c r="P542" s="150"/>
      <c r="Q542" s="134"/>
      <c r="R542" s="134"/>
      <c r="S542" s="134"/>
      <c r="T542" s="134"/>
      <c r="U542" s="134"/>
      <c r="V542" s="134"/>
      <c r="W542" s="134"/>
      <c r="X542" s="134"/>
      <c r="Y542" s="134"/>
    </row>
    <row r="543">
      <c r="A543" s="126"/>
      <c r="B543" s="127"/>
      <c r="C543" s="135"/>
      <c r="D543" s="144"/>
      <c r="E543" s="74" t="s">
        <v>56</v>
      </c>
      <c r="F543" s="63" t="s">
        <v>56</v>
      </c>
      <c r="G543" s="129"/>
      <c r="H543" s="133"/>
      <c r="I543" s="129"/>
      <c r="J543" s="130"/>
      <c r="K543" s="130"/>
      <c r="L543" s="130"/>
      <c r="M543" s="130"/>
      <c r="N543" s="140"/>
      <c r="O543" s="150"/>
      <c r="P543" s="150"/>
      <c r="Q543" s="134"/>
      <c r="R543" s="134"/>
      <c r="S543" s="134"/>
      <c r="T543" s="134"/>
      <c r="U543" s="134"/>
      <c r="V543" s="134"/>
      <c r="W543" s="134"/>
      <c r="X543" s="134"/>
      <c r="Y543" s="134"/>
    </row>
    <row r="544">
      <c r="A544" s="126"/>
      <c r="B544" s="127"/>
      <c r="C544" s="135"/>
      <c r="D544" s="144"/>
      <c r="E544" s="74" t="s">
        <v>56</v>
      </c>
      <c r="F544" s="63" t="s">
        <v>56</v>
      </c>
      <c r="G544" s="129"/>
      <c r="H544" s="133"/>
      <c r="I544" s="129"/>
      <c r="J544" s="130"/>
      <c r="K544" s="130"/>
      <c r="L544" s="130"/>
      <c r="M544" s="130"/>
      <c r="N544" s="140"/>
      <c r="O544" s="150"/>
      <c r="P544" s="150"/>
      <c r="Q544" s="134"/>
      <c r="R544" s="134"/>
      <c r="S544" s="134"/>
      <c r="T544" s="134"/>
      <c r="U544" s="134"/>
      <c r="V544" s="134"/>
      <c r="W544" s="134"/>
      <c r="X544" s="134"/>
      <c r="Y544" s="134"/>
    </row>
    <row r="545">
      <c r="A545" s="126"/>
      <c r="B545" s="127"/>
      <c r="C545" s="135"/>
      <c r="D545" s="144"/>
      <c r="E545" s="74" t="s">
        <v>56</v>
      </c>
      <c r="F545" s="63" t="s">
        <v>56</v>
      </c>
      <c r="G545" s="129"/>
      <c r="H545" s="133"/>
      <c r="I545" s="129"/>
      <c r="J545" s="130"/>
      <c r="K545" s="130"/>
      <c r="L545" s="130"/>
      <c r="M545" s="130"/>
      <c r="N545" s="140"/>
      <c r="O545" s="150"/>
      <c r="P545" s="150"/>
      <c r="Q545" s="134"/>
      <c r="R545" s="134"/>
      <c r="S545" s="134"/>
      <c r="T545" s="134"/>
      <c r="U545" s="134"/>
      <c r="V545" s="134"/>
      <c r="W545" s="134"/>
      <c r="X545" s="134"/>
      <c r="Y545" s="134"/>
    </row>
    <row r="546">
      <c r="A546" s="126"/>
      <c r="B546" s="127"/>
      <c r="C546" s="135"/>
      <c r="D546" s="144"/>
      <c r="E546" s="74" t="s">
        <v>56</v>
      </c>
      <c r="F546" s="63" t="s">
        <v>56</v>
      </c>
      <c r="G546" s="129"/>
      <c r="H546" s="133"/>
      <c r="I546" s="129"/>
      <c r="J546" s="130"/>
      <c r="K546" s="130"/>
      <c r="L546" s="130"/>
      <c r="M546" s="130"/>
      <c r="N546" s="140"/>
      <c r="O546" s="150"/>
      <c r="P546" s="150"/>
      <c r="Q546" s="134"/>
      <c r="R546" s="134"/>
      <c r="S546" s="134"/>
      <c r="T546" s="134"/>
      <c r="U546" s="134"/>
      <c r="V546" s="134"/>
      <c r="W546" s="134"/>
      <c r="X546" s="134"/>
      <c r="Y546" s="134"/>
    </row>
    <row r="547">
      <c r="A547" s="126"/>
      <c r="B547" s="127"/>
      <c r="C547" s="135"/>
      <c r="D547" s="144"/>
      <c r="E547" s="74" t="s">
        <v>56</v>
      </c>
      <c r="F547" s="63" t="s">
        <v>56</v>
      </c>
      <c r="G547" s="129"/>
      <c r="H547" s="133"/>
      <c r="I547" s="129"/>
      <c r="J547" s="130"/>
      <c r="K547" s="130"/>
      <c r="L547" s="130"/>
      <c r="M547" s="130"/>
      <c r="N547" s="140"/>
      <c r="O547" s="150"/>
      <c r="P547" s="150"/>
      <c r="Q547" s="134"/>
      <c r="R547" s="134"/>
      <c r="S547" s="134"/>
      <c r="T547" s="134"/>
      <c r="U547" s="134"/>
      <c r="V547" s="134"/>
      <c r="W547" s="134"/>
      <c r="X547" s="134"/>
      <c r="Y547" s="134"/>
    </row>
    <row r="548">
      <c r="A548" s="126"/>
      <c r="B548" s="127"/>
      <c r="C548" s="135"/>
      <c r="D548" s="144"/>
      <c r="E548" s="74" t="s">
        <v>56</v>
      </c>
      <c r="F548" s="63" t="s">
        <v>56</v>
      </c>
      <c r="G548" s="129"/>
      <c r="H548" s="133"/>
      <c r="I548" s="129"/>
      <c r="J548" s="130"/>
      <c r="K548" s="130"/>
      <c r="L548" s="130"/>
      <c r="M548" s="130"/>
      <c r="N548" s="140"/>
      <c r="O548" s="150"/>
      <c r="P548" s="150"/>
      <c r="Q548" s="134"/>
      <c r="R548" s="134"/>
      <c r="S548" s="134"/>
      <c r="T548" s="134"/>
      <c r="U548" s="134"/>
      <c r="V548" s="134"/>
      <c r="W548" s="134"/>
      <c r="X548" s="134"/>
      <c r="Y548" s="134"/>
    </row>
    <row r="549">
      <c r="A549" s="126"/>
      <c r="B549" s="127"/>
      <c r="C549" s="135"/>
      <c r="D549" s="144"/>
      <c r="E549" s="74" t="s">
        <v>56</v>
      </c>
      <c r="F549" s="63" t="s">
        <v>56</v>
      </c>
      <c r="G549" s="129"/>
      <c r="H549" s="133"/>
      <c r="I549" s="129"/>
      <c r="J549" s="130"/>
      <c r="K549" s="130"/>
      <c r="L549" s="130"/>
      <c r="M549" s="130"/>
      <c r="N549" s="140"/>
      <c r="O549" s="150"/>
      <c r="P549" s="150"/>
      <c r="Q549" s="134"/>
      <c r="R549" s="134"/>
      <c r="S549" s="134"/>
      <c r="T549" s="134"/>
      <c r="U549" s="134"/>
      <c r="V549" s="134"/>
      <c r="W549" s="134"/>
      <c r="X549" s="134"/>
      <c r="Y549" s="134"/>
    </row>
    <row r="550">
      <c r="A550" s="126"/>
      <c r="B550" s="127"/>
      <c r="C550" s="135"/>
      <c r="D550" s="144"/>
      <c r="E550" s="74" t="s">
        <v>56</v>
      </c>
      <c r="F550" s="63" t="s">
        <v>56</v>
      </c>
      <c r="G550" s="129"/>
      <c r="H550" s="133"/>
      <c r="I550" s="129"/>
      <c r="J550" s="130"/>
      <c r="K550" s="130"/>
      <c r="L550" s="130"/>
      <c r="M550" s="130"/>
      <c r="N550" s="140"/>
      <c r="O550" s="150"/>
      <c r="P550" s="150"/>
      <c r="Q550" s="134"/>
      <c r="R550" s="134"/>
      <c r="S550" s="134"/>
      <c r="T550" s="134"/>
      <c r="U550" s="134"/>
      <c r="V550" s="134"/>
      <c r="W550" s="134"/>
      <c r="X550" s="134"/>
      <c r="Y550" s="134"/>
    </row>
    <row r="551">
      <c r="A551" s="126"/>
      <c r="B551" s="127"/>
      <c r="C551" s="135"/>
      <c r="D551" s="144"/>
      <c r="E551" s="74" t="s">
        <v>56</v>
      </c>
      <c r="F551" s="63" t="s">
        <v>56</v>
      </c>
      <c r="G551" s="129"/>
      <c r="H551" s="133"/>
      <c r="I551" s="129"/>
      <c r="J551" s="130"/>
      <c r="K551" s="130"/>
      <c r="L551" s="130"/>
      <c r="M551" s="130"/>
      <c r="N551" s="140"/>
      <c r="O551" s="150"/>
      <c r="P551" s="150"/>
      <c r="Q551" s="134"/>
      <c r="R551" s="134"/>
      <c r="S551" s="134"/>
      <c r="T551" s="134"/>
      <c r="U551" s="134"/>
      <c r="V551" s="134"/>
      <c r="W551" s="134"/>
      <c r="X551" s="134"/>
      <c r="Y551" s="134"/>
    </row>
    <row r="552">
      <c r="A552" s="126"/>
      <c r="B552" s="127"/>
      <c r="C552" s="135"/>
      <c r="D552" s="144"/>
      <c r="E552" s="74" t="s">
        <v>56</v>
      </c>
      <c r="F552" s="63" t="s">
        <v>56</v>
      </c>
      <c r="G552" s="129"/>
      <c r="H552" s="133"/>
      <c r="I552" s="129"/>
      <c r="J552" s="130"/>
      <c r="K552" s="130"/>
      <c r="L552" s="130"/>
      <c r="M552" s="130"/>
      <c r="N552" s="140"/>
      <c r="O552" s="150"/>
      <c r="P552" s="150"/>
      <c r="Q552" s="134"/>
      <c r="R552" s="134"/>
      <c r="S552" s="134"/>
      <c r="T552" s="134"/>
      <c r="U552" s="134"/>
      <c r="V552" s="134"/>
      <c r="W552" s="134"/>
      <c r="X552" s="134"/>
      <c r="Y552" s="134"/>
    </row>
    <row r="553">
      <c r="A553" s="126"/>
      <c r="B553" s="127"/>
      <c r="C553" s="135"/>
      <c r="D553" s="144"/>
      <c r="E553" s="74" t="s">
        <v>56</v>
      </c>
      <c r="F553" s="63" t="s">
        <v>56</v>
      </c>
      <c r="G553" s="129"/>
      <c r="H553" s="133"/>
      <c r="I553" s="129"/>
      <c r="J553" s="130"/>
      <c r="K553" s="130"/>
      <c r="L553" s="130"/>
      <c r="M553" s="130"/>
      <c r="N553" s="140"/>
      <c r="O553" s="150"/>
      <c r="P553" s="150"/>
      <c r="Q553" s="134"/>
      <c r="R553" s="134"/>
      <c r="S553" s="134"/>
      <c r="T553" s="134"/>
      <c r="U553" s="134"/>
      <c r="V553" s="134"/>
      <c r="W553" s="134"/>
      <c r="X553" s="134"/>
      <c r="Y553" s="134"/>
    </row>
    <row r="554">
      <c r="A554" s="126"/>
      <c r="B554" s="127"/>
      <c r="C554" s="135"/>
      <c r="D554" s="144"/>
      <c r="E554" s="74" t="s">
        <v>56</v>
      </c>
      <c r="F554" s="63" t="s">
        <v>56</v>
      </c>
      <c r="G554" s="129"/>
      <c r="H554" s="133"/>
      <c r="I554" s="129"/>
      <c r="J554" s="130"/>
      <c r="K554" s="130"/>
      <c r="L554" s="130"/>
      <c r="M554" s="130"/>
      <c r="N554" s="140"/>
      <c r="O554" s="150"/>
      <c r="P554" s="150"/>
      <c r="Q554" s="134"/>
      <c r="R554" s="134"/>
      <c r="S554" s="134"/>
      <c r="T554" s="134"/>
      <c r="U554" s="134"/>
      <c r="V554" s="134"/>
      <c r="W554" s="134"/>
      <c r="X554" s="134"/>
      <c r="Y554" s="134"/>
    </row>
    <row r="555">
      <c r="A555" s="126"/>
      <c r="B555" s="127"/>
      <c r="C555" s="135"/>
      <c r="D555" s="144"/>
      <c r="E555" s="74" t="s">
        <v>56</v>
      </c>
      <c r="F555" s="63" t="s">
        <v>56</v>
      </c>
      <c r="G555" s="129"/>
      <c r="H555" s="133"/>
      <c r="I555" s="129"/>
      <c r="J555" s="130"/>
      <c r="K555" s="130"/>
      <c r="L555" s="130"/>
      <c r="M555" s="130"/>
      <c r="N555" s="140"/>
      <c r="O555" s="150"/>
      <c r="P555" s="150"/>
      <c r="Q555" s="134"/>
      <c r="R555" s="134"/>
      <c r="S555" s="134"/>
      <c r="T555" s="134"/>
      <c r="U555" s="134"/>
      <c r="V555" s="134"/>
      <c r="W555" s="134"/>
      <c r="X555" s="134"/>
      <c r="Y555" s="134"/>
    </row>
    <row r="556">
      <c r="A556" s="126"/>
      <c r="B556" s="127"/>
      <c r="C556" s="135"/>
      <c r="D556" s="144"/>
      <c r="E556" s="74" t="s">
        <v>56</v>
      </c>
      <c r="F556" s="63" t="s">
        <v>56</v>
      </c>
      <c r="G556" s="129"/>
      <c r="H556" s="133"/>
      <c r="I556" s="129"/>
      <c r="J556" s="130"/>
      <c r="K556" s="130"/>
      <c r="L556" s="130"/>
      <c r="M556" s="130"/>
      <c r="N556" s="140"/>
      <c r="O556" s="150"/>
      <c r="P556" s="150"/>
      <c r="Q556" s="134"/>
      <c r="R556" s="134"/>
      <c r="S556" s="134"/>
      <c r="T556" s="134"/>
      <c r="U556" s="134"/>
      <c r="V556" s="134"/>
      <c r="W556" s="134"/>
      <c r="X556" s="134"/>
      <c r="Y556" s="134"/>
    </row>
    <row r="557">
      <c r="A557" s="126"/>
      <c r="B557" s="127"/>
      <c r="C557" s="135"/>
      <c r="D557" s="144"/>
      <c r="E557" s="74" t="s">
        <v>56</v>
      </c>
      <c r="F557" s="63" t="s">
        <v>56</v>
      </c>
      <c r="G557" s="129"/>
      <c r="H557" s="133"/>
      <c r="I557" s="129"/>
      <c r="J557" s="130"/>
      <c r="K557" s="130"/>
      <c r="L557" s="130"/>
      <c r="M557" s="130"/>
      <c r="N557" s="140"/>
      <c r="O557" s="150"/>
      <c r="P557" s="150"/>
      <c r="Q557" s="134"/>
      <c r="R557" s="134"/>
      <c r="S557" s="134"/>
      <c r="T557" s="134"/>
      <c r="U557" s="134"/>
      <c r="V557" s="134"/>
      <c r="W557" s="134"/>
      <c r="X557" s="134"/>
      <c r="Y557" s="134"/>
    </row>
    <row r="558">
      <c r="A558" s="126"/>
      <c r="B558" s="127"/>
      <c r="C558" s="135"/>
      <c r="D558" s="144"/>
      <c r="E558" s="74" t="s">
        <v>56</v>
      </c>
      <c r="F558" s="63" t="s">
        <v>56</v>
      </c>
      <c r="G558" s="129"/>
      <c r="H558" s="133"/>
      <c r="I558" s="129"/>
      <c r="J558" s="130"/>
      <c r="K558" s="130"/>
      <c r="L558" s="130"/>
      <c r="M558" s="130"/>
      <c r="N558" s="140"/>
      <c r="O558" s="150"/>
      <c r="P558" s="150"/>
      <c r="Q558" s="134"/>
      <c r="R558" s="134"/>
      <c r="S558" s="134"/>
      <c r="T558" s="134"/>
      <c r="U558" s="134"/>
      <c r="V558" s="134"/>
      <c r="W558" s="134"/>
      <c r="X558" s="134"/>
      <c r="Y558" s="134"/>
    </row>
    <row r="559">
      <c r="A559" s="126"/>
      <c r="B559" s="127"/>
      <c r="C559" s="135"/>
      <c r="D559" s="144"/>
      <c r="E559" s="74" t="s">
        <v>56</v>
      </c>
      <c r="F559" s="63" t="s">
        <v>56</v>
      </c>
      <c r="G559" s="129"/>
      <c r="H559" s="133"/>
      <c r="I559" s="129"/>
      <c r="J559" s="130"/>
      <c r="K559" s="130"/>
      <c r="L559" s="130"/>
      <c r="M559" s="130"/>
      <c r="N559" s="140"/>
      <c r="O559" s="150"/>
      <c r="P559" s="150"/>
      <c r="Q559" s="134"/>
      <c r="R559" s="134"/>
      <c r="S559" s="134"/>
      <c r="T559" s="134"/>
      <c r="U559" s="134"/>
      <c r="V559" s="134"/>
      <c r="W559" s="134"/>
      <c r="X559" s="134"/>
      <c r="Y559" s="134"/>
    </row>
    <row r="560">
      <c r="A560" s="126"/>
      <c r="B560" s="127"/>
      <c r="C560" s="135"/>
      <c r="D560" s="144"/>
      <c r="E560" s="74" t="s">
        <v>56</v>
      </c>
      <c r="F560" s="63" t="s">
        <v>56</v>
      </c>
      <c r="G560" s="129"/>
      <c r="H560" s="133"/>
      <c r="I560" s="129"/>
      <c r="J560" s="130"/>
      <c r="K560" s="130"/>
      <c r="L560" s="130"/>
      <c r="M560" s="130"/>
      <c r="N560" s="140"/>
      <c r="O560" s="150"/>
      <c r="P560" s="150"/>
      <c r="Q560" s="134"/>
      <c r="R560" s="134"/>
      <c r="S560" s="134"/>
      <c r="T560" s="134"/>
      <c r="U560" s="134"/>
      <c r="V560" s="134"/>
      <c r="W560" s="134"/>
      <c r="X560" s="134"/>
      <c r="Y560" s="134"/>
    </row>
    <row r="561">
      <c r="A561" s="126"/>
      <c r="B561" s="127"/>
      <c r="C561" s="135"/>
      <c r="D561" s="144"/>
      <c r="E561" s="74" t="s">
        <v>56</v>
      </c>
      <c r="F561" s="63" t="s">
        <v>56</v>
      </c>
      <c r="G561" s="129"/>
      <c r="H561" s="133"/>
      <c r="I561" s="129"/>
      <c r="J561" s="130"/>
      <c r="K561" s="130"/>
      <c r="L561" s="130"/>
      <c r="M561" s="130"/>
      <c r="N561" s="140"/>
      <c r="O561" s="150"/>
      <c r="P561" s="150"/>
      <c r="Q561" s="134"/>
      <c r="R561" s="134"/>
      <c r="S561" s="134"/>
      <c r="T561" s="134"/>
      <c r="U561" s="134"/>
      <c r="V561" s="134"/>
      <c r="W561" s="134"/>
      <c r="X561" s="134"/>
      <c r="Y561" s="134"/>
    </row>
    <row r="562">
      <c r="A562" s="126"/>
      <c r="B562" s="127"/>
      <c r="C562" s="135"/>
      <c r="D562" s="144"/>
      <c r="E562" s="74" t="s">
        <v>56</v>
      </c>
      <c r="F562" s="63" t="s">
        <v>56</v>
      </c>
      <c r="G562" s="129"/>
      <c r="H562" s="133"/>
      <c r="I562" s="129"/>
      <c r="J562" s="130"/>
      <c r="K562" s="130"/>
      <c r="L562" s="130"/>
      <c r="M562" s="130"/>
      <c r="N562" s="140"/>
      <c r="O562" s="150"/>
      <c r="P562" s="150"/>
      <c r="Q562" s="134"/>
      <c r="R562" s="134"/>
      <c r="S562" s="134"/>
      <c r="T562" s="134"/>
      <c r="U562" s="134"/>
      <c r="V562" s="134"/>
      <c r="W562" s="134"/>
      <c r="X562" s="134"/>
      <c r="Y562" s="134"/>
    </row>
    <row r="563">
      <c r="A563" s="126"/>
      <c r="B563" s="127"/>
      <c r="C563" s="135"/>
      <c r="D563" s="144"/>
      <c r="E563" s="74" t="s">
        <v>56</v>
      </c>
      <c r="F563" s="63" t="s">
        <v>56</v>
      </c>
      <c r="G563" s="129"/>
      <c r="H563" s="133"/>
      <c r="I563" s="129"/>
      <c r="J563" s="130"/>
      <c r="K563" s="130"/>
      <c r="L563" s="130"/>
      <c r="M563" s="130"/>
      <c r="N563" s="140"/>
      <c r="O563" s="150"/>
      <c r="P563" s="150"/>
      <c r="Q563" s="134"/>
      <c r="R563" s="134"/>
      <c r="S563" s="134"/>
      <c r="T563" s="134"/>
      <c r="U563" s="134"/>
      <c r="V563" s="134"/>
      <c r="W563" s="134"/>
      <c r="X563" s="134"/>
      <c r="Y563" s="134"/>
    </row>
    <row r="564">
      <c r="A564" s="126"/>
      <c r="B564" s="127"/>
      <c r="C564" s="135"/>
      <c r="D564" s="144"/>
      <c r="E564" s="74" t="s">
        <v>56</v>
      </c>
      <c r="F564" s="63" t="s">
        <v>56</v>
      </c>
      <c r="G564" s="129"/>
      <c r="H564" s="133"/>
      <c r="I564" s="129"/>
      <c r="J564" s="130"/>
      <c r="K564" s="130"/>
      <c r="L564" s="130"/>
      <c r="M564" s="130"/>
      <c r="N564" s="140"/>
      <c r="O564" s="150"/>
      <c r="P564" s="150"/>
      <c r="Q564" s="134"/>
      <c r="R564" s="134"/>
      <c r="S564" s="134"/>
      <c r="T564" s="134"/>
      <c r="U564" s="134"/>
      <c r="V564" s="134"/>
      <c r="W564" s="134"/>
      <c r="X564" s="134"/>
      <c r="Y564" s="134"/>
    </row>
    <row r="565">
      <c r="A565" s="126"/>
      <c r="B565" s="127"/>
      <c r="C565" s="135"/>
      <c r="D565" s="144"/>
      <c r="E565" s="74" t="s">
        <v>56</v>
      </c>
      <c r="F565" s="63" t="s">
        <v>56</v>
      </c>
      <c r="G565" s="129"/>
      <c r="H565" s="133"/>
      <c r="I565" s="129"/>
      <c r="J565" s="130"/>
      <c r="K565" s="130"/>
      <c r="L565" s="130"/>
      <c r="M565" s="130"/>
      <c r="N565" s="140"/>
      <c r="O565" s="150"/>
      <c r="P565" s="150"/>
      <c r="Q565" s="134"/>
      <c r="R565" s="134"/>
      <c r="S565" s="134"/>
      <c r="T565" s="134"/>
      <c r="U565" s="134"/>
      <c r="V565" s="134"/>
      <c r="W565" s="134"/>
      <c r="X565" s="134"/>
      <c r="Y565" s="134"/>
    </row>
    <row r="566">
      <c r="A566" s="126"/>
      <c r="B566" s="127"/>
      <c r="C566" s="135"/>
      <c r="D566" s="144"/>
      <c r="E566" s="74" t="s">
        <v>56</v>
      </c>
      <c r="F566" s="63" t="s">
        <v>56</v>
      </c>
      <c r="G566" s="129"/>
      <c r="H566" s="133"/>
      <c r="I566" s="129"/>
      <c r="J566" s="130"/>
      <c r="K566" s="130"/>
      <c r="L566" s="130"/>
      <c r="M566" s="130"/>
      <c r="N566" s="140"/>
      <c r="O566" s="150"/>
      <c r="P566" s="150"/>
      <c r="Q566" s="134"/>
      <c r="R566" s="134"/>
      <c r="S566" s="134"/>
      <c r="T566" s="134"/>
      <c r="U566" s="134"/>
      <c r="V566" s="134"/>
      <c r="W566" s="134"/>
      <c r="X566" s="134"/>
      <c r="Y566" s="134"/>
    </row>
    <row r="567">
      <c r="A567" s="126"/>
      <c r="B567" s="127"/>
      <c r="C567" s="135"/>
      <c r="D567" s="144"/>
      <c r="E567" s="74" t="s">
        <v>56</v>
      </c>
      <c r="F567" s="63" t="s">
        <v>56</v>
      </c>
      <c r="G567" s="129"/>
      <c r="H567" s="133"/>
      <c r="I567" s="129"/>
      <c r="J567" s="130"/>
      <c r="K567" s="130"/>
      <c r="L567" s="130"/>
      <c r="M567" s="130"/>
      <c r="N567" s="140"/>
      <c r="O567" s="150"/>
      <c r="P567" s="150"/>
      <c r="Q567" s="134"/>
      <c r="R567" s="134"/>
      <c r="S567" s="134"/>
      <c r="T567" s="134"/>
      <c r="U567" s="134"/>
      <c r="V567" s="134"/>
      <c r="W567" s="134"/>
      <c r="X567" s="134"/>
      <c r="Y567" s="134"/>
    </row>
    <row r="568">
      <c r="A568" s="126"/>
      <c r="B568" s="127"/>
      <c r="C568" s="135"/>
      <c r="D568" s="144"/>
      <c r="E568" s="74" t="s">
        <v>56</v>
      </c>
      <c r="F568" s="63" t="s">
        <v>56</v>
      </c>
      <c r="G568" s="129"/>
      <c r="H568" s="133"/>
      <c r="I568" s="129"/>
      <c r="J568" s="130"/>
      <c r="K568" s="130"/>
      <c r="L568" s="130"/>
      <c r="M568" s="130"/>
      <c r="N568" s="140"/>
      <c r="O568" s="150"/>
      <c r="P568" s="150"/>
      <c r="Q568" s="134"/>
      <c r="R568" s="134"/>
      <c r="S568" s="134"/>
      <c r="T568" s="134"/>
      <c r="U568" s="134"/>
      <c r="V568" s="134"/>
      <c r="W568" s="134"/>
      <c r="X568" s="134"/>
      <c r="Y568" s="134"/>
    </row>
    <row r="569">
      <c r="A569" s="126"/>
      <c r="B569" s="127"/>
      <c r="C569" s="135"/>
      <c r="D569" s="144"/>
      <c r="E569" s="74" t="s">
        <v>56</v>
      </c>
      <c r="F569" s="63" t="s">
        <v>56</v>
      </c>
      <c r="G569" s="129"/>
      <c r="H569" s="133"/>
      <c r="I569" s="129"/>
      <c r="J569" s="130"/>
      <c r="K569" s="130"/>
      <c r="L569" s="130"/>
      <c r="M569" s="130"/>
      <c r="N569" s="140"/>
      <c r="O569" s="150"/>
      <c r="P569" s="150"/>
      <c r="Q569" s="134"/>
      <c r="R569" s="134"/>
      <c r="S569" s="134"/>
      <c r="T569" s="134"/>
      <c r="U569" s="134"/>
      <c r="V569" s="134"/>
      <c r="W569" s="134"/>
      <c r="X569" s="134"/>
      <c r="Y569" s="134"/>
    </row>
    <row r="570">
      <c r="A570" s="126"/>
      <c r="B570" s="127"/>
      <c r="C570" s="135"/>
      <c r="D570" s="144"/>
      <c r="E570" s="74" t="s">
        <v>56</v>
      </c>
      <c r="F570" s="63" t="s">
        <v>56</v>
      </c>
      <c r="G570" s="129"/>
      <c r="H570" s="133"/>
      <c r="I570" s="129"/>
      <c r="J570" s="130"/>
      <c r="K570" s="130"/>
      <c r="L570" s="130"/>
      <c r="M570" s="130"/>
      <c r="N570" s="140"/>
      <c r="O570" s="150"/>
      <c r="P570" s="150"/>
      <c r="Q570" s="134"/>
      <c r="R570" s="134"/>
      <c r="S570" s="134"/>
      <c r="T570" s="134"/>
      <c r="U570" s="134"/>
      <c r="V570" s="134"/>
      <c r="W570" s="134"/>
      <c r="X570" s="134"/>
      <c r="Y570" s="134"/>
    </row>
    <row r="571">
      <c r="A571" s="126"/>
      <c r="B571" s="127"/>
      <c r="C571" s="135"/>
      <c r="D571" s="144"/>
      <c r="E571" s="74" t="s">
        <v>56</v>
      </c>
      <c r="F571" s="63" t="s">
        <v>56</v>
      </c>
      <c r="G571" s="129"/>
      <c r="H571" s="133"/>
      <c r="I571" s="129"/>
      <c r="J571" s="130"/>
      <c r="K571" s="130"/>
      <c r="L571" s="130"/>
      <c r="M571" s="130"/>
      <c r="N571" s="140"/>
      <c r="O571" s="150"/>
      <c r="P571" s="150"/>
      <c r="Q571" s="134"/>
      <c r="R571" s="134"/>
      <c r="S571" s="134"/>
      <c r="T571" s="134"/>
      <c r="U571" s="134"/>
      <c r="V571" s="134"/>
      <c r="W571" s="134"/>
      <c r="X571" s="134"/>
      <c r="Y571" s="134"/>
    </row>
    <row r="572">
      <c r="A572" s="126"/>
      <c r="B572" s="127"/>
      <c r="C572" s="135"/>
      <c r="D572" s="144"/>
      <c r="E572" s="74" t="s">
        <v>56</v>
      </c>
      <c r="F572" s="63" t="s">
        <v>56</v>
      </c>
      <c r="G572" s="129"/>
      <c r="H572" s="133"/>
      <c r="I572" s="129"/>
      <c r="J572" s="130"/>
      <c r="K572" s="130"/>
      <c r="L572" s="130"/>
      <c r="M572" s="130"/>
      <c r="N572" s="140"/>
      <c r="O572" s="150"/>
      <c r="P572" s="150"/>
      <c r="Q572" s="134"/>
      <c r="R572" s="134"/>
      <c r="S572" s="134"/>
      <c r="T572" s="134"/>
      <c r="U572" s="134"/>
      <c r="V572" s="134"/>
      <c r="W572" s="134"/>
      <c r="X572" s="134"/>
      <c r="Y572" s="134"/>
    </row>
    <row r="573">
      <c r="A573" s="126"/>
      <c r="B573" s="127"/>
      <c r="C573" s="135"/>
      <c r="D573" s="144"/>
      <c r="E573" s="74" t="s">
        <v>56</v>
      </c>
      <c r="F573" s="63" t="s">
        <v>56</v>
      </c>
      <c r="G573" s="129"/>
      <c r="H573" s="133"/>
      <c r="I573" s="129"/>
      <c r="J573" s="130"/>
      <c r="K573" s="130"/>
      <c r="L573" s="130"/>
      <c r="M573" s="130"/>
      <c r="N573" s="140"/>
      <c r="O573" s="150"/>
      <c r="P573" s="150"/>
      <c r="Q573" s="134"/>
      <c r="R573" s="134"/>
      <c r="S573" s="134"/>
      <c r="T573" s="134"/>
      <c r="U573" s="134"/>
      <c r="V573" s="134"/>
      <c r="W573" s="134"/>
      <c r="X573" s="134"/>
      <c r="Y573" s="134"/>
    </row>
    <row r="574">
      <c r="A574" s="126"/>
      <c r="B574" s="127"/>
      <c r="C574" s="135"/>
      <c r="D574" s="144"/>
      <c r="E574" s="74" t="s">
        <v>56</v>
      </c>
      <c r="F574" s="63" t="s">
        <v>56</v>
      </c>
      <c r="G574" s="129"/>
      <c r="H574" s="133"/>
      <c r="I574" s="129"/>
      <c r="J574" s="130"/>
      <c r="K574" s="130"/>
      <c r="L574" s="130"/>
      <c r="M574" s="130"/>
      <c r="N574" s="140"/>
      <c r="O574" s="150"/>
      <c r="P574" s="150"/>
      <c r="Q574" s="134"/>
      <c r="R574" s="134"/>
      <c r="S574" s="134"/>
      <c r="T574" s="134"/>
      <c r="U574" s="134"/>
      <c r="V574" s="134"/>
      <c r="W574" s="134"/>
      <c r="X574" s="134"/>
      <c r="Y574" s="134"/>
    </row>
    <row r="575">
      <c r="A575" s="126"/>
      <c r="B575" s="127"/>
      <c r="C575" s="135"/>
      <c r="D575" s="144"/>
      <c r="E575" s="74" t="s">
        <v>56</v>
      </c>
      <c r="F575" s="63" t="s">
        <v>56</v>
      </c>
      <c r="G575" s="129"/>
      <c r="H575" s="133"/>
      <c r="I575" s="129"/>
      <c r="J575" s="130"/>
      <c r="K575" s="130"/>
      <c r="L575" s="130"/>
      <c r="M575" s="130"/>
      <c r="N575" s="140"/>
      <c r="O575" s="150"/>
      <c r="P575" s="150"/>
      <c r="Q575" s="134"/>
      <c r="R575" s="134"/>
      <c r="S575" s="134"/>
      <c r="T575" s="134"/>
      <c r="U575" s="134"/>
      <c r="V575" s="134"/>
      <c r="W575" s="134"/>
      <c r="X575" s="134"/>
      <c r="Y575" s="134"/>
    </row>
    <row r="576">
      <c r="A576" s="126"/>
      <c r="B576" s="127"/>
      <c r="C576" s="135"/>
      <c r="D576" s="144"/>
      <c r="E576" s="74" t="s">
        <v>56</v>
      </c>
      <c r="F576" s="63" t="s">
        <v>56</v>
      </c>
      <c r="G576" s="129"/>
      <c r="H576" s="133"/>
      <c r="I576" s="129"/>
      <c r="J576" s="130"/>
      <c r="K576" s="130"/>
      <c r="L576" s="130"/>
      <c r="M576" s="130"/>
      <c r="N576" s="140"/>
      <c r="O576" s="150"/>
      <c r="P576" s="150"/>
      <c r="Q576" s="134"/>
      <c r="R576" s="134"/>
      <c r="S576" s="134"/>
      <c r="T576" s="134"/>
      <c r="U576" s="134"/>
      <c r="V576" s="134"/>
      <c r="W576" s="134"/>
      <c r="X576" s="134"/>
      <c r="Y576" s="134"/>
    </row>
    <row r="577">
      <c r="A577" s="126"/>
      <c r="B577" s="127"/>
      <c r="C577" s="135"/>
      <c r="D577" s="144"/>
      <c r="E577" s="74" t="s">
        <v>56</v>
      </c>
      <c r="F577" s="63" t="s">
        <v>56</v>
      </c>
      <c r="G577" s="129"/>
      <c r="H577" s="133"/>
      <c r="I577" s="129"/>
      <c r="J577" s="130"/>
      <c r="K577" s="130"/>
      <c r="L577" s="130"/>
      <c r="M577" s="130"/>
      <c r="N577" s="140"/>
      <c r="O577" s="150"/>
      <c r="P577" s="150"/>
      <c r="Q577" s="134"/>
      <c r="R577" s="134"/>
      <c r="S577" s="134"/>
      <c r="T577" s="134"/>
      <c r="U577" s="134"/>
      <c r="V577" s="134"/>
      <c r="W577" s="134"/>
      <c r="X577" s="134"/>
      <c r="Y577" s="134"/>
    </row>
    <row r="578">
      <c r="A578" s="126"/>
      <c r="B578" s="127"/>
      <c r="C578" s="135"/>
      <c r="D578" s="144"/>
      <c r="E578" s="74" t="s">
        <v>56</v>
      </c>
      <c r="F578" s="63" t="s">
        <v>56</v>
      </c>
      <c r="G578" s="129"/>
      <c r="H578" s="133"/>
      <c r="I578" s="129"/>
      <c r="J578" s="130"/>
      <c r="K578" s="130"/>
      <c r="L578" s="130"/>
      <c r="M578" s="130"/>
      <c r="N578" s="140"/>
      <c r="O578" s="150"/>
      <c r="P578" s="150"/>
      <c r="Q578" s="134"/>
      <c r="R578" s="134"/>
      <c r="S578" s="134"/>
      <c r="T578" s="134"/>
      <c r="U578" s="134"/>
      <c r="V578" s="134"/>
      <c r="W578" s="134"/>
      <c r="X578" s="134"/>
      <c r="Y578" s="134"/>
    </row>
    <row r="579">
      <c r="A579" s="126"/>
      <c r="B579" s="127"/>
      <c r="C579" s="135"/>
      <c r="D579" s="144"/>
      <c r="E579" s="74" t="s">
        <v>56</v>
      </c>
      <c r="F579" s="63" t="s">
        <v>56</v>
      </c>
      <c r="G579" s="129"/>
      <c r="H579" s="133"/>
      <c r="I579" s="129"/>
      <c r="J579" s="130"/>
      <c r="K579" s="130"/>
      <c r="L579" s="130"/>
      <c r="M579" s="130"/>
      <c r="N579" s="140"/>
      <c r="O579" s="150"/>
      <c r="P579" s="150"/>
      <c r="Q579" s="134"/>
      <c r="R579" s="134"/>
      <c r="S579" s="134"/>
      <c r="T579" s="134"/>
      <c r="U579" s="134"/>
      <c r="V579" s="134"/>
      <c r="W579" s="134"/>
      <c r="X579" s="134"/>
      <c r="Y579" s="134"/>
    </row>
    <row r="580">
      <c r="A580" s="126"/>
      <c r="B580" s="127"/>
      <c r="C580" s="135"/>
      <c r="D580" s="144"/>
      <c r="E580" s="74" t="s">
        <v>56</v>
      </c>
      <c r="F580" s="63" t="s">
        <v>56</v>
      </c>
      <c r="G580" s="129"/>
      <c r="H580" s="133"/>
      <c r="I580" s="129"/>
      <c r="J580" s="130"/>
      <c r="K580" s="130"/>
      <c r="L580" s="130"/>
      <c r="M580" s="130"/>
      <c r="N580" s="140"/>
      <c r="O580" s="150"/>
      <c r="P580" s="150"/>
      <c r="Q580" s="134"/>
      <c r="R580" s="134"/>
      <c r="S580" s="134"/>
      <c r="T580" s="134"/>
      <c r="U580" s="134"/>
      <c r="V580" s="134"/>
      <c r="W580" s="134"/>
      <c r="X580" s="134"/>
      <c r="Y580" s="134"/>
    </row>
    <row r="581">
      <c r="A581" s="126"/>
      <c r="B581" s="127"/>
      <c r="C581" s="135"/>
      <c r="D581" s="144"/>
      <c r="E581" s="74" t="s">
        <v>56</v>
      </c>
      <c r="F581" s="63" t="s">
        <v>56</v>
      </c>
      <c r="G581" s="129"/>
      <c r="H581" s="133"/>
      <c r="I581" s="129"/>
      <c r="J581" s="130"/>
      <c r="K581" s="130"/>
      <c r="L581" s="130"/>
      <c r="M581" s="130"/>
      <c r="N581" s="140"/>
      <c r="O581" s="150"/>
      <c r="P581" s="150"/>
      <c r="Q581" s="134"/>
      <c r="R581" s="134"/>
      <c r="S581" s="134"/>
      <c r="T581" s="134"/>
      <c r="U581" s="134"/>
      <c r="V581" s="134"/>
      <c r="W581" s="134"/>
      <c r="X581" s="134"/>
      <c r="Y581" s="134"/>
    </row>
    <row r="582">
      <c r="A582" s="126"/>
      <c r="B582" s="127"/>
      <c r="C582" s="135"/>
      <c r="D582" s="144"/>
      <c r="E582" s="74" t="s">
        <v>56</v>
      </c>
      <c r="F582" s="63" t="s">
        <v>56</v>
      </c>
      <c r="G582" s="129"/>
      <c r="H582" s="133"/>
      <c r="I582" s="129"/>
      <c r="J582" s="130"/>
      <c r="K582" s="130"/>
      <c r="L582" s="130"/>
      <c r="M582" s="130"/>
      <c r="N582" s="140"/>
      <c r="O582" s="150"/>
      <c r="P582" s="150"/>
      <c r="Q582" s="134"/>
      <c r="R582" s="134"/>
      <c r="S582" s="134"/>
      <c r="T582" s="134"/>
      <c r="U582" s="134"/>
      <c r="V582" s="134"/>
      <c r="W582" s="134"/>
      <c r="X582" s="134"/>
      <c r="Y582" s="134"/>
    </row>
    <row r="583">
      <c r="A583" s="126"/>
      <c r="B583" s="127"/>
      <c r="C583" s="135"/>
      <c r="D583" s="144"/>
      <c r="E583" s="74" t="s">
        <v>56</v>
      </c>
      <c r="F583" s="63" t="s">
        <v>56</v>
      </c>
      <c r="G583" s="129"/>
      <c r="H583" s="133"/>
      <c r="I583" s="129"/>
      <c r="J583" s="130"/>
      <c r="K583" s="130"/>
      <c r="L583" s="130"/>
      <c r="M583" s="130"/>
      <c r="N583" s="140"/>
      <c r="O583" s="150"/>
      <c r="P583" s="150"/>
      <c r="Q583" s="134"/>
      <c r="R583" s="134"/>
      <c r="S583" s="134"/>
      <c r="T583" s="134"/>
      <c r="U583" s="134"/>
      <c r="V583" s="134"/>
      <c r="W583" s="134"/>
      <c r="X583" s="134"/>
      <c r="Y583" s="134"/>
    </row>
    <row r="584">
      <c r="A584" s="126"/>
      <c r="B584" s="127"/>
      <c r="C584" s="135"/>
      <c r="D584" s="144"/>
      <c r="E584" s="74" t="s">
        <v>56</v>
      </c>
      <c r="F584" s="63" t="s">
        <v>56</v>
      </c>
      <c r="G584" s="129"/>
      <c r="H584" s="133"/>
      <c r="I584" s="129"/>
      <c r="J584" s="130"/>
      <c r="K584" s="130"/>
      <c r="L584" s="130"/>
      <c r="M584" s="130"/>
      <c r="N584" s="140"/>
      <c r="O584" s="150"/>
      <c r="P584" s="150"/>
      <c r="Q584" s="134"/>
      <c r="R584" s="134"/>
      <c r="S584" s="134"/>
      <c r="T584" s="134"/>
      <c r="U584" s="134"/>
      <c r="V584" s="134"/>
      <c r="W584" s="134"/>
      <c r="X584" s="134"/>
      <c r="Y584" s="134"/>
    </row>
    <row r="585">
      <c r="A585" s="126"/>
      <c r="B585" s="127"/>
      <c r="C585" s="135"/>
      <c r="D585" s="144"/>
      <c r="E585" s="74" t="s">
        <v>56</v>
      </c>
      <c r="F585" s="63" t="s">
        <v>56</v>
      </c>
      <c r="G585" s="129"/>
      <c r="H585" s="133"/>
      <c r="I585" s="129"/>
      <c r="J585" s="130"/>
      <c r="K585" s="130"/>
      <c r="L585" s="130"/>
      <c r="M585" s="130"/>
      <c r="N585" s="140"/>
      <c r="O585" s="150"/>
      <c r="P585" s="150"/>
      <c r="Q585" s="134"/>
      <c r="R585" s="134"/>
      <c r="S585" s="134"/>
      <c r="T585" s="134"/>
      <c r="U585" s="134"/>
      <c r="V585" s="134"/>
      <c r="W585" s="134"/>
      <c r="X585" s="134"/>
      <c r="Y585" s="134"/>
    </row>
    <row r="586">
      <c r="A586" s="126"/>
      <c r="B586" s="127"/>
      <c r="C586" s="135"/>
      <c r="D586" s="144"/>
      <c r="E586" s="74" t="s">
        <v>56</v>
      </c>
      <c r="F586" s="63" t="s">
        <v>56</v>
      </c>
      <c r="G586" s="129"/>
      <c r="H586" s="133"/>
      <c r="I586" s="129"/>
      <c r="J586" s="130"/>
      <c r="K586" s="130"/>
      <c r="L586" s="130"/>
      <c r="M586" s="130"/>
      <c r="N586" s="140"/>
      <c r="O586" s="150"/>
      <c r="P586" s="150"/>
      <c r="Q586" s="134"/>
      <c r="R586" s="134"/>
      <c r="S586" s="134"/>
      <c r="T586" s="134"/>
      <c r="U586" s="134"/>
      <c r="V586" s="134"/>
      <c r="W586" s="134"/>
      <c r="X586" s="134"/>
      <c r="Y586" s="134"/>
    </row>
    <row r="587">
      <c r="A587" s="126"/>
      <c r="B587" s="127"/>
      <c r="C587" s="135"/>
      <c r="D587" s="144"/>
      <c r="E587" s="74" t="s">
        <v>56</v>
      </c>
      <c r="F587" s="63" t="s">
        <v>56</v>
      </c>
      <c r="G587" s="129"/>
      <c r="H587" s="133"/>
      <c r="I587" s="129"/>
      <c r="J587" s="130"/>
      <c r="K587" s="130"/>
      <c r="L587" s="130"/>
      <c r="M587" s="130"/>
      <c r="N587" s="140"/>
      <c r="O587" s="150"/>
      <c r="P587" s="150"/>
      <c r="Q587" s="134"/>
      <c r="R587" s="134"/>
      <c r="S587" s="134"/>
      <c r="T587" s="134"/>
      <c r="U587" s="134"/>
      <c r="V587" s="134"/>
      <c r="W587" s="134"/>
      <c r="X587" s="134"/>
      <c r="Y587" s="134"/>
    </row>
    <row r="588">
      <c r="A588" s="126"/>
      <c r="B588" s="127"/>
      <c r="C588" s="135"/>
      <c r="D588" s="144"/>
      <c r="E588" s="74" t="s">
        <v>56</v>
      </c>
      <c r="F588" s="63" t="s">
        <v>56</v>
      </c>
      <c r="G588" s="129"/>
      <c r="H588" s="133"/>
      <c r="I588" s="129"/>
      <c r="J588" s="130"/>
      <c r="K588" s="130"/>
      <c r="L588" s="130"/>
      <c r="M588" s="130"/>
      <c r="N588" s="140"/>
      <c r="O588" s="150"/>
      <c r="P588" s="150"/>
      <c r="Q588" s="134"/>
      <c r="R588" s="134"/>
      <c r="S588" s="134"/>
      <c r="T588" s="134"/>
      <c r="U588" s="134"/>
      <c r="V588" s="134"/>
      <c r="W588" s="134"/>
      <c r="X588" s="134"/>
      <c r="Y588" s="134"/>
    </row>
    <row r="589">
      <c r="A589" s="126"/>
      <c r="B589" s="127"/>
      <c r="C589" s="135"/>
      <c r="D589" s="144"/>
      <c r="E589" s="74" t="s">
        <v>56</v>
      </c>
      <c r="F589" s="63" t="s">
        <v>56</v>
      </c>
      <c r="G589" s="129"/>
      <c r="H589" s="133"/>
      <c r="I589" s="129"/>
      <c r="J589" s="130"/>
      <c r="K589" s="130"/>
      <c r="L589" s="130"/>
      <c r="M589" s="130"/>
      <c r="N589" s="140"/>
      <c r="O589" s="150"/>
      <c r="P589" s="150"/>
      <c r="Q589" s="134"/>
      <c r="R589" s="134"/>
      <c r="S589" s="134"/>
      <c r="T589" s="134"/>
      <c r="U589" s="134"/>
      <c r="V589" s="134"/>
      <c r="W589" s="134"/>
      <c r="X589" s="134"/>
      <c r="Y589" s="134"/>
    </row>
    <row r="590">
      <c r="A590" s="126"/>
      <c r="B590" s="127"/>
      <c r="C590" s="135"/>
      <c r="D590" s="144"/>
      <c r="E590" s="74" t="s">
        <v>56</v>
      </c>
      <c r="F590" s="63" t="s">
        <v>56</v>
      </c>
      <c r="G590" s="129"/>
      <c r="H590" s="133"/>
      <c r="I590" s="129"/>
      <c r="J590" s="130"/>
      <c r="K590" s="130"/>
      <c r="L590" s="130"/>
      <c r="M590" s="130"/>
      <c r="N590" s="140"/>
      <c r="O590" s="150"/>
      <c r="P590" s="150"/>
      <c r="Q590" s="134"/>
      <c r="R590" s="134"/>
      <c r="S590" s="134"/>
      <c r="T590" s="134"/>
      <c r="U590" s="134"/>
      <c r="V590" s="134"/>
      <c r="W590" s="134"/>
      <c r="X590" s="134"/>
      <c r="Y590" s="134"/>
    </row>
    <row r="591">
      <c r="A591" s="126"/>
      <c r="B591" s="127"/>
      <c r="C591" s="135"/>
      <c r="D591" s="144"/>
      <c r="E591" s="74" t="s">
        <v>56</v>
      </c>
      <c r="F591" s="63" t="s">
        <v>56</v>
      </c>
      <c r="G591" s="129"/>
      <c r="H591" s="133"/>
      <c r="I591" s="129"/>
      <c r="J591" s="130"/>
      <c r="K591" s="130"/>
      <c r="L591" s="130"/>
      <c r="M591" s="130"/>
      <c r="N591" s="140"/>
      <c r="O591" s="150"/>
      <c r="P591" s="150"/>
      <c r="Q591" s="134"/>
      <c r="R591" s="134"/>
      <c r="S591" s="134"/>
      <c r="T591" s="134"/>
      <c r="U591" s="134"/>
      <c r="V591" s="134"/>
      <c r="W591" s="134"/>
      <c r="X591" s="134"/>
      <c r="Y591" s="134"/>
    </row>
    <row r="592">
      <c r="A592" s="126"/>
      <c r="B592" s="127"/>
      <c r="C592" s="135"/>
      <c r="D592" s="144"/>
      <c r="E592" s="74" t="s">
        <v>56</v>
      </c>
      <c r="F592" s="63" t="s">
        <v>56</v>
      </c>
      <c r="G592" s="129"/>
      <c r="H592" s="133"/>
      <c r="I592" s="129"/>
      <c r="J592" s="130"/>
      <c r="K592" s="130"/>
      <c r="L592" s="130"/>
      <c r="M592" s="130"/>
      <c r="N592" s="140"/>
      <c r="O592" s="150"/>
      <c r="P592" s="150"/>
      <c r="Q592" s="134"/>
      <c r="R592" s="134"/>
      <c r="S592" s="134"/>
      <c r="T592" s="134"/>
      <c r="U592" s="134"/>
      <c r="V592" s="134"/>
      <c r="W592" s="134"/>
      <c r="X592" s="134"/>
      <c r="Y592" s="134"/>
    </row>
    <row r="593">
      <c r="A593" s="126"/>
      <c r="B593" s="127"/>
      <c r="C593" s="135"/>
      <c r="D593" s="144"/>
      <c r="E593" s="74" t="s">
        <v>56</v>
      </c>
      <c r="F593" s="63" t="s">
        <v>56</v>
      </c>
      <c r="G593" s="129"/>
      <c r="H593" s="133"/>
      <c r="I593" s="129"/>
      <c r="J593" s="130"/>
      <c r="K593" s="130"/>
      <c r="L593" s="130"/>
      <c r="M593" s="130"/>
      <c r="N593" s="140"/>
      <c r="O593" s="150"/>
      <c r="P593" s="150"/>
      <c r="Q593" s="134"/>
      <c r="R593" s="134"/>
      <c r="S593" s="134"/>
      <c r="T593" s="134"/>
      <c r="U593" s="134"/>
      <c r="V593" s="134"/>
      <c r="W593" s="134"/>
      <c r="X593" s="134"/>
      <c r="Y593" s="134"/>
    </row>
    <row r="594">
      <c r="A594" s="126"/>
      <c r="B594" s="127"/>
      <c r="C594" s="135"/>
      <c r="D594" s="144"/>
      <c r="E594" s="74" t="s">
        <v>56</v>
      </c>
      <c r="F594" s="63" t="s">
        <v>56</v>
      </c>
      <c r="G594" s="129"/>
      <c r="H594" s="133"/>
      <c r="I594" s="129"/>
      <c r="J594" s="130"/>
      <c r="K594" s="130"/>
      <c r="L594" s="130"/>
      <c r="M594" s="130"/>
      <c r="N594" s="140"/>
      <c r="O594" s="150"/>
      <c r="P594" s="150"/>
      <c r="Q594" s="134"/>
      <c r="R594" s="134"/>
      <c r="S594" s="134"/>
      <c r="T594" s="134"/>
      <c r="U594" s="134"/>
      <c r="V594" s="134"/>
      <c r="W594" s="134"/>
      <c r="X594" s="134"/>
      <c r="Y594" s="134"/>
    </row>
    <row r="595">
      <c r="A595" s="126"/>
      <c r="B595" s="127"/>
      <c r="C595" s="135"/>
      <c r="D595" s="144"/>
      <c r="E595" s="74" t="s">
        <v>56</v>
      </c>
      <c r="F595" s="63" t="s">
        <v>56</v>
      </c>
      <c r="G595" s="129"/>
      <c r="H595" s="133"/>
      <c r="I595" s="129"/>
      <c r="J595" s="130"/>
      <c r="K595" s="130"/>
      <c r="L595" s="130"/>
      <c r="M595" s="130"/>
      <c r="N595" s="140"/>
      <c r="O595" s="150"/>
      <c r="P595" s="150"/>
      <c r="Q595" s="134"/>
      <c r="R595" s="134"/>
      <c r="S595" s="134"/>
      <c r="T595" s="134"/>
      <c r="U595" s="134"/>
      <c r="V595" s="134"/>
      <c r="W595" s="134"/>
      <c r="X595" s="134"/>
      <c r="Y595" s="134"/>
    </row>
    <row r="596">
      <c r="A596" s="126"/>
      <c r="B596" s="127"/>
      <c r="C596" s="135"/>
      <c r="D596" s="144"/>
      <c r="E596" s="74" t="s">
        <v>56</v>
      </c>
      <c r="F596" s="63" t="s">
        <v>56</v>
      </c>
      <c r="G596" s="129"/>
      <c r="H596" s="133"/>
      <c r="I596" s="129"/>
      <c r="J596" s="130"/>
      <c r="K596" s="130"/>
      <c r="L596" s="130"/>
      <c r="M596" s="130"/>
      <c r="N596" s="140"/>
      <c r="O596" s="150"/>
      <c r="P596" s="150"/>
      <c r="Q596" s="134"/>
      <c r="R596" s="134"/>
      <c r="S596" s="134"/>
      <c r="T596" s="134"/>
      <c r="U596" s="134"/>
      <c r="V596" s="134"/>
      <c r="W596" s="134"/>
      <c r="X596" s="134"/>
      <c r="Y596" s="134"/>
    </row>
    <row r="597">
      <c r="A597" s="126"/>
      <c r="B597" s="127"/>
      <c r="C597" s="135"/>
      <c r="D597" s="144"/>
      <c r="E597" s="74" t="s">
        <v>56</v>
      </c>
      <c r="F597" s="63" t="s">
        <v>56</v>
      </c>
      <c r="G597" s="129"/>
      <c r="H597" s="133"/>
      <c r="I597" s="129"/>
      <c r="J597" s="130"/>
      <c r="K597" s="130"/>
      <c r="L597" s="130"/>
      <c r="M597" s="130"/>
      <c r="N597" s="140"/>
      <c r="O597" s="150"/>
      <c r="P597" s="150"/>
      <c r="Q597" s="134"/>
      <c r="R597" s="134"/>
      <c r="S597" s="134"/>
      <c r="T597" s="134"/>
      <c r="U597" s="134"/>
      <c r="V597" s="134"/>
      <c r="W597" s="134"/>
      <c r="X597" s="134"/>
      <c r="Y597" s="134"/>
    </row>
    <row r="598">
      <c r="A598" s="126"/>
      <c r="B598" s="127"/>
      <c r="C598" s="135"/>
      <c r="D598" s="144"/>
      <c r="E598" s="74" t="s">
        <v>56</v>
      </c>
      <c r="F598" s="63" t="s">
        <v>56</v>
      </c>
      <c r="G598" s="129"/>
      <c r="H598" s="133"/>
      <c r="I598" s="129"/>
      <c r="J598" s="130"/>
      <c r="K598" s="130"/>
      <c r="L598" s="130"/>
      <c r="M598" s="130"/>
      <c r="N598" s="140"/>
      <c r="O598" s="150"/>
      <c r="P598" s="150"/>
      <c r="Q598" s="134"/>
      <c r="R598" s="134"/>
      <c r="S598" s="134"/>
      <c r="T598" s="134"/>
      <c r="U598" s="134"/>
      <c r="V598" s="134"/>
      <c r="W598" s="134"/>
      <c r="X598" s="134"/>
      <c r="Y598" s="134"/>
    </row>
    <row r="599">
      <c r="A599" s="126"/>
      <c r="B599" s="127"/>
      <c r="C599" s="135"/>
      <c r="D599" s="144"/>
      <c r="E599" s="74" t="s">
        <v>56</v>
      </c>
      <c r="F599" s="63" t="s">
        <v>56</v>
      </c>
      <c r="G599" s="129"/>
      <c r="H599" s="133"/>
      <c r="I599" s="129"/>
      <c r="J599" s="130"/>
      <c r="K599" s="130"/>
      <c r="L599" s="130"/>
      <c r="M599" s="130"/>
      <c r="N599" s="140"/>
      <c r="O599" s="150"/>
      <c r="P599" s="150"/>
      <c r="Q599" s="134"/>
      <c r="R599" s="134"/>
      <c r="S599" s="134"/>
      <c r="T599" s="134"/>
      <c r="U599" s="134"/>
      <c r="V599" s="134"/>
      <c r="W599" s="134"/>
      <c r="X599" s="134"/>
      <c r="Y599" s="134"/>
    </row>
    <row r="600">
      <c r="A600" s="126"/>
      <c r="B600" s="127"/>
      <c r="C600" s="135"/>
      <c r="D600" s="144"/>
      <c r="E600" s="74" t="s">
        <v>56</v>
      </c>
      <c r="F600" s="63" t="s">
        <v>56</v>
      </c>
      <c r="G600" s="129"/>
      <c r="H600" s="133"/>
      <c r="I600" s="129"/>
      <c r="J600" s="130"/>
      <c r="K600" s="130"/>
      <c r="L600" s="130"/>
      <c r="M600" s="130"/>
      <c r="N600" s="140"/>
      <c r="O600" s="150"/>
      <c r="P600" s="150"/>
      <c r="Q600" s="134"/>
      <c r="R600" s="134"/>
      <c r="S600" s="134"/>
      <c r="T600" s="134"/>
      <c r="U600" s="134"/>
      <c r="V600" s="134"/>
      <c r="W600" s="134"/>
      <c r="X600" s="134"/>
      <c r="Y600" s="134"/>
    </row>
    <row r="601">
      <c r="A601" s="126"/>
      <c r="B601" s="127"/>
      <c r="C601" s="135"/>
      <c r="D601" s="144"/>
      <c r="E601" s="74" t="s">
        <v>56</v>
      </c>
      <c r="F601" s="63" t="s">
        <v>56</v>
      </c>
      <c r="G601" s="129"/>
      <c r="H601" s="133"/>
      <c r="I601" s="129"/>
      <c r="J601" s="130"/>
      <c r="K601" s="130"/>
      <c r="L601" s="130"/>
      <c r="M601" s="130"/>
      <c r="N601" s="140"/>
      <c r="O601" s="150"/>
      <c r="P601" s="150"/>
      <c r="Q601" s="134"/>
      <c r="R601" s="134"/>
      <c r="S601" s="134"/>
      <c r="T601" s="134"/>
      <c r="U601" s="134"/>
      <c r="V601" s="134"/>
      <c r="W601" s="134"/>
      <c r="X601" s="134"/>
      <c r="Y601" s="134"/>
    </row>
    <row r="602">
      <c r="A602" s="126"/>
      <c r="B602" s="127"/>
      <c r="C602" s="135"/>
      <c r="D602" s="144"/>
      <c r="E602" s="74" t="s">
        <v>56</v>
      </c>
      <c r="F602" s="63" t="s">
        <v>56</v>
      </c>
      <c r="G602" s="129"/>
      <c r="H602" s="133"/>
      <c r="I602" s="129"/>
      <c r="J602" s="130"/>
      <c r="K602" s="130"/>
      <c r="L602" s="130"/>
      <c r="M602" s="130"/>
      <c r="N602" s="140"/>
      <c r="O602" s="150"/>
      <c r="P602" s="150"/>
      <c r="Q602" s="134"/>
      <c r="R602" s="134"/>
      <c r="S602" s="134"/>
      <c r="T602" s="134"/>
      <c r="U602" s="134"/>
      <c r="V602" s="134"/>
      <c r="W602" s="134"/>
      <c r="X602" s="134"/>
      <c r="Y602" s="134"/>
    </row>
    <row r="603">
      <c r="A603" s="126"/>
      <c r="B603" s="127"/>
      <c r="C603" s="135"/>
      <c r="D603" s="144"/>
      <c r="E603" s="74" t="s">
        <v>56</v>
      </c>
      <c r="F603" s="63" t="s">
        <v>56</v>
      </c>
      <c r="G603" s="129"/>
      <c r="H603" s="133"/>
      <c r="I603" s="129"/>
      <c r="J603" s="130"/>
      <c r="K603" s="130"/>
      <c r="L603" s="130"/>
      <c r="M603" s="130"/>
      <c r="N603" s="140"/>
      <c r="O603" s="150"/>
      <c r="P603" s="150"/>
      <c r="Q603" s="134"/>
      <c r="R603" s="134"/>
      <c r="S603" s="134"/>
      <c r="T603" s="134"/>
      <c r="U603" s="134"/>
      <c r="V603" s="134"/>
      <c r="W603" s="134"/>
      <c r="X603" s="134"/>
      <c r="Y603" s="134"/>
    </row>
    <row r="604">
      <c r="A604" s="126"/>
      <c r="B604" s="127"/>
      <c r="C604" s="135"/>
      <c r="D604" s="144"/>
      <c r="E604" s="74" t="s">
        <v>56</v>
      </c>
      <c r="F604" s="63" t="s">
        <v>56</v>
      </c>
      <c r="G604" s="129"/>
      <c r="H604" s="133"/>
      <c r="I604" s="129"/>
      <c r="J604" s="130"/>
      <c r="K604" s="130"/>
      <c r="L604" s="130"/>
      <c r="M604" s="130"/>
      <c r="N604" s="140"/>
      <c r="O604" s="150"/>
      <c r="P604" s="150"/>
      <c r="Q604" s="134"/>
      <c r="R604" s="134"/>
      <c r="S604" s="134"/>
      <c r="T604" s="134"/>
      <c r="U604" s="134"/>
      <c r="V604" s="134"/>
      <c r="W604" s="134"/>
      <c r="X604" s="134"/>
      <c r="Y604" s="134"/>
    </row>
    <row r="605">
      <c r="A605" s="126"/>
      <c r="B605" s="127"/>
      <c r="C605" s="135"/>
      <c r="D605" s="144"/>
      <c r="E605" s="74" t="s">
        <v>56</v>
      </c>
      <c r="F605" s="63" t="s">
        <v>56</v>
      </c>
      <c r="G605" s="129"/>
      <c r="H605" s="133"/>
      <c r="I605" s="129"/>
      <c r="J605" s="130"/>
      <c r="K605" s="130"/>
      <c r="L605" s="130"/>
      <c r="M605" s="130"/>
      <c r="N605" s="140"/>
      <c r="O605" s="150"/>
      <c r="P605" s="150"/>
      <c r="Q605" s="134"/>
      <c r="R605" s="134"/>
      <c r="S605" s="134"/>
      <c r="T605" s="134"/>
      <c r="U605" s="134"/>
      <c r="V605" s="134"/>
      <c r="W605" s="134"/>
      <c r="X605" s="134"/>
      <c r="Y605" s="134"/>
    </row>
    <row r="606">
      <c r="A606" s="126"/>
      <c r="B606" s="127"/>
      <c r="C606" s="135"/>
      <c r="D606" s="144"/>
      <c r="E606" s="74" t="s">
        <v>56</v>
      </c>
      <c r="F606" s="63" t="s">
        <v>56</v>
      </c>
      <c r="G606" s="129"/>
      <c r="H606" s="133"/>
      <c r="I606" s="129"/>
      <c r="J606" s="130"/>
      <c r="K606" s="130"/>
      <c r="L606" s="130"/>
      <c r="M606" s="130"/>
      <c r="N606" s="140"/>
      <c r="O606" s="150"/>
      <c r="P606" s="150"/>
      <c r="Q606" s="134"/>
      <c r="R606" s="134"/>
      <c r="S606" s="134"/>
      <c r="T606" s="134"/>
      <c r="U606" s="134"/>
      <c r="V606" s="134"/>
      <c r="W606" s="134"/>
      <c r="X606" s="134"/>
      <c r="Y606" s="134"/>
    </row>
    <row r="607">
      <c r="A607" s="126"/>
      <c r="B607" s="127"/>
      <c r="C607" s="135"/>
      <c r="D607" s="144"/>
      <c r="E607" s="74" t="s">
        <v>56</v>
      </c>
      <c r="F607" s="63" t="s">
        <v>56</v>
      </c>
      <c r="G607" s="129"/>
      <c r="H607" s="133"/>
      <c r="I607" s="129"/>
      <c r="J607" s="130"/>
      <c r="K607" s="130"/>
      <c r="L607" s="130"/>
      <c r="M607" s="130"/>
      <c r="N607" s="140"/>
      <c r="O607" s="150"/>
      <c r="P607" s="150"/>
      <c r="Q607" s="134"/>
      <c r="R607" s="134"/>
      <c r="S607" s="134"/>
      <c r="T607" s="134"/>
      <c r="U607" s="134"/>
      <c r="V607" s="134"/>
      <c r="W607" s="134"/>
      <c r="X607" s="134"/>
      <c r="Y607" s="134"/>
    </row>
    <row r="608">
      <c r="A608" s="126"/>
      <c r="B608" s="127"/>
      <c r="C608" s="135"/>
      <c r="D608" s="144"/>
      <c r="E608" s="74" t="s">
        <v>56</v>
      </c>
      <c r="F608" s="63" t="s">
        <v>56</v>
      </c>
      <c r="G608" s="129"/>
      <c r="H608" s="133"/>
      <c r="I608" s="129"/>
      <c r="J608" s="130"/>
      <c r="K608" s="130"/>
      <c r="L608" s="130"/>
      <c r="M608" s="130"/>
      <c r="N608" s="140"/>
      <c r="O608" s="150"/>
      <c r="P608" s="150"/>
      <c r="Q608" s="134"/>
      <c r="R608" s="134"/>
      <c r="S608" s="134"/>
      <c r="T608" s="134"/>
      <c r="U608" s="134"/>
      <c r="V608" s="134"/>
      <c r="W608" s="134"/>
      <c r="X608" s="134"/>
      <c r="Y608" s="134"/>
    </row>
    <row r="609">
      <c r="A609" s="126"/>
      <c r="B609" s="127"/>
      <c r="C609" s="135"/>
      <c r="D609" s="144"/>
      <c r="E609" s="74" t="s">
        <v>56</v>
      </c>
      <c r="F609" s="63" t="s">
        <v>56</v>
      </c>
      <c r="G609" s="129"/>
      <c r="H609" s="133"/>
      <c r="I609" s="129"/>
      <c r="J609" s="130"/>
      <c r="K609" s="130"/>
      <c r="L609" s="130"/>
      <c r="M609" s="130"/>
      <c r="N609" s="140"/>
      <c r="O609" s="150"/>
      <c r="P609" s="150"/>
      <c r="Q609" s="134"/>
      <c r="R609" s="134"/>
      <c r="S609" s="134"/>
      <c r="T609" s="134"/>
      <c r="U609" s="134"/>
      <c r="V609" s="134"/>
      <c r="W609" s="134"/>
      <c r="X609" s="134"/>
      <c r="Y609" s="134"/>
    </row>
    <row r="610">
      <c r="A610" s="126"/>
      <c r="B610" s="127"/>
      <c r="C610" s="135"/>
      <c r="D610" s="144"/>
      <c r="E610" s="74" t="s">
        <v>56</v>
      </c>
      <c r="F610" s="63" t="s">
        <v>56</v>
      </c>
      <c r="G610" s="129"/>
      <c r="H610" s="133"/>
      <c r="I610" s="129"/>
      <c r="J610" s="130"/>
      <c r="K610" s="130"/>
      <c r="L610" s="130"/>
      <c r="M610" s="130"/>
      <c r="N610" s="140"/>
      <c r="O610" s="150"/>
      <c r="P610" s="150"/>
      <c r="Q610" s="134"/>
      <c r="R610" s="134"/>
      <c r="S610" s="134"/>
      <c r="T610" s="134"/>
      <c r="U610" s="134"/>
      <c r="V610" s="134"/>
      <c r="W610" s="134"/>
      <c r="X610" s="134"/>
      <c r="Y610" s="134"/>
    </row>
    <row r="611">
      <c r="A611" s="126"/>
      <c r="B611" s="127"/>
      <c r="C611" s="135"/>
      <c r="D611" s="144"/>
      <c r="E611" s="74" t="s">
        <v>56</v>
      </c>
      <c r="F611" s="63" t="s">
        <v>56</v>
      </c>
      <c r="G611" s="129"/>
      <c r="H611" s="133"/>
      <c r="I611" s="129"/>
      <c r="J611" s="130"/>
      <c r="K611" s="130"/>
      <c r="L611" s="130"/>
      <c r="M611" s="130"/>
      <c r="N611" s="140"/>
      <c r="O611" s="150"/>
      <c r="P611" s="150"/>
      <c r="Q611" s="134"/>
      <c r="R611" s="134"/>
      <c r="S611" s="134"/>
      <c r="T611" s="134"/>
      <c r="U611" s="134"/>
      <c r="V611" s="134"/>
      <c r="W611" s="134"/>
      <c r="X611" s="134"/>
      <c r="Y611" s="134"/>
    </row>
    <row r="612">
      <c r="A612" s="126"/>
      <c r="B612" s="127"/>
      <c r="C612" s="135"/>
      <c r="D612" s="144"/>
      <c r="E612" s="74" t="s">
        <v>56</v>
      </c>
      <c r="F612" s="63" t="s">
        <v>56</v>
      </c>
      <c r="G612" s="129"/>
      <c r="H612" s="133"/>
      <c r="I612" s="129"/>
      <c r="J612" s="130"/>
      <c r="K612" s="130"/>
      <c r="L612" s="130"/>
      <c r="M612" s="130"/>
      <c r="N612" s="140"/>
      <c r="O612" s="150"/>
      <c r="P612" s="150"/>
      <c r="Q612" s="134"/>
      <c r="R612" s="134"/>
      <c r="S612" s="134"/>
      <c r="T612" s="134"/>
      <c r="U612" s="134"/>
      <c r="V612" s="134"/>
      <c r="W612" s="134"/>
      <c r="X612" s="134"/>
      <c r="Y612" s="134"/>
    </row>
    <row r="613">
      <c r="A613" s="126"/>
      <c r="B613" s="127"/>
      <c r="C613" s="135"/>
      <c r="D613" s="144"/>
      <c r="E613" s="74" t="s">
        <v>56</v>
      </c>
      <c r="F613" s="63" t="s">
        <v>56</v>
      </c>
      <c r="G613" s="129"/>
      <c r="H613" s="133"/>
      <c r="I613" s="129"/>
      <c r="J613" s="130"/>
      <c r="K613" s="130"/>
      <c r="L613" s="130"/>
      <c r="M613" s="130"/>
      <c r="N613" s="140"/>
      <c r="O613" s="150"/>
      <c r="P613" s="150"/>
      <c r="Q613" s="134"/>
      <c r="R613" s="134"/>
      <c r="S613" s="134"/>
      <c r="T613" s="134"/>
      <c r="U613" s="134"/>
      <c r="V613" s="134"/>
      <c r="W613" s="134"/>
      <c r="X613" s="134"/>
      <c r="Y613" s="134"/>
    </row>
    <row r="614">
      <c r="A614" s="126"/>
      <c r="B614" s="127"/>
      <c r="C614" s="135"/>
      <c r="D614" s="144"/>
      <c r="E614" s="74" t="s">
        <v>56</v>
      </c>
      <c r="F614" s="63" t="s">
        <v>56</v>
      </c>
      <c r="G614" s="129"/>
      <c r="H614" s="133"/>
      <c r="I614" s="129"/>
      <c r="J614" s="130"/>
      <c r="K614" s="130"/>
      <c r="L614" s="130"/>
      <c r="M614" s="130"/>
      <c r="N614" s="140"/>
      <c r="O614" s="150"/>
      <c r="P614" s="150"/>
      <c r="Q614" s="134"/>
      <c r="R614" s="134"/>
      <c r="S614" s="134"/>
      <c r="T614" s="134"/>
      <c r="U614" s="134"/>
      <c r="V614" s="134"/>
      <c r="W614" s="134"/>
      <c r="X614" s="134"/>
      <c r="Y614" s="134"/>
    </row>
    <row r="615">
      <c r="A615" s="126"/>
      <c r="B615" s="127"/>
      <c r="C615" s="135"/>
      <c r="D615" s="144"/>
      <c r="E615" s="74" t="s">
        <v>56</v>
      </c>
      <c r="F615" s="63" t="s">
        <v>56</v>
      </c>
      <c r="G615" s="129"/>
      <c r="H615" s="133"/>
      <c r="I615" s="129"/>
      <c r="J615" s="130"/>
      <c r="K615" s="130"/>
      <c r="L615" s="130"/>
      <c r="M615" s="130"/>
      <c r="N615" s="140"/>
      <c r="O615" s="150"/>
      <c r="P615" s="150"/>
      <c r="Q615" s="134"/>
      <c r="R615" s="134"/>
      <c r="S615" s="134"/>
      <c r="T615" s="134"/>
      <c r="U615" s="134"/>
      <c r="V615" s="134"/>
      <c r="W615" s="134"/>
      <c r="X615" s="134"/>
      <c r="Y615" s="134"/>
    </row>
    <row r="616">
      <c r="A616" s="126"/>
      <c r="B616" s="127"/>
      <c r="C616" s="135"/>
      <c r="D616" s="144"/>
      <c r="E616" s="74" t="s">
        <v>56</v>
      </c>
      <c r="F616" s="63" t="s">
        <v>56</v>
      </c>
      <c r="G616" s="129"/>
      <c r="H616" s="133"/>
      <c r="I616" s="129"/>
      <c r="J616" s="130"/>
      <c r="K616" s="130"/>
      <c r="L616" s="130"/>
      <c r="M616" s="130"/>
      <c r="N616" s="140"/>
      <c r="O616" s="150"/>
      <c r="P616" s="150"/>
      <c r="Q616" s="134"/>
      <c r="R616" s="134"/>
      <c r="S616" s="134"/>
      <c r="T616" s="134"/>
      <c r="U616" s="134"/>
      <c r="V616" s="134"/>
      <c r="W616" s="134"/>
      <c r="X616" s="134"/>
      <c r="Y616" s="134"/>
    </row>
    <row r="617">
      <c r="A617" s="126"/>
      <c r="B617" s="127"/>
      <c r="C617" s="135"/>
      <c r="D617" s="144"/>
      <c r="E617" s="74" t="s">
        <v>56</v>
      </c>
      <c r="F617" s="63" t="s">
        <v>56</v>
      </c>
      <c r="G617" s="129"/>
      <c r="H617" s="133"/>
      <c r="I617" s="129"/>
      <c r="J617" s="130"/>
      <c r="K617" s="130"/>
      <c r="L617" s="130"/>
      <c r="M617" s="130"/>
      <c r="N617" s="140"/>
      <c r="O617" s="150"/>
      <c r="P617" s="150"/>
      <c r="Q617" s="134"/>
      <c r="R617" s="134"/>
      <c r="S617" s="134"/>
      <c r="T617" s="134"/>
      <c r="U617" s="134"/>
      <c r="V617" s="134"/>
      <c r="W617" s="134"/>
      <c r="X617" s="134"/>
      <c r="Y617" s="134"/>
    </row>
    <row r="618">
      <c r="A618" s="126"/>
      <c r="B618" s="127"/>
      <c r="C618" s="135"/>
      <c r="D618" s="144"/>
      <c r="E618" s="74" t="s">
        <v>56</v>
      </c>
      <c r="F618" s="63" t="s">
        <v>56</v>
      </c>
      <c r="G618" s="129"/>
      <c r="H618" s="133"/>
      <c r="I618" s="129"/>
      <c r="J618" s="130"/>
      <c r="K618" s="130"/>
      <c r="L618" s="130"/>
      <c r="M618" s="130"/>
      <c r="N618" s="140"/>
      <c r="O618" s="150"/>
      <c r="P618" s="150"/>
      <c r="Q618" s="134"/>
      <c r="R618" s="134"/>
      <c r="S618" s="134"/>
      <c r="T618" s="134"/>
      <c r="U618" s="134"/>
      <c r="V618" s="134"/>
      <c r="W618" s="134"/>
      <c r="X618" s="134"/>
      <c r="Y618" s="134"/>
    </row>
    <row r="619">
      <c r="A619" s="126"/>
      <c r="B619" s="127"/>
      <c r="C619" s="135"/>
      <c r="D619" s="144"/>
      <c r="E619" s="74" t="s">
        <v>56</v>
      </c>
      <c r="F619" s="63" t="s">
        <v>56</v>
      </c>
      <c r="G619" s="129"/>
      <c r="H619" s="133"/>
      <c r="I619" s="129"/>
      <c r="J619" s="130"/>
      <c r="K619" s="130"/>
      <c r="L619" s="130"/>
      <c r="M619" s="130"/>
      <c r="N619" s="140"/>
      <c r="O619" s="150"/>
      <c r="P619" s="150"/>
      <c r="Q619" s="134"/>
      <c r="R619" s="134"/>
      <c r="S619" s="134"/>
      <c r="T619" s="134"/>
      <c r="U619" s="134"/>
      <c r="V619" s="134"/>
      <c r="W619" s="134"/>
      <c r="X619" s="134"/>
      <c r="Y619" s="134"/>
    </row>
    <row r="620">
      <c r="A620" s="126"/>
      <c r="B620" s="127"/>
      <c r="C620" s="135"/>
      <c r="D620" s="144"/>
      <c r="E620" s="74" t="s">
        <v>56</v>
      </c>
      <c r="F620" s="63" t="s">
        <v>56</v>
      </c>
      <c r="G620" s="129"/>
      <c r="H620" s="133"/>
      <c r="I620" s="129"/>
      <c r="J620" s="130"/>
      <c r="K620" s="130"/>
      <c r="L620" s="130"/>
      <c r="M620" s="130"/>
      <c r="N620" s="140"/>
      <c r="O620" s="150"/>
      <c r="P620" s="150"/>
      <c r="Q620" s="134"/>
      <c r="R620" s="134"/>
      <c r="S620" s="134"/>
      <c r="T620" s="134"/>
      <c r="U620" s="134"/>
      <c r="V620" s="134"/>
      <c r="W620" s="134"/>
      <c r="X620" s="134"/>
      <c r="Y620" s="134"/>
    </row>
    <row r="621">
      <c r="A621" s="126"/>
      <c r="B621" s="127"/>
      <c r="C621" s="135"/>
      <c r="D621" s="144"/>
      <c r="E621" s="74" t="s">
        <v>56</v>
      </c>
      <c r="F621" s="63" t="s">
        <v>56</v>
      </c>
      <c r="G621" s="129"/>
      <c r="H621" s="133"/>
      <c r="I621" s="129"/>
      <c r="J621" s="130"/>
      <c r="K621" s="130"/>
      <c r="L621" s="130"/>
      <c r="M621" s="130"/>
      <c r="N621" s="140"/>
      <c r="O621" s="150"/>
      <c r="P621" s="150"/>
      <c r="Q621" s="134"/>
      <c r="R621" s="134"/>
      <c r="S621" s="134"/>
      <c r="T621" s="134"/>
      <c r="U621" s="134"/>
      <c r="V621" s="134"/>
      <c r="W621" s="134"/>
      <c r="X621" s="134"/>
      <c r="Y621" s="134"/>
    </row>
    <row r="622">
      <c r="A622" s="126"/>
      <c r="B622" s="127"/>
      <c r="C622" s="135"/>
      <c r="D622" s="144"/>
      <c r="E622" s="74" t="s">
        <v>56</v>
      </c>
      <c r="F622" s="63" t="s">
        <v>56</v>
      </c>
      <c r="G622" s="129"/>
      <c r="H622" s="133"/>
      <c r="I622" s="129"/>
      <c r="J622" s="130"/>
      <c r="K622" s="130"/>
      <c r="L622" s="130"/>
      <c r="M622" s="130"/>
      <c r="N622" s="140"/>
      <c r="O622" s="150"/>
      <c r="P622" s="150"/>
      <c r="Q622" s="134"/>
      <c r="R622" s="134"/>
      <c r="S622" s="134"/>
      <c r="T622" s="134"/>
      <c r="U622" s="134"/>
      <c r="V622" s="134"/>
      <c r="W622" s="134"/>
      <c r="X622" s="134"/>
      <c r="Y622" s="134"/>
    </row>
    <row r="623">
      <c r="A623" s="126"/>
      <c r="B623" s="127"/>
      <c r="C623" s="135"/>
      <c r="D623" s="144"/>
      <c r="E623" s="74" t="s">
        <v>56</v>
      </c>
      <c r="F623" s="63" t="s">
        <v>56</v>
      </c>
      <c r="G623" s="129"/>
      <c r="H623" s="133"/>
      <c r="I623" s="129"/>
      <c r="J623" s="130"/>
      <c r="K623" s="130"/>
      <c r="L623" s="130"/>
      <c r="M623" s="130"/>
      <c r="N623" s="140"/>
      <c r="O623" s="150"/>
      <c r="P623" s="150"/>
      <c r="Q623" s="134"/>
      <c r="R623" s="134"/>
      <c r="S623" s="134"/>
      <c r="T623" s="134"/>
      <c r="U623" s="134"/>
      <c r="V623" s="134"/>
      <c r="W623" s="134"/>
      <c r="X623" s="134"/>
      <c r="Y623" s="134"/>
    </row>
    <row r="624">
      <c r="A624" s="126"/>
      <c r="B624" s="127"/>
      <c r="C624" s="135"/>
      <c r="D624" s="144"/>
      <c r="E624" s="74" t="s">
        <v>56</v>
      </c>
      <c r="F624" s="63" t="s">
        <v>56</v>
      </c>
      <c r="G624" s="129"/>
      <c r="H624" s="133"/>
      <c r="I624" s="129"/>
      <c r="J624" s="130"/>
      <c r="K624" s="130"/>
      <c r="L624" s="130"/>
      <c r="M624" s="130"/>
      <c r="N624" s="140"/>
      <c r="O624" s="150"/>
      <c r="P624" s="150"/>
      <c r="Q624" s="134"/>
      <c r="R624" s="134"/>
      <c r="S624" s="134"/>
      <c r="T624" s="134"/>
      <c r="U624" s="134"/>
      <c r="V624" s="134"/>
      <c r="W624" s="134"/>
      <c r="X624" s="134"/>
      <c r="Y624" s="134"/>
    </row>
    <row r="625">
      <c r="A625" s="126"/>
      <c r="B625" s="127"/>
      <c r="C625" s="135"/>
      <c r="D625" s="144"/>
      <c r="E625" s="74" t="s">
        <v>56</v>
      </c>
      <c r="F625" s="63" t="s">
        <v>56</v>
      </c>
      <c r="G625" s="129"/>
      <c r="H625" s="133"/>
      <c r="I625" s="129"/>
      <c r="J625" s="130"/>
      <c r="K625" s="130"/>
      <c r="L625" s="130"/>
      <c r="M625" s="130"/>
      <c r="N625" s="140"/>
      <c r="O625" s="150"/>
      <c r="P625" s="150"/>
      <c r="Q625" s="134"/>
      <c r="R625" s="134"/>
      <c r="S625" s="134"/>
      <c r="T625" s="134"/>
      <c r="U625" s="134"/>
      <c r="V625" s="134"/>
      <c r="W625" s="134"/>
      <c r="X625" s="134"/>
      <c r="Y625" s="134"/>
    </row>
    <row r="626">
      <c r="A626" s="126"/>
      <c r="B626" s="127"/>
      <c r="C626" s="135"/>
      <c r="D626" s="144"/>
      <c r="E626" s="74" t="s">
        <v>56</v>
      </c>
      <c r="F626" s="63" t="s">
        <v>56</v>
      </c>
      <c r="G626" s="129"/>
      <c r="H626" s="133"/>
      <c r="I626" s="129"/>
      <c r="J626" s="130"/>
      <c r="K626" s="130"/>
      <c r="L626" s="130"/>
      <c r="M626" s="130"/>
      <c r="N626" s="140"/>
      <c r="O626" s="150"/>
      <c r="P626" s="150"/>
      <c r="Q626" s="134"/>
      <c r="R626" s="134"/>
      <c r="S626" s="134"/>
      <c r="T626" s="134"/>
      <c r="U626" s="134"/>
      <c r="V626" s="134"/>
      <c r="W626" s="134"/>
      <c r="X626" s="134"/>
      <c r="Y626" s="134"/>
    </row>
    <row r="627">
      <c r="A627" s="126"/>
      <c r="B627" s="127"/>
      <c r="C627" s="135"/>
      <c r="D627" s="144"/>
      <c r="E627" s="74" t="s">
        <v>56</v>
      </c>
      <c r="F627" s="63" t="s">
        <v>56</v>
      </c>
      <c r="G627" s="129"/>
      <c r="H627" s="133"/>
      <c r="I627" s="129"/>
      <c r="J627" s="130"/>
      <c r="K627" s="130"/>
      <c r="L627" s="130"/>
      <c r="M627" s="130"/>
      <c r="N627" s="140"/>
      <c r="O627" s="150"/>
      <c r="P627" s="150"/>
      <c r="Q627" s="134"/>
      <c r="R627" s="134"/>
      <c r="S627" s="134"/>
      <c r="T627" s="134"/>
      <c r="U627" s="134"/>
      <c r="V627" s="134"/>
      <c r="W627" s="134"/>
      <c r="X627" s="134"/>
      <c r="Y627" s="134"/>
    </row>
    <row r="628">
      <c r="A628" s="126"/>
      <c r="B628" s="127"/>
      <c r="C628" s="135"/>
      <c r="D628" s="144"/>
      <c r="E628" s="74" t="s">
        <v>56</v>
      </c>
      <c r="F628" s="63" t="s">
        <v>56</v>
      </c>
      <c r="G628" s="129"/>
      <c r="H628" s="133"/>
      <c r="I628" s="129"/>
      <c r="J628" s="130"/>
      <c r="K628" s="130"/>
      <c r="L628" s="130"/>
      <c r="M628" s="130"/>
      <c r="N628" s="140"/>
      <c r="O628" s="150"/>
      <c r="P628" s="150"/>
      <c r="Q628" s="134"/>
      <c r="R628" s="134"/>
      <c r="S628" s="134"/>
      <c r="T628" s="134"/>
      <c r="U628" s="134"/>
      <c r="V628" s="134"/>
      <c r="W628" s="134"/>
      <c r="X628" s="134"/>
      <c r="Y628" s="134"/>
    </row>
    <row r="629">
      <c r="A629" s="126"/>
      <c r="B629" s="127"/>
      <c r="C629" s="135"/>
      <c r="D629" s="144"/>
      <c r="E629" s="74" t="s">
        <v>56</v>
      </c>
      <c r="F629" s="63" t="s">
        <v>56</v>
      </c>
      <c r="G629" s="129"/>
      <c r="H629" s="133"/>
      <c r="I629" s="129"/>
      <c r="J629" s="130"/>
      <c r="K629" s="130"/>
      <c r="L629" s="130"/>
      <c r="M629" s="130"/>
      <c r="N629" s="140"/>
      <c r="O629" s="150"/>
      <c r="P629" s="150"/>
      <c r="Q629" s="134"/>
      <c r="R629" s="134"/>
      <c r="S629" s="134"/>
      <c r="T629" s="134"/>
      <c r="U629" s="134"/>
      <c r="V629" s="134"/>
      <c r="W629" s="134"/>
      <c r="X629" s="134"/>
      <c r="Y629" s="134"/>
    </row>
    <row r="630">
      <c r="A630" s="126"/>
      <c r="B630" s="127"/>
      <c r="C630" s="135"/>
      <c r="D630" s="144"/>
      <c r="E630" s="74" t="s">
        <v>56</v>
      </c>
      <c r="F630" s="63" t="s">
        <v>56</v>
      </c>
      <c r="G630" s="129"/>
      <c r="H630" s="133"/>
      <c r="I630" s="129"/>
      <c r="J630" s="130"/>
      <c r="K630" s="130"/>
      <c r="L630" s="130"/>
      <c r="M630" s="130"/>
      <c r="N630" s="140"/>
      <c r="O630" s="150"/>
      <c r="P630" s="150"/>
      <c r="Q630" s="134"/>
      <c r="R630" s="134"/>
      <c r="S630" s="134"/>
      <c r="T630" s="134"/>
      <c r="U630" s="134"/>
      <c r="V630" s="134"/>
      <c r="W630" s="134"/>
      <c r="X630" s="134"/>
      <c r="Y630" s="134"/>
    </row>
    <row r="631">
      <c r="A631" s="126"/>
      <c r="B631" s="127"/>
      <c r="C631" s="135"/>
      <c r="D631" s="144"/>
      <c r="E631" s="74" t="s">
        <v>56</v>
      </c>
      <c r="F631" s="63" t="s">
        <v>56</v>
      </c>
      <c r="G631" s="129"/>
      <c r="H631" s="133"/>
      <c r="I631" s="129"/>
      <c r="J631" s="130"/>
      <c r="K631" s="130"/>
      <c r="L631" s="130"/>
      <c r="M631" s="130"/>
      <c r="N631" s="140"/>
      <c r="O631" s="150"/>
      <c r="P631" s="150"/>
      <c r="Q631" s="134"/>
      <c r="R631" s="134"/>
      <c r="S631" s="134"/>
      <c r="T631" s="134"/>
      <c r="U631" s="134"/>
      <c r="V631" s="134"/>
      <c r="W631" s="134"/>
      <c r="X631" s="134"/>
      <c r="Y631" s="134"/>
    </row>
    <row r="632">
      <c r="A632" s="126"/>
      <c r="B632" s="127"/>
      <c r="C632" s="135"/>
      <c r="D632" s="144"/>
      <c r="E632" s="74" t="s">
        <v>56</v>
      </c>
      <c r="F632" s="63" t="s">
        <v>56</v>
      </c>
      <c r="G632" s="129"/>
      <c r="H632" s="133"/>
      <c r="I632" s="129"/>
      <c r="J632" s="130"/>
      <c r="K632" s="130"/>
      <c r="L632" s="130"/>
      <c r="M632" s="130"/>
      <c r="N632" s="140"/>
      <c r="O632" s="150"/>
      <c r="P632" s="150"/>
      <c r="Q632" s="134"/>
      <c r="R632" s="134"/>
      <c r="S632" s="134"/>
      <c r="T632" s="134"/>
      <c r="U632" s="134"/>
      <c r="V632" s="134"/>
      <c r="W632" s="134"/>
      <c r="X632" s="134"/>
      <c r="Y632" s="134"/>
    </row>
    <row r="633">
      <c r="A633" s="126"/>
      <c r="B633" s="127"/>
      <c r="C633" s="135"/>
      <c r="D633" s="144"/>
      <c r="E633" s="74" t="s">
        <v>56</v>
      </c>
      <c r="F633" s="63" t="s">
        <v>56</v>
      </c>
      <c r="G633" s="129"/>
      <c r="H633" s="133"/>
      <c r="I633" s="129"/>
      <c r="J633" s="130"/>
      <c r="K633" s="130"/>
      <c r="L633" s="130"/>
      <c r="M633" s="130"/>
      <c r="N633" s="140"/>
      <c r="O633" s="150"/>
      <c r="P633" s="150"/>
      <c r="Q633" s="134"/>
      <c r="R633" s="134"/>
      <c r="S633" s="134"/>
      <c r="T633" s="134"/>
      <c r="U633" s="134"/>
      <c r="V633" s="134"/>
      <c r="W633" s="134"/>
      <c r="X633" s="134"/>
      <c r="Y633" s="134"/>
    </row>
    <row r="634">
      <c r="A634" s="126"/>
      <c r="B634" s="127"/>
      <c r="C634" s="135"/>
      <c r="D634" s="144"/>
      <c r="E634" s="74" t="s">
        <v>56</v>
      </c>
      <c r="F634" s="63" t="s">
        <v>56</v>
      </c>
      <c r="G634" s="129"/>
      <c r="H634" s="133"/>
      <c r="I634" s="129"/>
      <c r="J634" s="130"/>
      <c r="K634" s="130"/>
      <c r="L634" s="130"/>
      <c r="M634" s="130"/>
      <c r="N634" s="140"/>
      <c r="O634" s="150"/>
      <c r="P634" s="150"/>
      <c r="Q634" s="134"/>
      <c r="R634" s="134"/>
      <c r="S634" s="134"/>
      <c r="T634" s="134"/>
      <c r="U634" s="134"/>
      <c r="V634" s="134"/>
      <c r="W634" s="134"/>
      <c r="X634" s="134"/>
      <c r="Y634" s="134"/>
    </row>
    <row r="635">
      <c r="A635" s="126"/>
      <c r="B635" s="127"/>
      <c r="C635" s="135"/>
      <c r="D635" s="144"/>
      <c r="E635" s="74" t="s">
        <v>56</v>
      </c>
      <c r="F635" s="63" t="s">
        <v>56</v>
      </c>
      <c r="G635" s="129"/>
      <c r="H635" s="133"/>
      <c r="I635" s="129"/>
      <c r="J635" s="130"/>
      <c r="K635" s="130"/>
      <c r="L635" s="130"/>
      <c r="M635" s="130"/>
      <c r="N635" s="140"/>
      <c r="O635" s="150"/>
      <c r="P635" s="150"/>
      <c r="Q635" s="134"/>
      <c r="R635" s="134"/>
      <c r="S635" s="134"/>
      <c r="T635" s="134"/>
      <c r="U635" s="134"/>
      <c r="V635" s="134"/>
      <c r="W635" s="134"/>
      <c r="X635" s="134"/>
      <c r="Y635" s="134"/>
    </row>
    <row r="636">
      <c r="A636" s="126"/>
      <c r="B636" s="127"/>
      <c r="C636" s="135"/>
      <c r="D636" s="144"/>
      <c r="E636" s="74" t="s">
        <v>56</v>
      </c>
      <c r="F636" s="63" t="s">
        <v>56</v>
      </c>
      <c r="G636" s="129"/>
      <c r="H636" s="133"/>
      <c r="I636" s="129"/>
      <c r="J636" s="130"/>
      <c r="K636" s="130"/>
      <c r="L636" s="130"/>
      <c r="M636" s="130"/>
      <c r="N636" s="140"/>
      <c r="O636" s="150"/>
      <c r="P636" s="150"/>
      <c r="Q636" s="134"/>
      <c r="R636" s="134"/>
      <c r="S636" s="134"/>
      <c r="T636" s="134"/>
      <c r="U636" s="134"/>
      <c r="V636" s="134"/>
      <c r="W636" s="134"/>
      <c r="X636" s="134"/>
      <c r="Y636" s="134"/>
    </row>
    <row r="637">
      <c r="A637" s="126"/>
      <c r="B637" s="127"/>
      <c r="C637" s="135"/>
      <c r="D637" s="144"/>
      <c r="E637" s="74" t="s">
        <v>56</v>
      </c>
      <c r="F637" s="63" t="s">
        <v>56</v>
      </c>
      <c r="G637" s="129"/>
      <c r="H637" s="133"/>
      <c r="I637" s="129"/>
      <c r="J637" s="130"/>
      <c r="K637" s="130"/>
      <c r="L637" s="130"/>
      <c r="M637" s="130"/>
      <c r="N637" s="140"/>
      <c r="O637" s="150"/>
      <c r="P637" s="150"/>
      <c r="Q637" s="134"/>
      <c r="R637" s="134"/>
      <c r="S637" s="134"/>
      <c r="T637" s="134"/>
      <c r="U637" s="134"/>
      <c r="V637" s="134"/>
      <c r="W637" s="134"/>
      <c r="X637" s="134"/>
      <c r="Y637" s="134"/>
    </row>
    <row r="638">
      <c r="A638" s="126"/>
      <c r="B638" s="127"/>
      <c r="C638" s="135"/>
      <c r="D638" s="144"/>
      <c r="E638" s="74" t="s">
        <v>56</v>
      </c>
      <c r="F638" s="63" t="s">
        <v>56</v>
      </c>
      <c r="G638" s="129"/>
      <c r="H638" s="133"/>
      <c r="I638" s="129"/>
      <c r="J638" s="130"/>
      <c r="K638" s="130"/>
      <c r="L638" s="130"/>
      <c r="M638" s="130"/>
      <c r="N638" s="140"/>
      <c r="O638" s="150"/>
      <c r="P638" s="150"/>
      <c r="Q638" s="134"/>
      <c r="R638" s="134"/>
      <c r="S638" s="134"/>
      <c r="T638" s="134"/>
      <c r="U638" s="134"/>
      <c r="V638" s="134"/>
      <c r="W638" s="134"/>
      <c r="X638" s="134"/>
      <c r="Y638" s="134"/>
    </row>
    <row r="639">
      <c r="A639" s="126"/>
      <c r="B639" s="127"/>
      <c r="C639" s="135"/>
      <c r="D639" s="144"/>
      <c r="E639" s="74" t="s">
        <v>56</v>
      </c>
      <c r="F639" s="63" t="s">
        <v>56</v>
      </c>
      <c r="G639" s="129"/>
      <c r="H639" s="133"/>
      <c r="I639" s="129"/>
      <c r="J639" s="130"/>
      <c r="K639" s="130"/>
      <c r="L639" s="130"/>
      <c r="M639" s="130"/>
      <c r="N639" s="140"/>
      <c r="O639" s="150"/>
      <c r="P639" s="150"/>
      <c r="Q639" s="134"/>
      <c r="R639" s="134"/>
      <c r="S639" s="134"/>
      <c r="T639" s="134"/>
      <c r="U639" s="134"/>
      <c r="V639" s="134"/>
      <c r="W639" s="134"/>
      <c r="X639" s="134"/>
      <c r="Y639" s="134"/>
    </row>
    <row r="640">
      <c r="A640" s="126"/>
      <c r="B640" s="127"/>
      <c r="C640" s="135"/>
      <c r="D640" s="144"/>
      <c r="E640" s="74" t="s">
        <v>56</v>
      </c>
      <c r="F640" s="63" t="s">
        <v>56</v>
      </c>
      <c r="G640" s="129"/>
      <c r="H640" s="133"/>
      <c r="I640" s="129"/>
      <c r="J640" s="130"/>
      <c r="K640" s="130"/>
      <c r="L640" s="130"/>
      <c r="M640" s="130"/>
      <c r="N640" s="140"/>
      <c r="O640" s="150"/>
      <c r="P640" s="150"/>
      <c r="Q640" s="134"/>
      <c r="R640" s="134"/>
      <c r="S640" s="134"/>
      <c r="T640" s="134"/>
      <c r="U640" s="134"/>
      <c r="V640" s="134"/>
      <c r="W640" s="134"/>
      <c r="X640" s="134"/>
      <c r="Y640" s="134"/>
    </row>
    <row r="641">
      <c r="A641" s="126"/>
      <c r="B641" s="127"/>
      <c r="C641" s="135"/>
      <c r="D641" s="144"/>
      <c r="E641" s="74" t="s">
        <v>56</v>
      </c>
      <c r="F641" s="63" t="s">
        <v>56</v>
      </c>
      <c r="G641" s="129"/>
      <c r="H641" s="133"/>
      <c r="I641" s="129"/>
      <c r="J641" s="130"/>
      <c r="K641" s="130"/>
      <c r="L641" s="130"/>
      <c r="M641" s="130"/>
      <c r="N641" s="140"/>
      <c r="O641" s="150"/>
      <c r="P641" s="150"/>
      <c r="Q641" s="134"/>
      <c r="R641" s="134"/>
      <c r="S641" s="134"/>
      <c r="T641" s="134"/>
      <c r="U641" s="134"/>
      <c r="V641" s="134"/>
      <c r="W641" s="134"/>
      <c r="X641" s="134"/>
      <c r="Y641" s="134"/>
    </row>
    <row r="642">
      <c r="A642" s="126"/>
      <c r="B642" s="127"/>
      <c r="C642" s="135"/>
      <c r="D642" s="144"/>
      <c r="E642" s="74" t="s">
        <v>56</v>
      </c>
      <c r="F642" s="63" t="s">
        <v>56</v>
      </c>
      <c r="G642" s="129"/>
      <c r="H642" s="133"/>
      <c r="I642" s="129"/>
      <c r="J642" s="130"/>
      <c r="K642" s="130"/>
      <c r="L642" s="130"/>
      <c r="M642" s="130"/>
      <c r="N642" s="140"/>
      <c r="O642" s="150"/>
      <c r="P642" s="150"/>
      <c r="Q642" s="134"/>
      <c r="R642" s="134"/>
      <c r="S642" s="134"/>
      <c r="T642" s="134"/>
      <c r="U642" s="134"/>
      <c r="V642" s="134"/>
      <c r="W642" s="134"/>
      <c r="X642" s="134"/>
      <c r="Y642" s="134"/>
    </row>
    <row r="643">
      <c r="A643" s="126"/>
      <c r="B643" s="127"/>
      <c r="C643" s="135"/>
      <c r="D643" s="144"/>
      <c r="E643" s="74" t="s">
        <v>56</v>
      </c>
      <c r="F643" s="63" t="s">
        <v>56</v>
      </c>
      <c r="G643" s="129"/>
      <c r="H643" s="133"/>
      <c r="I643" s="129"/>
      <c r="J643" s="130"/>
      <c r="K643" s="130"/>
      <c r="L643" s="130"/>
      <c r="M643" s="130"/>
      <c r="N643" s="140"/>
      <c r="O643" s="150"/>
      <c r="P643" s="150"/>
      <c r="Q643" s="134"/>
      <c r="R643" s="134"/>
      <c r="S643" s="134"/>
      <c r="T643" s="134"/>
      <c r="U643" s="134"/>
      <c r="V643" s="134"/>
      <c r="W643" s="134"/>
      <c r="X643" s="134"/>
      <c r="Y643" s="134"/>
    </row>
    <row r="644">
      <c r="A644" s="126"/>
      <c r="B644" s="127"/>
      <c r="C644" s="135"/>
      <c r="D644" s="144"/>
      <c r="E644" s="74" t="s">
        <v>56</v>
      </c>
      <c r="F644" s="63" t="s">
        <v>56</v>
      </c>
      <c r="G644" s="129"/>
      <c r="H644" s="133"/>
      <c r="I644" s="129"/>
      <c r="J644" s="130"/>
      <c r="K644" s="130"/>
      <c r="L644" s="130"/>
      <c r="M644" s="130"/>
      <c r="N644" s="140"/>
      <c r="O644" s="150"/>
      <c r="P644" s="150"/>
      <c r="Q644" s="134"/>
      <c r="R644" s="134"/>
      <c r="S644" s="134"/>
      <c r="T644" s="134"/>
      <c r="U644" s="134"/>
      <c r="V644" s="134"/>
      <c r="W644" s="134"/>
      <c r="X644" s="134"/>
      <c r="Y644" s="134"/>
    </row>
    <row r="645">
      <c r="A645" s="126"/>
      <c r="B645" s="127"/>
      <c r="C645" s="135"/>
      <c r="D645" s="144"/>
      <c r="E645" s="74" t="s">
        <v>56</v>
      </c>
      <c r="F645" s="63" t="s">
        <v>56</v>
      </c>
      <c r="G645" s="129"/>
      <c r="H645" s="133"/>
      <c r="I645" s="129"/>
      <c r="J645" s="130"/>
      <c r="K645" s="130"/>
      <c r="L645" s="130"/>
      <c r="M645" s="130"/>
      <c r="N645" s="140"/>
      <c r="O645" s="150"/>
      <c r="P645" s="150"/>
      <c r="Q645" s="134"/>
      <c r="R645" s="134"/>
      <c r="S645" s="134"/>
      <c r="T645" s="134"/>
      <c r="U645" s="134"/>
      <c r="V645" s="134"/>
      <c r="W645" s="134"/>
      <c r="X645" s="134"/>
      <c r="Y645" s="134"/>
    </row>
    <row r="646">
      <c r="A646" s="126"/>
      <c r="B646" s="127"/>
      <c r="C646" s="135"/>
      <c r="D646" s="144"/>
      <c r="E646" s="74" t="s">
        <v>56</v>
      </c>
      <c r="F646" s="63" t="s">
        <v>56</v>
      </c>
      <c r="G646" s="129"/>
      <c r="H646" s="133"/>
      <c r="I646" s="129"/>
      <c r="J646" s="130"/>
      <c r="K646" s="130"/>
      <c r="L646" s="130"/>
      <c r="M646" s="130"/>
      <c r="N646" s="140"/>
      <c r="O646" s="150"/>
      <c r="P646" s="150"/>
      <c r="Q646" s="134"/>
      <c r="R646" s="134"/>
      <c r="S646" s="134"/>
      <c r="T646" s="134"/>
      <c r="U646" s="134"/>
      <c r="V646" s="134"/>
      <c r="W646" s="134"/>
      <c r="X646" s="134"/>
      <c r="Y646" s="134"/>
    </row>
    <row r="647">
      <c r="A647" s="126"/>
      <c r="B647" s="127"/>
      <c r="C647" s="135"/>
      <c r="D647" s="144"/>
      <c r="E647" s="74" t="s">
        <v>56</v>
      </c>
      <c r="F647" s="63" t="s">
        <v>56</v>
      </c>
      <c r="G647" s="129"/>
      <c r="H647" s="133"/>
      <c r="I647" s="129"/>
      <c r="J647" s="130"/>
      <c r="K647" s="130"/>
      <c r="L647" s="130"/>
      <c r="M647" s="130"/>
      <c r="N647" s="140"/>
      <c r="O647" s="150"/>
      <c r="P647" s="150"/>
      <c r="Q647" s="134"/>
      <c r="R647" s="134"/>
      <c r="S647" s="134"/>
      <c r="T647" s="134"/>
      <c r="U647" s="134"/>
      <c r="V647" s="134"/>
      <c r="W647" s="134"/>
      <c r="X647" s="134"/>
      <c r="Y647" s="134"/>
    </row>
    <row r="648">
      <c r="A648" s="126"/>
      <c r="B648" s="127"/>
      <c r="C648" s="135"/>
      <c r="D648" s="144"/>
      <c r="E648" s="74" t="s">
        <v>56</v>
      </c>
      <c r="F648" s="63" t="s">
        <v>56</v>
      </c>
      <c r="G648" s="129"/>
      <c r="H648" s="133"/>
      <c r="I648" s="129"/>
      <c r="J648" s="130"/>
      <c r="K648" s="130"/>
      <c r="L648" s="130"/>
      <c r="M648" s="130"/>
      <c r="N648" s="140"/>
      <c r="O648" s="150"/>
      <c r="P648" s="150"/>
      <c r="Q648" s="134"/>
      <c r="R648" s="134"/>
      <c r="S648" s="134"/>
      <c r="T648" s="134"/>
      <c r="U648" s="134"/>
      <c r="V648" s="134"/>
      <c r="W648" s="134"/>
      <c r="X648" s="134"/>
      <c r="Y648" s="134"/>
    </row>
    <row r="649">
      <c r="A649" s="126"/>
      <c r="B649" s="127"/>
      <c r="C649" s="135"/>
      <c r="D649" s="144"/>
      <c r="E649" s="74" t="s">
        <v>56</v>
      </c>
      <c r="F649" s="63" t="s">
        <v>56</v>
      </c>
      <c r="G649" s="129"/>
      <c r="H649" s="133"/>
      <c r="I649" s="129"/>
      <c r="J649" s="130"/>
      <c r="K649" s="130"/>
      <c r="L649" s="130"/>
      <c r="M649" s="130"/>
      <c r="N649" s="140"/>
      <c r="O649" s="150"/>
      <c r="P649" s="150"/>
      <c r="Q649" s="134"/>
      <c r="R649" s="134"/>
      <c r="S649" s="134"/>
      <c r="T649" s="134"/>
      <c r="U649" s="134"/>
      <c r="V649" s="134"/>
      <c r="W649" s="134"/>
      <c r="X649" s="134"/>
      <c r="Y649" s="134"/>
    </row>
    <row r="650">
      <c r="A650" s="126"/>
      <c r="B650" s="127"/>
      <c r="C650" s="135"/>
      <c r="D650" s="144"/>
      <c r="E650" s="74" t="s">
        <v>56</v>
      </c>
      <c r="F650" s="63" t="s">
        <v>56</v>
      </c>
      <c r="G650" s="129"/>
      <c r="H650" s="133"/>
      <c r="I650" s="129"/>
      <c r="J650" s="130"/>
      <c r="K650" s="130"/>
      <c r="L650" s="130"/>
      <c r="M650" s="130"/>
      <c r="N650" s="140"/>
      <c r="O650" s="150"/>
      <c r="P650" s="150"/>
      <c r="Q650" s="134"/>
      <c r="R650" s="134"/>
      <c r="S650" s="134"/>
      <c r="T650" s="134"/>
      <c r="U650" s="134"/>
      <c r="V650" s="134"/>
      <c r="W650" s="134"/>
      <c r="X650" s="134"/>
      <c r="Y650" s="134"/>
    </row>
    <row r="651">
      <c r="A651" s="126"/>
      <c r="B651" s="127"/>
      <c r="C651" s="135"/>
      <c r="D651" s="144"/>
      <c r="E651" s="74" t="s">
        <v>56</v>
      </c>
      <c r="F651" s="63" t="s">
        <v>56</v>
      </c>
      <c r="G651" s="129"/>
      <c r="H651" s="133"/>
      <c r="I651" s="129"/>
      <c r="J651" s="130"/>
      <c r="K651" s="130"/>
      <c r="L651" s="130"/>
      <c r="M651" s="130"/>
      <c r="N651" s="140"/>
      <c r="O651" s="150"/>
      <c r="P651" s="150"/>
      <c r="Q651" s="134"/>
      <c r="R651" s="134"/>
      <c r="S651" s="134"/>
      <c r="T651" s="134"/>
      <c r="U651" s="134"/>
      <c r="V651" s="134"/>
      <c r="W651" s="134"/>
      <c r="X651" s="134"/>
      <c r="Y651" s="134"/>
    </row>
    <row r="652">
      <c r="A652" s="126"/>
      <c r="B652" s="127"/>
      <c r="C652" s="135"/>
      <c r="D652" s="144"/>
      <c r="E652" s="74" t="s">
        <v>56</v>
      </c>
      <c r="F652" s="63" t="s">
        <v>56</v>
      </c>
      <c r="G652" s="129"/>
      <c r="H652" s="133"/>
      <c r="I652" s="129"/>
      <c r="J652" s="130"/>
      <c r="K652" s="130"/>
      <c r="L652" s="130"/>
      <c r="M652" s="130"/>
      <c r="N652" s="140"/>
      <c r="O652" s="150"/>
      <c r="P652" s="150"/>
      <c r="Q652" s="134"/>
      <c r="R652" s="134"/>
      <c r="S652" s="134"/>
      <c r="T652" s="134"/>
      <c r="U652" s="134"/>
      <c r="V652" s="134"/>
      <c r="W652" s="134"/>
      <c r="X652" s="134"/>
      <c r="Y652" s="134"/>
    </row>
    <row r="653">
      <c r="A653" s="126"/>
      <c r="B653" s="127"/>
      <c r="C653" s="135"/>
      <c r="D653" s="144"/>
      <c r="E653" s="74" t="s">
        <v>56</v>
      </c>
      <c r="F653" s="63" t="s">
        <v>56</v>
      </c>
      <c r="G653" s="129"/>
      <c r="H653" s="133"/>
      <c r="I653" s="129"/>
      <c r="J653" s="130"/>
      <c r="K653" s="130"/>
      <c r="L653" s="130"/>
      <c r="M653" s="130"/>
      <c r="N653" s="140"/>
      <c r="O653" s="150"/>
      <c r="P653" s="150"/>
      <c r="Q653" s="134"/>
      <c r="R653" s="134"/>
      <c r="S653" s="134"/>
      <c r="T653" s="134"/>
      <c r="U653" s="134"/>
      <c r="V653" s="134"/>
      <c r="W653" s="134"/>
      <c r="X653" s="134"/>
      <c r="Y653" s="134"/>
    </row>
    <row r="654">
      <c r="A654" s="126"/>
      <c r="B654" s="127"/>
      <c r="C654" s="135"/>
      <c r="D654" s="144"/>
      <c r="E654" s="74" t="s">
        <v>56</v>
      </c>
      <c r="F654" s="63" t="s">
        <v>56</v>
      </c>
      <c r="G654" s="129"/>
      <c r="H654" s="133"/>
      <c r="I654" s="129"/>
      <c r="J654" s="130"/>
      <c r="K654" s="130"/>
      <c r="L654" s="130"/>
      <c r="M654" s="130"/>
      <c r="N654" s="140"/>
      <c r="O654" s="150"/>
      <c r="P654" s="150"/>
      <c r="Q654" s="134"/>
      <c r="R654" s="134"/>
      <c r="S654" s="134"/>
      <c r="T654" s="134"/>
      <c r="U654" s="134"/>
      <c r="V654" s="134"/>
      <c r="W654" s="134"/>
      <c r="X654" s="134"/>
      <c r="Y654" s="134"/>
    </row>
    <row r="655">
      <c r="A655" s="126"/>
      <c r="B655" s="127"/>
      <c r="C655" s="135"/>
      <c r="D655" s="144"/>
      <c r="E655" s="74" t="s">
        <v>56</v>
      </c>
      <c r="F655" s="63" t="s">
        <v>56</v>
      </c>
      <c r="G655" s="129"/>
      <c r="H655" s="133"/>
      <c r="I655" s="129"/>
      <c r="J655" s="130"/>
      <c r="K655" s="130"/>
      <c r="L655" s="130"/>
      <c r="M655" s="130"/>
      <c r="N655" s="140"/>
      <c r="O655" s="150"/>
      <c r="P655" s="150"/>
      <c r="Q655" s="134"/>
      <c r="R655" s="134"/>
      <c r="S655" s="134"/>
      <c r="T655" s="134"/>
      <c r="U655" s="134"/>
      <c r="V655" s="134"/>
      <c r="W655" s="134"/>
      <c r="X655" s="134"/>
      <c r="Y655" s="134"/>
    </row>
    <row r="656">
      <c r="A656" s="126"/>
      <c r="B656" s="127"/>
      <c r="C656" s="135"/>
      <c r="D656" s="144"/>
      <c r="E656" s="74" t="s">
        <v>56</v>
      </c>
      <c r="F656" s="63" t="s">
        <v>56</v>
      </c>
      <c r="G656" s="129"/>
      <c r="H656" s="133"/>
      <c r="I656" s="129"/>
      <c r="J656" s="130"/>
      <c r="K656" s="130"/>
      <c r="L656" s="130"/>
      <c r="M656" s="130"/>
      <c r="N656" s="140"/>
      <c r="O656" s="150"/>
      <c r="P656" s="150"/>
      <c r="Q656" s="134"/>
      <c r="R656" s="134"/>
      <c r="S656" s="134"/>
      <c r="T656" s="134"/>
      <c r="U656" s="134"/>
      <c r="V656" s="134"/>
      <c r="W656" s="134"/>
      <c r="X656" s="134"/>
      <c r="Y656" s="134"/>
    </row>
    <row r="657">
      <c r="A657" s="126"/>
      <c r="B657" s="127"/>
      <c r="C657" s="135"/>
      <c r="D657" s="144"/>
      <c r="E657" s="74" t="s">
        <v>56</v>
      </c>
      <c r="F657" s="63" t="s">
        <v>56</v>
      </c>
      <c r="G657" s="129"/>
      <c r="H657" s="133"/>
      <c r="I657" s="129"/>
      <c r="J657" s="130"/>
      <c r="K657" s="130"/>
      <c r="L657" s="130"/>
      <c r="M657" s="130"/>
      <c r="N657" s="140"/>
      <c r="O657" s="150"/>
      <c r="P657" s="150"/>
      <c r="Q657" s="134"/>
      <c r="R657" s="134"/>
      <c r="S657" s="134"/>
      <c r="T657" s="134"/>
      <c r="U657" s="134"/>
      <c r="V657" s="134"/>
      <c r="W657" s="134"/>
      <c r="X657" s="134"/>
      <c r="Y657" s="134"/>
    </row>
    <row r="658">
      <c r="A658" s="126"/>
      <c r="B658" s="127"/>
      <c r="C658" s="135"/>
      <c r="D658" s="144"/>
      <c r="E658" s="74" t="s">
        <v>56</v>
      </c>
      <c r="F658" s="63" t="s">
        <v>56</v>
      </c>
      <c r="G658" s="129"/>
      <c r="H658" s="133"/>
      <c r="I658" s="129"/>
      <c r="J658" s="130"/>
      <c r="K658" s="130"/>
      <c r="L658" s="130"/>
      <c r="M658" s="130"/>
      <c r="N658" s="140"/>
      <c r="O658" s="150"/>
      <c r="P658" s="150"/>
      <c r="Q658" s="134"/>
      <c r="R658" s="134"/>
      <c r="S658" s="134"/>
      <c r="T658" s="134"/>
      <c r="U658" s="134"/>
      <c r="V658" s="134"/>
      <c r="W658" s="134"/>
      <c r="X658" s="134"/>
      <c r="Y658" s="134"/>
    </row>
    <row r="659">
      <c r="A659" s="126"/>
      <c r="B659" s="127"/>
      <c r="C659" s="135"/>
      <c r="D659" s="144"/>
      <c r="E659" s="74" t="s">
        <v>56</v>
      </c>
      <c r="F659" s="63" t="s">
        <v>56</v>
      </c>
      <c r="G659" s="129"/>
      <c r="H659" s="133"/>
      <c r="I659" s="129"/>
      <c r="J659" s="130"/>
      <c r="K659" s="130"/>
      <c r="L659" s="130"/>
      <c r="M659" s="130"/>
      <c r="N659" s="140"/>
      <c r="O659" s="150"/>
      <c r="P659" s="150"/>
      <c r="Q659" s="134"/>
      <c r="R659" s="134"/>
      <c r="S659" s="134"/>
      <c r="T659" s="134"/>
      <c r="U659" s="134"/>
      <c r="V659" s="134"/>
      <c r="W659" s="134"/>
      <c r="X659" s="134"/>
      <c r="Y659" s="134"/>
    </row>
    <row r="660">
      <c r="A660" s="126"/>
      <c r="B660" s="127"/>
      <c r="C660" s="135"/>
      <c r="D660" s="144"/>
      <c r="E660" s="74" t="s">
        <v>56</v>
      </c>
      <c r="F660" s="63" t="s">
        <v>56</v>
      </c>
      <c r="G660" s="129"/>
      <c r="H660" s="133"/>
      <c r="I660" s="129"/>
      <c r="J660" s="130"/>
      <c r="K660" s="130"/>
      <c r="L660" s="130"/>
      <c r="M660" s="130"/>
      <c r="N660" s="140"/>
      <c r="O660" s="150"/>
      <c r="P660" s="150"/>
      <c r="Q660" s="134"/>
      <c r="R660" s="134"/>
      <c r="S660" s="134"/>
      <c r="T660" s="134"/>
      <c r="U660" s="134"/>
      <c r="V660" s="134"/>
      <c r="W660" s="134"/>
      <c r="X660" s="134"/>
      <c r="Y660" s="134"/>
    </row>
    <row r="661">
      <c r="A661" s="126"/>
      <c r="B661" s="127"/>
      <c r="C661" s="135"/>
      <c r="D661" s="144"/>
      <c r="E661" s="74" t="s">
        <v>56</v>
      </c>
      <c r="F661" s="63" t="s">
        <v>56</v>
      </c>
      <c r="G661" s="129"/>
      <c r="H661" s="133"/>
      <c r="I661" s="129"/>
      <c r="J661" s="130"/>
      <c r="K661" s="130"/>
      <c r="L661" s="130"/>
      <c r="M661" s="130"/>
      <c r="N661" s="140"/>
      <c r="O661" s="150"/>
      <c r="P661" s="150"/>
      <c r="Q661" s="134"/>
      <c r="R661" s="134"/>
      <c r="S661" s="134"/>
      <c r="T661" s="134"/>
      <c r="U661" s="134"/>
      <c r="V661" s="134"/>
      <c r="W661" s="134"/>
      <c r="X661" s="134"/>
      <c r="Y661" s="134"/>
    </row>
    <row r="662">
      <c r="A662" s="126"/>
      <c r="B662" s="127"/>
      <c r="C662" s="135"/>
      <c r="D662" s="144"/>
      <c r="E662" s="74" t="s">
        <v>56</v>
      </c>
      <c r="F662" s="63" t="s">
        <v>56</v>
      </c>
      <c r="G662" s="129"/>
      <c r="H662" s="133"/>
      <c r="I662" s="129"/>
      <c r="J662" s="130"/>
      <c r="K662" s="130"/>
      <c r="L662" s="130"/>
      <c r="M662" s="130"/>
      <c r="N662" s="140"/>
      <c r="O662" s="150"/>
      <c r="P662" s="150"/>
      <c r="Q662" s="134"/>
      <c r="R662" s="134"/>
      <c r="S662" s="134"/>
      <c r="T662" s="134"/>
      <c r="U662" s="134"/>
      <c r="V662" s="134"/>
      <c r="W662" s="134"/>
      <c r="X662" s="134"/>
      <c r="Y662" s="134"/>
    </row>
    <row r="663">
      <c r="A663" s="126"/>
      <c r="B663" s="127"/>
      <c r="C663" s="135"/>
      <c r="D663" s="144"/>
      <c r="E663" s="74" t="s">
        <v>56</v>
      </c>
      <c r="F663" s="63" t="s">
        <v>56</v>
      </c>
      <c r="G663" s="129"/>
      <c r="H663" s="133"/>
      <c r="I663" s="129"/>
      <c r="J663" s="130"/>
      <c r="K663" s="130"/>
      <c r="L663" s="130"/>
      <c r="M663" s="130"/>
      <c r="N663" s="140"/>
      <c r="O663" s="150"/>
      <c r="P663" s="150"/>
      <c r="Q663" s="134"/>
      <c r="R663" s="134"/>
      <c r="S663" s="134"/>
      <c r="T663" s="134"/>
      <c r="U663" s="134"/>
      <c r="V663" s="134"/>
      <c r="W663" s="134"/>
      <c r="X663" s="134"/>
      <c r="Y663" s="134"/>
    </row>
    <row r="664">
      <c r="A664" s="126"/>
      <c r="B664" s="127"/>
      <c r="C664" s="135"/>
      <c r="D664" s="144"/>
      <c r="E664" s="74" t="s">
        <v>56</v>
      </c>
      <c r="F664" s="63" t="s">
        <v>56</v>
      </c>
      <c r="G664" s="129"/>
      <c r="H664" s="133"/>
      <c r="I664" s="129"/>
      <c r="J664" s="130"/>
      <c r="K664" s="130"/>
      <c r="L664" s="130"/>
      <c r="M664" s="130"/>
      <c r="N664" s="140"/>
      <c r="O664" s="150"/>
      <c r="P664" s="150"/>
      <c r="Q664" s="134"/>
      <c r="R664" s="134"/>
      <c r="S664" s="134"/>
      <c r="T664" s="134"/>
      <c r="U664" s="134"/>
      <c r="V664" s="134"/>
      <c r="W664" s="134"/>
      <c r="X664" s="134"/>
      <c r="Y664" s="134"/>
    </row>
    <row r="665">
      <c r="A665" s="126"/>
      <c r="B665" s="127"/>
      <c r="C665" s="135"/>
      <c r="D665" s="144"/>
      <c r="E665" s="74" t="s">
        <v>56</v>
      </c>
      <c r="F665" s="63" t="s">
        <v>56</v>
      </c>
      <c r="G665" s="129"/>
      <c r="H665" s="133"/>
      <c r="I665" s="129"/>
      <c r="J665" s="130"/>
      <c r="K665" s="130"/>
      <c r="L665" s="130"/>
      <c r="M665" s="130"/>
      <c r="N665" s="140"/>
      <c r="O665" s="150"/>
      <c r="P665" s="150"/>
      <c r="Q665" s="134"/>
      <c r="R665" s="134"/>
      <c r="S665" s="134"/>
      <c r="T665" s="134"/>
      <c r="U665" s="134"/>
      <c r="V665" s="134"/>
      <c r="W665" s="134"/>
      <c r="X665" s="134"/>
      <c r="Y665" s="134"/>
    </row>
    <row r="666">
      <c r="A666" s="126"/>
      <c r="B666" s="127"/>
      <c r="C666" s="135"/>
      <c r="D666" s="144"/>
      <c r="E666" s="74" t="s">
        <v>56</v>
      </c>
      <c r="F666" s="63" t="s">
        <v>56</v>
      </c>
      <c r="G666" s="129"/>
      <c r="H666" s="133"/>
      <c r="I666" s="129"/>
      <c r="J666" s="130"/>
      <c r="K666" s="130"/>
      <c r="L666" s="130"/>
      <c r="M666" s="130"/>
      <c r="N666" s="140"/>
      <c r="O666" s="150"/>
      <c r="P666" s="150"/>
      <c r="Q666" s="134"/>
      <c r="R666" s="134"/>
      <c r="S666" s="134"/>
      <c r="T666" s="134"/>
      <c r="U666" s="134"/>
      <c r="V666" s="134"/>
      <c r="W666" s="134"/>
      <c r="X666" s="134"/>
      <c r="Y666" s="134"/>
    </row>
    <row r="667">
      <c r="A667" s="126"/>
      <c r="B667" s="127"/>
      <c r="C667" s="135"/>
      <c r="D667" s="144"/>
      <c r="E667" s="74" t="s">
        <v>56</v>
      </c>
      <c r="F667" s="63" t="s">
        <v>56</v>
      </c>
      <c r="G667" s="129"/>
      <c r="H667" s="133"/>
      <c r="I667" s="129"/>
      <c r="J667" s="130"/>
      <c r="K667" s="130"/>
      <c r="L667" s="130"/>
      <c r="M667" s="130"/>
      <c r="N667" s="140"/>
      <c r="O667" s="150"/>
      <c r="P667" s="150"/>
      <c r="Q667" s="134"/>
      <c r="R667" s="134"/>
      <c r="S667" s="134"/>
      <c r="T667" s="134"/>
      <c r="U667" s="134"/>
      <c r="V667" s="134"/>
      <c r="W667" s="134"/>
      <c r="X667" s="134"/>
      <c r="Y667" s="134"/>
    </row>
    <row r="668">
      <c r="A668" s="126"/>
      <c r="B668" s="127"/>
      <c r="C668" s="135"/>
      <c r="D668" s="144"/>
      <c r="E668" s="74" t="s">
        <v>56</v>
      </c>
      <c r="F668" s="63" t="s">
        <v>56</v>
      </c>
      <c r="G668" s="129"/>
      <c r="H668" s="133"/>
      <c r="I668" s="129"/>
      <c r="J668" s="130"/>
      <c r="K668" s="130"/>
      <c r="L668" s="130"/>
      <c r="M668" s="130"/>
      <c r="N668" s="140"/>
      <c r="O668" s="150"/>
      <c r="P668" s="150"/>
      <c r="Q668" s="134"/>
      <c r="R668" s="134"/>
      <c r="S668" s="134"/>
      <c r="T668" s="134"/>
      <c r="U668" s="134"/>
      <c r="V668" s="134"/>
      <c r="W668" s="134"/>
      <c r="X668" s="134"/>
      <c r="Y668" s="134"/>
    </row>
    <row r="669">
      <c r="A669" s="126"/>
      <c r="B669" s="127"/>
      <c r="C669" s="135"/>
      <c r="D669" s="144"/>
      <c r="E669" s="74" t="s">
        <v>56</v>
      </c>
      <c r="F669" s="63" t="s">
        <v>56</v>
      </c>
      <c r="G669" s="129"/>
      <c r="H669" s="133"/>
      <c r="I669" s="129"/>
      <c r="J669" s="130"/>
      <c r="K669" s="130"/>
      <c r="L669" s="130"/>
      <c r="M669" s="130"/>
      <c r="N669" s="140"/>
      <c r="O669" s="150"/>
      <c r="P669" s="150"/>
      <c r="Q669" s="134"/>
      <c r="R669" s="134"/>
      <c r="S669" s="134"/>
      <c r="T669" s="134"/>
      <c r="U669" s="134"/>
      <c r="V669" s="134"/>
      <c r="W669" s="134"/>
      <c r="X669" s="134"/>
      <c r="Y669" s="134"/>
    </row>
    <row r="670">
      <c r="A670" s="126"/>
      <c r="B670" s="127"/>
      <c r="C670" s="135"/>
      <c r="D670" s="144"/>
      <c r="E670" s="74" t="s">
        <v>56</v>
      </c>
      <c r="F670" s="63" t="s">
        <v>56</v>
      </c>
      <c r="G670" s="129"/>
      <c r="H670" s="133"/>
      <c r="I670" s="129"/>
      <c r="J670" s="130"/>
      <c r="K670" s="130"/>
      <c r="L670" s="130"/>
      <c r="M670" s="130"/>
      <c r="N670" s="140"/>
      <c r="O670" s="150"/>
      <c r="P670" s="150"/>
      <c r="Q670" s="134"/>
      <c r="R670" s="134"/>
      <c r="S670" s="134"/>
      <c r="T670" s="134"/>
      <c r="U670" s="134"/>
      <c r="V670" s="134"/>
      <c r="W670" s="134"/>
      <c r="X670" s="134"/>
      <c r="Y670" s="134"/>
    </row>
    <row r="671">
      <c r="A671" s="126"/>
      <c r="B671" s="127"/>
      <c r="C671" s="135"/>
      <c r="D671" s="144"/>
      <c r="E671" s="74" t="s">
        <v>56</v>
      </c>
      <c r="F671" s="63" t="s">
        <v>56</v>
      </c>
      <c r="G671" s="129"/>
      <c r="H671" s="133"/>
      <c r="I671" s="129"/>
      <c r="J671" s="130"/>
      <c r="K671" s="130"/>
      <c r="L671" s="130"/>
      <c r="M671" s="130"/>
      <c r="N671" s="140"/>
      <c r="O671" s="150"/>
      <c r="P671" s="150"/>
      <c r="Q671" s="134"/>
      <c r="R671" s="134"/>
      <c r="S671" s="134"/>
      <c r="T671" s="134"/>
      <c r="U671" s="134"/>
      <c r="V671" s="134"/>
      <c r="W671" s="134"/>
      <c r="X671" s="134"/>
      <c r="Y671" s="134"/>
    </row>
    <row r="672">
      <c r="A672" s="126"/>
      <c r="B672" s="127"/>
      <c r="C672" s="135"/>
      <c r="D672" s="144"/>
      <c r="E672" s="74" t="s">
        <v>56</v>
      </c>
      <c r="F672" s="63" t="s">
        <v>56</v>
      </c>
      <c r="G672" s="129"/>
      <c r="H672" s="133"/>
      <c r="I672" s="129"/>
      <c r="J672" s="130"/>
      <c r="K672" s="130"/>
      <c r="L672" s="130"/>
      <c r="M672" s="130"/>
      <c r="N672" s="140"/>
      <c r="O672" s="150"/>
      <c r="P672" s="150"/>
      <c r="Q672" s="134"/>
      <c r="R672" s="134"/>
      <c r="S672" s="134"/>
      <c r="T672" s="134"/>
      <c r="U672" s="134"/>
      <c r="V672" s="134"/>
      <c r="W672" s="134"/>
      <c r="X672" s="134"/>
      <c r="Y672" s="134"/>
    </row>
    <row r="673">
      <c r="A673" s="126"/>
      <c r="B673" s="127"/>
      <c r="C673" s="135"/>
      <c r="D673" s="144"/>
      <c r="E673" s="74" t="s">
        <v>56</v>
      </c>
      <c r="F673" s="63" t="s">
        <v>56</v>
      </c>
      <c r="G673" s="129"/>
      <c r="H673" s="133"/>
      <c r="I673" s="129"/>
      <c r="J673" s="130"/>
      <c r="K673" s="130"/>
      <c r="L673" s="130"/>
      <c r="M673" s="130"/>
      <c r="N673" s="140"/>
      <c r="O673" s="150"/>
      <c r="P673" s="150"/>
      <c r="Q673" s="134"/>
      <c r="R673" s="134"/>
      <c r="S673" s="134"/>
      <c r="T673" s="134"/>
      <c r="U673" s="134"/>
      <c r="V673" s="134"/>
      <c r="W673" s="134"/>
      <c r="X673" s="134"/>
      <c r="Y673" s="134"/>
    </row>
    <row r="674">
      <c r="A674" s="126"/>
      <c r="B674" s="127"/>
      <c r="C674" s="135"/>
      <c r="D674" s="144"/>
      <c r="E674" s="74" t="s">
        <v>56</v>
      </c>
      <c r="F674" s="63" t="s">
        <v>56</v>
      </c>
      <c r="G674" s="129"/>
      <c r="H674" s="133"/>
      <c r="I674" s="129"/>
      <c r="J674" s="130"/>
      <c r="K674" s="130"/>
      <c r="L674" s="130"/>
      <c r="M674" s="130"/>
      <c r="N674" s="140"/>
      <c r="O674" s="150"/>
      <c r="P674" s="150"/>
      <c r="Q674" s="134"/>
      <c r="R674" s="134"/>
      <c r="S674" s="134"/>
      <c r="T674" s="134"/>
      <c r="U674" s="134"/>
      <c r="V674" s="134"/>
      <c r="W674" s="134"/>
      <c r="X674" s="134"/>
      <c r="Y674" s="134"/>
    </row>
    <row r="675">
      <c r="A675" s="126"/>
      <c r="B675" s="127"/>
      <c r="C675" s="135"/>
      <c r="D675" s="144"/>
      <c r="E675" s="74" t="s">
        <v>56</v>
      </c>
      <c r="F675" s="63" t="s">
        <v>56</v>
      </c>
      <c r="G675" s="129"/>
      <c r="H675" s="133"/>
      <c r="I675" s="129"/>
      <c r="J675" s="130"/>
      <c r="K675" s="130"/>
      <c r="L675" s="130"/>
      <c r="M675" s="130"/>
      <c r="N675" s="140"/>
      <c r="O675" s="150"/>
      <c r="P675" s="150"/>
      <c r="Q675" s="134"/>
      <c r="R675" s="134"/>
      <c r="S675" s="134"/>
      <c r="T675" s="134"/>
      <c r="U675" s="134"/>
      <c r="V675" s="134"/>
      <c r="W675" s="134"/>
      <c r="X675" s="134"/>
      <c r="Y675" s="134"/>
    </row>
    <row r="676">
      <c r="A676" s="126"/>
      <c r="B676" s="127"/>
      <c r="C676" s="135"/>
      <c r="D676" s="144"/>
      <c r="E676" s="74" t="s">
        <v>56</v>
      </c>
      <c r="F676" s="63" t="s">
        <v>56</v>
      </c>
      <c r="G676" s="129"/>
      <c r="H676" s="133"/>
      <c r="I676" s="129"/>
      <c r="J676" s="130"/>
      <c r="K676" s="130"/>
      <c r="L676" s="130"/>
      <c r="M676" s="130"/>
      <c r="N676" s="140"/>
      <c r="O676" s="150"/>
      <c r="P676" s="150"/>
      <c r="Q676" s="134"/>
      <c r="R676" s="134"/>
      <c r="S676" s="134"/>
      <c r="T676" s="134"/>
      <c r="U676" s="134"/>
      <c r="V676" s="134"/>
      <c r="W676" s="134"/>
      <c r="X676" s="134"/>
      <c r="Y676" s="134"/>
    </row>
    <row r="677">
      <c r="A677" s="126"/>
      <c r="B677" s="127"/>
      <c r="C677" s="135"/>
      <c r="D677" s="144"/>
      <c r="E677" s="74" t="s">
        <v>56</v>
      </c>
      <c r="F677" s="63" t="s">
        <v>56</v>
      </c>
      <c r="G677" s="129"/>
      <c r="H677" s="133"/>
      <c r="I677" s="129"/>
      <c r="J677" s="130"/>
      <c r="K677" s="130"/>
      <c r="L677" s="130"/>
      <c r="M677" s="130"/>
      <c r="N677" s="140"/>
      <c r="O677" s="150"/>
      <c r="P677" s="150"/>
      <c r="Q677" s="134"/>
      <c r="R677" s="134"/>
      <c r="S677" s="134"/>
      <c r="T677" s="134"/>
      <c r="U677" s="134"/>
      <c r="V677" s="134"/>
      <c r="W677" s="134"/>
      <c r="X677" s="134"/>
      <c r="Y677" s="134"/>
    </row>
    <row r="678">
      <c r="A678" s="126"/>
      <c r="B678" s="127"/>
      <c r="C678" s="135"/>
      <c r="D678" s="144"/>
      <c r="E678" s="74" t="s">
        <v>56</v>
      </c>
      <c r="F678" s="63" t="s">
        <v>56</v>
      </c>
      <c r="G678" s="129"/>
      <c r="H678" s="133"/>
      <c r="I678" s="129"/>
      <c r="J678" s="130"/>
      <c r="K678" s="130"/>
      <c r="L678" s="130"/>
      <c r="M678" s="130"/>
      <c r="N678" s="140"/>
      <c r="O678" s="150"/>
      <c r="P678" s="150"/>
      <c r="Q678" s="134"/>
      <c r="R678" s="134"/>
      <c r="S678" s="134"/>
      <c r="T678" s="134"/>
      <c r="U678" s="134"/>
      <c r="V678" s="134"/>
      <c r="W678" s="134"/>
      <c r="X678" s="134"/>
      <c r="Y678" s="134"/>
    </row>
    <row r="679">
      <c r="A679" s="126"/>
      <c r="B679" s="127"/>
      <c r="C679" s="135"/>
      <c r="D679" s="144"/>
      <c r="E679" s="74" t="s">
        <v>56</v>
      </c>
      <c r="F679" s="63" t="s">
        <v>56</v>
      </c>
      <c r="G679" s="129"/>
      <c r="H679" s="133"/>
      <c r="I679" s="129"/>
      <c r="J679" s="130"/>
      <c r="K679" s="130"/>
      <c r="L679" s="130"/>
      <c r="M679" s="130"/>
      <c r="N679" s="140"/>
      <c r="O679" s="150"/>
      <c r="P679" s="150"/>
      <c r="Q679" s="134"/>
      <c r="R679" s="134"/>
      <c r="S679" s="134"/>
      <c r="T679" s="134"/>
      <c r="U679" s="134"/>
      <c r="V679" s="134"/>
      <c r="W679" s="134"/>
      <c r="X679" s="134"/>
      <c r="Y679" s="134"/>
    </row>
    <row r="680">
      <c r="A680" s="126"/>
      <c r="B680" s="127"/>
      <c r="C680" s="135"/>
      <c r="D680" s="144"/>
      <c r="E680" s="74" t="s">
        <v>56</v>
      </c>
      <c r="F680" s="63" t="s">
        <v>56</v>
      </c>
      <c r="G680" s="129"/>
      <c r="H680" s="133"/>
      <c r="I680" s="129"/>
      <c r="J680" s="130"/>
      <c r="K680" s="130"/>
      <c r="L680" s="130"/>
      <c r="M680" s="130"/>
      <c r="N680" s="140"/>
      <c r="O680" s="150"/>
      <c r="P680" s="150"/>
      <c r="Q680" s="134"/>
      <c r="R680" s="134"/>
      <c r="S680" s="134"/>
      <c r="T680" s="134"/>
      <c r="U680" s="134"/>
      <c r="V680" s="134"/>
      <c r="W680" s="134"/>
      <c r="X680" s="134"/>
      <c r="Y680" s="134"/>
    </row>
    <row r="681">
      <c r="A681" s="126"/>
      <c r="B681" s="127"/>
      <c r="C681" s="135"/>
      <c r="D681" s="144"/>
      <c r="E681" s="74" t="s">
        <v>56</v>
      </c>
      <c r="F681" s="63" t="s">
        <v>56</v>
      </c>
      <c r="G681" s="129"/>
      <c r="H681" s="133"/>
      <c r="I681" s="129"/>
      <c r="J681" s="130"/>
      <c r="K681" s="130"/>
      <c r="L681" s="130"/>
      <c r="M681" s="130"/>
      <c r="N681" s="140"/>
      <c r="O681" s="150"/>
      <c r="P681" s="150"/>
      <c r="Q681" s="134"/>
      <c r="R681" s="134"/>
      <c r="S681" s="134"/>
      <c r="T681" s="134"/>
      <c r="U681" s="134"/>
      <c r="V681" s="134"/>
      <c r="W681" s="134"/>
      <c r="X681" s="134"/>
      <c r="Y681" s="134"/>
    </row>
    <row r="682">
      <c r="A682" s="126"/>
      <c r="B682" s="127"/>
      <c r="C682" s="135"/>
      <c r="D682" s="144"/>
      <c r="E682" s="74" t="s">
        <v>56</v>
      </c>
      <c r="F682" s="63" t="s">
        <v>56</v>
      </c>
      <c r="G682" s="129"/>
      <c r="H682" s="133"/>
      <c r="I682" s="129"/>
      <c r="J682" s="130"/>
      <c r="K682" s="130"/>
      <c r="L682" s="130"/>
      <c r="M682" s="130"/>
      <c r="N682" s="140"/>
      <c r="O682" s="150"/>
      <c r="P682" s="150"/>
      <c r="Q682" s="134"/>
      <c r="R682" s="134"/>
      <c r="S682" s="134"/>
      <c r="T682" s="134"/>
      <c r="U682" s="134"/>
      <c r="V682" s="134"/>
      <c r="W682" s="134"/>
      <c r="X682" s="134"/>
      <c r="Y682" s="134"/>
    </row>
    <row r="683">
      <c r="A683" s="126"/>
      <c r="B683" s="127"/>
      <c r="C683" s="135"/>
      <c r="D683" s="144"/>
      <c r="E683" s="74" t="s">
        <v>56</v>
      </c>
      <c r="F683" s="63" t="s">
        <v>56</v>
      </c>
      <c r="G683" s="129"/>
      <c r="H683" s="133"/>
      <c r="I683" s="129"/>
      <c r="J683" s="130"/>
      <c r="K683" s="130"/>
      <c r="L683" s="130"/>
      <c r="M683" s="130"/>
      <c r="N683" s="140"/>
      <c r="O683" s="150"/>
      <c r="P683" s="150"/>
      <c r="Q683" s="134"/>
      <c r="R683" s="134"/>
      <c r="S683" s="134"/>
      <c r="T683" s="134"/>
      <c r="U683" s="134"/>
      <c r="V683" s="134"/>
      <c r="W683" s="134"/>
      <c r="X683" s="134"/>
      <c r="Y683" s="134"/>
    </row>
    <row r="684">
      <c r="A684" s="126"/>
      <c r="B684" s="127"/>
      <c r="C684" s="135"/>
      <c r="D684" s="144"/>
      <c r="E684" s="74" t="s">
        <v>56</v>
      </c>
      <c r="F684" s="63" t="s">
        <v>56</v>
      </c>
      <c r="G684" s="129"/>
      <c r="H684" s="133"/>
      <c r="I684" s="129"/>
      <c r="J684" s="130"/>
      <c r="K684" s="130"/>
      <c r="L684" s="130"/>
      <c r="M684" s="130"/>
      <c r="N684" s="140"/>
      <c r="O684" s="150"/>
      <c r="P684" s="150"/>
      <c r="Q684" s="134"/>
      <c r="R684" s="134"/>
      <c r="S684" s="134"/>
      <c r="T684" s="134"/>
      <c r="U684" s="134"/>
      <c r="V684" s="134"/>
      <c r="W684" s="134"/>
      <c r="X684" s="134"/>
      <c r="Y684" s="134"/>
    </row>
    <row r="685">
      <c r="A685" s="126"/>
      <c r="B685" s="127"/>
      <c r="C685" s="135"/>
      <c r="D685" s="144"/>
      <c r="E685" s="74" t="s">
        <v>56</v>
      </c>
      <c r="F685" s="63" t="s">
        <v>56</v>
      </c>
      <c r="G685" s="129"/>
      <c r="H685" s="133"/>
      <c r="I685" s="129"/>
      <c r="J685" s="130"/>
      <c r="K685" s="130"/>
      <c r="L685" s="130"/>
      <c r="M685" s="130"/>
      <c r="N685" s="140"/>
      <c r="O685" s="150"/>
      <c r="P685" s="150"/>
      <c r="Q685" s="134"/>
      <c r="R685" s="134"/>
      <c r="S685" s="134"/>
      <c r="T685" s="134"/>
      <c r="U685" s="134"/>
      <c r="V685" s="134"/>
      <c r="W685" s="134"/>
      <c r="X685" s="134"/>
      <c r="Y685" s="134"/>
    </row>
    <row r="686">
      <c r="A686" s="126"/>
      <c r="B686" s="127"/>
      <c r="C686" s="135"/>
      <c r="D686" s="144"/>
      <c r="E686" s="74" t="s">
        <v>56</v>
      </c>
      <c r="F686" s="63" t="s">
        <v>56</v>
      </c>
      <c r="G686" s="129"/>
      <c r="H686" s="133"/>
      <c r="I686" s="129"/>
      <c r="J686" s="130"/>
      <c r="K686" s="130"/>
      <c r="L686" s="130"/>
      <c r="M686" s="130"/>
      <c r="N686" s="140"/>
      <c r="O686" s="150"/>
      <c r="P686" s="150"/>
      <c r="Q686" s="134"/>
      <c r="R686" s="134"/>
      <c r="S686" s="134"/>
      <c r="T686" s="134"/>
      <c r="U686" s="134"/>
      <c r="V686" s="134"/>
      <c r="W686" s="134"/>
      <c r="X686" s="134"/>
      <c r="Y686" s="134"/>
    </row>
    <row r="687">
      <c r="A687" s="126"/>
      <c r="B687" s="127"/>
      <c r="C687" s="135"/>
      <c r="D687" s="144"/>
      <c r="E687" s="74" t="s">
        <v>56</v>
      </c>
      <c r="F687" s="63" t="s">
        <v>56</v>
      </c>
      <c r="G687" s="129"/>
      <c r="H687" s="133"/>
      <c r="I687" s="129"/>
      <c r="J687" s="130"/>
      <c r="K687" s="130"/>
      <c r="L687" s="130"/>
      <c r="M687" s="130"/>
      <c r="N687" s="140"/>
      <c r="O687" s="150"/>
      <c r="P687" s="150"/>
      <c r="Q687" s="134"/>
      <c r="R687" s="134"/>
      <c r="S687" s="134"/>
      <c r="T687" s="134"/>
      <c r="U687" s="134"/>
      <c r="V687" s="134"/>
      <c r="W687" s="134"/>
      <c r="X687" s="134"/>
      <c r="Y687" s="134"/>
    </row>
    <row r="688">
      <c r="A688" s="126"/>
      <c r="B688" s="127"/>
      <c r="C688" s="135"/>
      <c r="D688" s="144"/>
      <c r="E688" s="74" t="s">
        <v>56</v>
      </c>
      <c r="F688" s="63" t="s">
        <v>56</v>
      </c>
      <c r="G688" s="129"/>
      <c r="H688" s="133"/>
      <c r="I688" s="129"/>
      <c r="J688" s="130"/>
      <c r="K688" s="130"/>
      <c r="L688" s="130"/>
      <c r="M688" s="130"/>
      <c r="N688" s="140"/>
      <c r="O688" s="150"/>
      <c r="P688" s="150"/>
      <c r="Q688" s="134"/>
      <c r="R688" s="134"/>
      <c r="S688" s="134"/>
      <c r="T688" s="134"/>
      <c r="U688" s="134"/>
      <c r="V688" s="134"/>
      <c r="W688" s="134"/>
      <c r="X688" s="134"/>
      <c r="Y688" s="134"/>
    </row>
    <row r="689">
      <c r="A689" s="126"/>
      <c r="B689" s="127"/>
      <c r="C689" s="135"/>
      <c r="D689" s="144"/>
      <c r="E689" s="74" t="s">
        <v>56</v>
      </c>
      <c r="F689" s="63" t="s">
        <v>56</v>
      </c>
      <c r="G689" s="129"/>
      <c r="H689" s="133"/>
      <c r="I689" s="129"/>
      <c r="J689" s="130"/>
      <c r="K689" s="130"/>
      <c r="L689" s="130"/>
      <c r="M689" s="130"/>
      <c r="N689" s="140"/>
      <c r="O689" s="150"/>
      <c r="P689" s="150"/>
      <c r="Q689" s="134"/>
      <c r="R689" s="134"/>
      <c r="S689" s="134"/>
      <c r="T689" s="134"/>
      <c r="U689" s="134"/>
      <c r="V689" s="134"/>
      <c r="W689" s="134"/>
      <c r="X689" s="134"/>
      <c r="Y689" s="134"/>
    </row>
    <row r="690">
      <c r="A690" s="126"/>
      <c r="B690" s="127"/>
      <c r="C690" s="135"/>
      <c r="D690" s="144"/>
      <c r="E690" s="74" t="s">
        <v>56</v>
      </c>
      <c r="F690" s="63" t="s">
        <v>56</v>
      </c>
      <c r="G690" s="129"/>
      <c r="H690" s="133"/>
      <c r="I690" s="129"/>
      <c r="J690" s="130"/>
      <c r="K690" s="130"/>
      <c r="L690" s="130"/>
      <c r="M690" s="130"/>
      <c r="N690" s="140"/>
      <c r="O690" s="150"/>
      <c r="P690" s="150"/>
      <c r="Q690" s="134"/>
      <c r="R690" s="134"/>
      <c r="S690" s="134"/>
      <c r="T690" s="134"/>
      <c r="U690" s="134"/>
      <c r="V690" s="134"/>
      <c r="W690" s="134"/>
      <c r="X690" s="134"/>
      <c r="Y690" s="134"/>
    </row>
    <row r="691">
      <c r="A691" s="126"/>
      <c r="B691" s="127"/>
      <c r="C691" s="135"/>
      <c r="D691" s="144"/>
      <c r="E691" s="74" t="s">
        <v>56</v>
      </c>
      <c r="F691" s="63" t="s">
        <v>56</v>
      </c>
      <c r="G691" s="129"/>
      <c r="H691" s="133"/>
      <c r="I691" s="129"/>
      <c r="J691" s="130"/>
      <c r="K691" s="130"/>
      <c r="L691" s="130"/>
      <c r="M691" s="130"/>
      <c r="N691" s="140"/>
      <c r="O691" s="150"/>
      <c r="P691" s="150"/>
      <c r="Q691" s="134"/>
      <c r="R691" s="134"/>
      <c r="S691" s="134"/>
      <c r="T691" s="134"/>
      <c r="U691" s="134"/>
      <c r="V691" s="134"/>
      <c r="W691" s="134"/>
      <c r="X691" s="134"/>
      <c r="Y691" s="134"/>
    </row>
    <row r="692">
      <c r="A692" s="126"/>
      <c r="B692" s="127"/>
      <c r="C692" s="135"/>
      <c r="D692" s="144"/>
      <c r="E692" s="74" t="s">
        <v>56</v>
      </c>
      <c r="F692" s="63" t="s">
        <v>56</v>
      </c>
      <c r="G692" s="129"/>
      <c r="H692" s="133"/>
      <c r="I692" s="129"/>
      <c r="J692" s="130"/>
      <c r="K692" s="130"/>
      <c r="L692" s="130"/>
      <c r="M692" s="130"/>
      <c r="N692" s="140"/>
      <c r="O692" s="150"/>
      <c r="P692" s="150"/>
      <c r="Q692" s="134"/>
      <c r="R692" s="134"/>
      <c r="S692" s="134"/>
      <c r="T692" s="134"/>
      <c r="U692" s="134"/>
      <c r="V692" s="134"/>
      <c r="W692" s="134"/>
      <c r="X692" s="134"/>
      <c r="Y692" s="134"/>
    </row>
    <row r="693">
      <c r="A693" s="126"/>
      <c r="B693" s="127"/>
      <c r="C693" s="135"/>
      <c r="D693" s="144"/>
      <c r="E693" s="74" t="s">
        <v>56</v>
      </c>
      <c r="F693" s="63" t="s">
        <v>56</v>
      </c>
      <c r="G693" s="129"/>
      <c r="H693" s="133"/>
      <c r="I693" s="129"/>
      <c r="J693" s="130"/>
      <c r="K693" s="130"/>
      <c r="L693" s="130"/>
      <c r="M693" s="130"/>
      <c r="N693" s="140"/>
      <c r="O693" s="150"/>
      <c r="P693" s="150"/>
      <c r="Q693" s="134"/>
      <c r="R693" s="134"/>
      <c r="S693" s="134"/>
      <c r="T693" s="134"/>
      <c r="U693" s="134"/>
      <c r="V693" s="134"/>
      <c r="W693" s="134"/>
      <c r="X693" s="134"/>
      <c r="Y693" s="134"/>
    </row>
    <row r="694">
      <c r="A694" s="126"/>
      <c r="B694" s="127"/>
      <c r="C694" s="135"/>
      <c r="D694" s="144"/>
      <c r="E694" s="74" t="s">
        <v>56</v>
      </c>
      <c r="F694" s="63" t="s">
        <v>56</v>
      </c>
      <c r="G694" s="129"/>
      <c r="H694" s="133"/>
      <c r="I694" s="129"/>
      <c r="J694" s="130"/>
      <c r="K694" s="130"/>
      <c r="L694" s="130"/>
      <c r="M694" s="130"/>
      <c r="N694" s="140"/>
      <c r="O694" s="150"/>
      <c r="P694" s="150"/>
      <c r="Q694" s="134"/>
      <c r="R694" s="134"/>
      <c r="S694" s="134"/>
      <c r="T694" s="134"/>
      <c r="U694" s="134"/>
      <c r="V694" s="134"/>
      <c r="W694" s="134"/>
      <c r="X694" s="134"/>
      <c r="Y694" s="134"/>
    </row>
    <row r="695">
      <c r="A695" s="126"/>
      <c r="B695" s="127"/>
      <c r="C695" s="135"/>
      <c r="D695" s="144"/>
      <c r="E695" s="74" t="s">
        <v>56</v>
      </c>
      <c r="F695" s="63" t="s">
        <v>56</v>
      </c>
      <c r="G695" s="129"/>
      <c r="H695" s="133"/>
      <c r="I695" s="129"/>
      <c r="J695" s="130"/>
      <c r="K695" s="130"/>
      <c r="L695" s="130"/>
      <c r="M695" s="130"/>
      <c r="N695" s="140"/>
      <c r="O695" s="150"/>
      <c r="P695" s="150"/>
      <c r="Q695" s="134"/>
      <c r="R695" s="134"/>
      <c r="S695" s="134"/>
      <c r="T695" s="134"/>
      <c r="U695" s="134"/>
      <c r="V695" s="134"/>
      <c r="W695" s="134"/>
      <c r="X695" s="134"/>
      <c r="Y695" s="134"/>
    </row>
    <row r="696">
      <c r="A696" s="126"/>
      <c r="B696" s="127"/>
      <c r="C696" s="135"/>
      <c r="D696" s="144"/>
      <c r="E696" s="74" t="s">
        <v>56</v>
      </c>
      <c r="F696" s="63" t="s">
        <v>56</v>
      </c>
      <c r="G696" s="129"/>
      <c r="H696" s="133"/>
      <c r="I696" s="129"/>
      <c r="J696" s="130"/>
      <c r="K696" s="130"/>
      <c r="L696" s="130"/>
      <c r="M696" s="130"/>
      <c r="N696" s="140"/>
      <c r="O696" s="150"/>
      <c r="P696" s="150"/>
      <c r="Q696" s="134"/>
      <c r="R696" s="134"/>
      <c r="S696" s="134"/>
      <c r="T696" s="134"/>
      <c r="U696" s="134"/>
      <c r="V696" s="134"/>
      <c r="W696" s="134"/>
      <c r="X696" s="134"/>
      <c r="Y696" s="134"/>
    </row>
    <row r="697">
      <c r="A697" s="126"/>
      <c r="B697" s="127"/>
      <c r="C697" s="135"/>
      <c r="D697" s="144"/>
      <c r="E697" s="74" t="s">
        <v>56</v>
      </c>
      <c r="F697" s="63" t="s">
        <v>56</v>
      </c>
      <c r="G697" s="129"/>
      <c r="H697" s="133"/>
      <c r="I697" s="129"/>
      <c r="J697" s="130"/>
      <c r="K697" s="130"/>
      <c r="L697" s="130"/>
      <c r="M697" s="130"/>
      <c r="N697" s="140"/>
      <c r="O697" s="150"/>
      <c r="P697" s="150"/>
      <c r="Q697" s="134"/>
      <c r="R697" s="134"/>
      <c r="S697" s="134"/>
      <c r="T697" s="134"/>
      <c r="U697" s="134"/>
      <c r="V697" s="134"/>
      <c r="W697" s="134"/>
      <c r="X697" s="134"/>
      <c r="Y697" s="134"/>
    </row>
    <row r="698">
      <c r="A698" s="126"/>
      <c r="B698" s="127"/>
      <c r="C698" s="135"/>
      <c r="D698" s="144"/>
      <c r="E698" s="74" t="s">
        <v>56</v>
      </c>
      <c r="F698" s="63" t="s">
        <v>56</v>
      </c>
      <c r="G698" s="129"/>
      <c r="H698" s="133"/>
      <c r="I698" s="129"/>
      <c r="J698" s="130"/>
      <c r="K698" s="130"/>
      <c r="L698" s="130"/>
      <c r="M698" s="130"/>
      <c r="N698" s="140"/>
      <c r="O698" s="150"/>
      <c r="P698" s="150"/>
      <c r="Q698" s="134"/>
      <c r="R698" s="134"/>
      <c r="S698" s="134"/>
      <c r="T698" s="134"/>
      <c r="U698" s="134"/>
      <c r="V698" s="134"/>
      <c r="W698" s="134"/>
      <c r="X698" s="134"/>
      <c r="Y698" s="134"/>
    </row>
    <row r="699">
      <c r="A699" s="126"/>
      <c r="B699" s="127"/>
      <c r="C699" s="135"/>
      <c r="D699" s="144"/>
      <c r="E699" s="74" t="s">
        <v>56</v>
      </c>
      <c r="F699" s="63" t="s">
        <v>56</v>
      </c>
      <c r="G699" s="129"/>
      <c r="H699" s="133"/>
      <c r="I699" s="129"/>
      <c r="J699" s="130"/>
      <c r="K699" s="130"/>
      <c r="L699" s="130"/>
      <c r="M699" s="130"/>
      <c r="N699" s="140"/>
      <c r="O699" s="150"/>
      <c r="P699" s="150"/>
      <c r="Q699" s="134"/>
      <c r="R699" s="134"/>
      <c r="S699" s="134"/>
      <c r="T699" s="134"/>
      <c r="U699" s="134"/>
      <c r="V699" s="134"/>
      <c r="W699" s="134"/>
      <c r="X699" s="134"/>
      <c r="Y699" s="134"/>
    </row>
    <row r="700">
      <c r="A700" s="126"/>
      <c r="B700" s="127"/>
      <c r="C700" s="135"/>
      <c r="D700" s="144"/>
      <c r="E700" s="74" t="s">
        <v>56</v>
      </c>
      <c r="F700" s="63" t="s">
        <v>56</v>
      </c>
      <c r="G700" s="129"/>
      <c r="H700" s="133"/>
      <c r="I700" s="129"/>
      <c r="J700" s="130"/>
      <c r="K700" s="130"/>
      <c r="L700" s="130"/>
      <c r="M700" s="130"/>
      <c r="N700" s="140"/>
      <c r="O700" s="150"/>
      <c r="P700" s="150"/>
      <c r="Q700" s="134"/>
      <c r="R700" s="134"/>
      <c r="S700" s="134"/>
      <c r="T700" s="134"/>
      <c r="U700" s="134"/>
      <c r="V700" s="134"/>
      <c r="W700" s="134"/>
      <c r="X700" s="134"/>
      <c r="Y700" s="134"/>
    </row>
    <row r="701">
      <c r="A701" s="126"/>
      <c r="B701" s="127"/>
      <c r="C701" s="135"/>
      <c r="D701" s="144"/>
      <c r="E701" s="74" t="s">
        <v>56</v>
      </c>
      <c r="F701" s="63" t="s">
        <v>56</v>
      </c>
      <c r="G701" s="129"/>
      <c r="H701" s="133"/>
      <c r="I701" s="129"/>
      <c r="J701" s="130"/>
      <c r="K701" s="130"/>
      <c r="L701" s="130"/>
      <c r="M701" s="130"/>
      <c r="N701" s="140"/>
      <c r="O701" s="150"/>
      <c r="P701" s="150"/>
      <c r="Q701" s="134"/>
      <c r="R701" s="134"/>
      <c r="S701" s="134"/>
      <c r="T701" s="134"/>
      <c r="U701" s="134"/>
      <c r="V701" s="134"/>
      <c r="W701" s="134"/>
      <c r="X701" s="134"/>
      <c r="Y701" s="134"/>
    </row>
    <row r="702">
      <c r="A702" s="126"/>
      <c r="B702" s="127"/>
      <c r="C702" s="135"/>
      <c r="D702" s="144"/>
      <c r="E702" s="74" t="s">
        <v>56</v>
      </c>
      <c r="F702" s="63" t="s">
        <v>56</v>
      </c>
      <c r="G702" s="129"/>
      <c r="H702" s="133"/>
      <c r="I702" s="129"/>
      <c r="J702" s="130"/>
      <c r="K702" s="130"/>
      <c r="L702" s="130"/>
      <c r="M702" s="130"/>
      <c r="N702" s="140"/>
      <c r="O702" s="150"/>
      <c r="P702" s="150"/>
      <c r="Q702" s="134"/>
      <c r="R702" s="134"/>
      <c r="S702" s="134"/>
      <c r="T702" s="134"/>
      <c r="U702" s="134"/>
      <c r="V702" s="134"/>
      <c r="W702" s="134"/>
      <c r="X702" s="134"/>
      <c r="Y702" s="134"/>
    </row>
    <row r="703">
      <c r="A703" s="126"/>
      <c r="B703" s="127"/>
      <c r="C703" s="135"/>
      <c r="D703" s="144"/>
      <c r="E703" s="74" t="s">
        <v>56</v>
      </c>
      <c r="F703" s="63" t="s">
        <v>56</v>
      </c>
      <c r="G703" s="129"/>
      <c r="H703" s="133"/>
      <c r="I703" s="129"/>
      <c r="J703" s="130"/>
      <c r="K703" s="130"/>
      <c r="L703" s="130"/>
      <c r="M703" s="130"/>
      <c r="N703" s="140"/>
      <c r="O703" s="150"/>
      <c r="P703" s="150"/>
      <c r="Q703" s="134"/>
      <c r="R703" s="134"/>
      <c r="S703" s="134"/>
      <c r="T703" s="134"/>
      <c r="U703" s="134"/>
      <c r="V703" s="134"/>
      <c r="W703" s="134"/>
      <c r="X703" s="134"/>
      <c r="Y703" s="134"/>
    </row>
    <row r="704">
      <c r="A704" s="126"/>
      <c r="B704" s="127"/>
      <c r="C704" s="135"/>
      <c r="D704" s="144"/>
      <c r="E704" s="74" t="s">
        <v>56</v>
      </c>
      <c r="F704" s="63" t="s">
        <v>56</v>
      </c>
      <c r="G704" s="129"/>
      <c r="H704" s="133"/>
      <c r="I704" s="129"/>
      <c r="J704" s="130"/>
      <c r="K704" s="130"/>
      <c r="L704" s="130"/>
      <c r="M704" s="130"/>
      <c r="N704" s="140"/>
      <c r="O704" s="150"/>
      <c r="P704" s="150"/>
      <c r="Q704" s="134"/>
      <c r="R704" s="134"/>
      <c r="S704" s="134"/>
      <c r="T704" s="134"/>
      <c r="U704" s="134"/>
      <c r="V704" s="134"/>
      <c r="W704" s="134"/>
      <c r="X704" s="134"/>
      <c r="Y704" s="134"/>
    </row>
    <row r="705">
      <c r="A705" s="126"/>
      <c r="B705" s="127"/>
      <c r="C705" s="135"/>
      <c r="D705" s="144"/>
      <c r="E705" s="74" t="s">
        <v>56</v>
      </c>
      <c r="F705" s="63" t="s">
        <v>56</v>
      </c>
      <c r="G705" s="129"/>
      <c r="H705" s="133"/>
      <c r="I705" s="129"/>
      <c r="J705" s="130"/>
      <c r="K705" s="130"/>
      <c r="L705" s="130"/>
      <c r="M705" s="130"/>
      <c r="N705" s="140"/>
      <c r="O705" s="150"/>
      <c r="P705" s="150"/>
      <c r="Q705" s="134"/>
      <c r="R705" s="134"/>
      <c r="S705" s="134"/>
      <c r="T705" s="134"/>
      <c r="U705" s="134"/>
      <c r="V705" s="134"/>
      <c r="W705" s="134"/>
      <c r="X705" s="134"/>
      <c r="Y705" s="134"/>
    </row>
    <row r="706">
      <c r="A706" s="126"/>
      <c r="B706" s="127"/>
      <c r="C706" s="135"/>
      <c r="D706" s="144"/>
      <c r="E706" s="74" t="s">
        <v>56</v>
      </c>
      <c r="F706" s="63" t="s">
        <v>56</v>
      </c>
      <c r="G706" s="129"/>
      <c r="H706" s="133"/>
      <c r="I706" s="129"/>
      <c r="J706" s="130"/>
      <c r="K706" s="130"/>
      <c r="L706" s="130"/>
      <c r="M706" s="130"/>
      <c r="N706" s="140"/>
      <c r="O706" s="150"/>
      <c r="P706" s="150"/>
      <c r="Q706" s="134"/>
      <c r="R706" s="134"/>
      <c r="S706" s="134"/>
      <c r="T706" s="134"/>
      <c r="U706" s="134"/>
      <c r="V706" s="134"/>
      <c r="W706" s="134"/>
      <c r="X706" s="134"/>
      <c r="Y706" s="134"/>
    </row>
    <row r="707">
      <c r="A707" s="126"/>
      <c r="B707" s="127"/>
      <c r="C707" s="135"/>
      <c r="D707" s="144"/>
      <c r="E707" s="74" t="s">
        <v>56</v>
      </c>
      <c r="F707" s="63" t="s">
        <v>56</v>
      </c>
      <c r="G707" s="129"/>
      <c r="H707" s="133"/>
      <c r="I707" s="129"/>
      <c r="J707" s="130"/>
      <c r="K707" s="130"/>
      <c r="L707" s="130"/>
      <c r="M707" s="130"/>
      <c r="N707" s="140"/>
      <c r="O707" s="150"/>
      <c r="P707" s="150"/>
      <c r="Q707" s="134"/>
      <c r="R707" s="134"/>
      <c r="S707" s="134"/>
      <c r="T707" s="134"/>
      <c r="U707" s="134"/>
      <c r="V707" s="134"/>
      <c r="W707" s="134"/>
      <c r="X707" s="134"/>
      <c r="Y707" s="134"/>
    </row>
    <row r="708">
      <c r="A708" s="126"/>
      <c r="B708" s="127"/>
      <c r="C708" s="135"/>
      <c r="D708" s="144"/>
      <c r="E708" s="74" t="s">
        <v>56</v>
      </c>
      <c r="F708" s="63" t="s">
        <v>56</v>
      </c>
      <c r="G708" s="129"/>
      <c r="H708" s="133"/>
      <c r="I708" s="129"/>
      <c r="J708" s="130"/>
      <c r="K708" s="130"/>
      <c r="L708" s="130"/>
      <c r="M708" s="130"/>
      <c r="N708" s="140"/>
      <c r="O708" s="150"/>
      <c r="P708" s="150"/>
      <c r="Q708" s="134"/>
      <c r="R708" s="134"/>
      <c r="S708" s="134"/>
      <c r="T708" s="134"/>
      <c r="U708" s="134"/>
      <c r="V708" s="134"/>
      <c r="W708" s="134"/>
      <c r="X708" s="134"/>
      <c r="Y708" s="134"/>
    </row>
    <row r="709">
      <c r="A709" s="126"/>
      <c r="B709" s="127"/>
      <c r="C709" s="135"/>
      <c r="D709" s="144"/>
      <c r="E709" s="74" t="s">
        <v>56</v>
      </c>
      <c r="F709" s="63" t="s">
        <v>56</v>
      </c>
      <c r="G709" s="129"/>
      <c r="H709" s="133"/>
      <c r="I709" s="129"/>
      <c r="J709" s="130"/>
      <c r="K709" s="130"/>
      <c r="L709" s="130"/>
      <c r="M709" s="130"/>
      <c r="N709" s="140"/>
      <c r="O709" s="150"/>
      <c r="P709" s="150"/>
      <c r="Q709" s="134"/>
      <c r="R709" s="134"/>
      <c r="S709" s="134"/>
      <c r="T709" s="134"/>
      <c r="U709" s="134"/>
      <c r="V709" s="134"/>
      <c r="W709" s="134"/>
      <c r="X709" s="134"/>
      <c r="Y709" s="134"/>
    </row>
    <row r="710">
      <c r="A710" s="126"/>
      <c r="B710" s="127"/>
      <c r="C710" s="135"/>
      <c r="D710" s="144"/>
      <c r="E710" s="74" t="s">
        <v>56</v>
      </c>
      <c r="F710" s="63" t="s">
        <v>56</v>
      </c>
      <c r="G710" s="129"/>
      <c r="H710" s="133"/>
      <c r="I710" s="129"/>
      <c r="J710" s="130"/>
      <c r="K710" s="130"/>
      <c r="L710" s="130"/>
      <c r="M710" s="130"/>
      <c r="N710" s="140"/>
      <c r="O710" s="150"/>
      <c r="P710" s="150"/>
      <c r="Q710" s="134"/>
      <c r="R710" s="134"/>
      <c r="S710" s="134"/>
      <c r="T710" s="134"/>
      <c r="U710" s="134"/>
      <c r="V710" s="134"/>
      <c r="W710" s="134"/>
      <c r="X710" s="134"/>
      <c r="Y710" s="134"/>
    </row>
    <row r="711">
      <c r="A711" s="126"/>
      <c r="B711" s="127"/>
      <c r="C711" s="135"/>
      <c r="D711" s="144"/>
      <c r="E711" s="74" t="s">
        <v>56</v>
      </c>
      <c r="F711" s="63" t="s">
        <v>56</v>
      </c>
      <c r="G711" s="129"/>
      <c r="H711" s="133"/>
      <c r="I711" s="129"/>
      <c r="J711" s="130"/>
      <c r="K711" s="130"/>
      <c r="L711" s="130"/>
      <c r="M711" s="130"/>
      <c r="N711" s="140"/>
      <c r="O711" s="150"/>
      <c r="P711" s="150"/>
      <c r="Q711" s="134"/>
      <c r="R711" s="134"/>
      <c r="S711" s="134"/>
      <c r="T711" s="134"/>
      <c r="U711" s="134"/>
      <c r="V711" s="134"/>
      <c r="W711" s="134"/>
      <c r="X711" s="134"/>
      <c r="Y711" s="134"/>
    </row>
    <row r="712">
      <c r="A712" s="126"/>
      <c r="B712" s="127"/>
      <c r="C712" s="135"/>
      <c r="D712" s="144"/>
      <c r="E712" s="74" t="s">
        <v>56</v>
      </c>
      <c r="F712" s="63" t="s">
        <v>56</v>
      </c>
      <c r="G712" s="129"/>
      <c r="H712" s="133"/>
      <c r="I712" s="129"/>
      <c r="J712" s="130"/>
      <c r="K712" s="130"/>
      <c r="L712" s="130"/>
      <c r="M712" s="130"/>
      <c r="N712" s="140"/>
      <c r="O712" s="150"/>
      <c r="P712" s="150"/>
      <c r="Q712" s="134"/>
      <c r="R712" s="134"/>
      <c r="S712" s="134"/>
      <c r="T712" s="134"/>
      <c r="U712" s="134"/>
      <c r="V712" s="134"/>
      <c r="W712" s="134"/>
      <c r="X712" s="134"/>
      <c r="Y712" s="134"/>
    </row>
    <row r="713">
      <c r="A713" s="126"/>
      <c r="B713" s="127"/>
      <c r="C713" s="135"/>
      <c r="D713" s="144"/>
      <c r="E713" s="74" t="s">
        <v>56</v>
      </c>
      <c r="F713" s="63" t="s">
        <v>56</v>
      </c>
      <c r="G713" s="129"/>
      <c r="H713" s="133"/>
      <c r="I713" s="129"/>
      <c r="J713" s="130"/>
      <c r="K713" s="130"/>
      <c r="L713" s="130"/>
      <c r="M713" s="130"/>
      <c r="N713" s="140"/>
      <c r="O713" s="150"/>
      <c r="P713" s="150"/>
      <c r="Q713" s="134"/>
      <c r="R713" s="134"/>
      <c r="S713" s="134"/>
      <c r="T713" s="134"/>
      <c r="U713" s="134"/>
      <c r="V713" s="134"/>
      <c r="W713" s="134"/>
      <c r="X713" s="134"/>
      <c r="Y713" s="134"/>
    </row>
    <row r="714">
      <c r="A714" s="126"/>
      <c r="B714" s="127"/>
      <c r="C714" s="135"/>
      <c r="D714" s="144"/>
      <c r="E714" s="74" t="s">
        <v>56</v>
      </c>
      <c r="F714" s="63" t="s">
        <v>56</v>
      </c>
      <c r="G714" s="129"/>
      <c r="H714" s="133"/>
      <c r="I714" s="129"/>
      <c r="J714" s="130"/>
      <c r="K714" s="130"/>
      <c r="L714" s="130"/>
      <c r="M714" s="130"/>
      <c r="N714" s="140"/>
      <c r="O714" s="150"/>
      <c r="P714" s="150"/>
      <c r="Q714" s="134"/>
      <c r="R714" s="134"/>
      <c r="S714" s="134"/>
      <c r="T714" s="134"/>
      <c r="U714" s="134"/>
      <c r="V714" s="134"/>
      <c r="W714" s="134"/>
      <c r="X714" s="134"/>
      <c r="Y714" s="134"/>
    </row>
    <row r="715">
      <c r="A715" s="126"/>
      <c r="B715" s="127"/>
      <c r="C715" s="135"/>
      <c r="D715" s="144"/>
      <c r="E715" s="74" t="s">
        <v>56</v>
      </c>
      <c r="F715" s="63" t="s">
        <v>56</v>
      </c>
      <c r="G715" s="129"/>
      <c r="H715" s="133"/>
      <c r="I715" s="129"/>
      <c r="J715" s="130"/>
      <c r="K715" s="130"/>
      <c r="L715" s="130"/>
      <c r="M715" s="130"/>
      <c r="N715" s="140"/>
      <c r="O715" s="150"/>
      <c r="P715" s="150"/>
      <c r="Q715" s="134"/>
      <c r="R715" s="134"/>
      <c r="S715" s="134"/>
      <c r="T715" s="134"/>
      <c r="U715" s="134"/>
      <c r="V715" s="134"/>
      <c r="W715" s="134"/>
      <c r="X715" s="134"/>
      <c r="Y715" s="134"/>
    </row>
    <row r="716">
      <c r="A716" s="126"/>
      <c r="B716" s="127"/>
      <c r="C716" s="135"/>
      <c r="D716" s="144"/>
      <c r="E716" s="74" t="s">
        <v>56</v>
      </c>
      <c r="F716" s="63" t="s">
        <v>56</v>
      </c>
      <c r="G716" s="129"/>
      <c r="H716" s="133"/>
      <c r="I716" s="129"/>
      <c r="J716" s="130"/>
      <c r="K716" s="130"/>
      <c r="L716" s="130"/>
      <c r="M716" s="130"/>
      <c r="N716" s="140"/>
      <c r="O716" s="150"/>
      <c r="P716" s="150"/>
      <c r="Q716" s="134"/>
      <c r="R716" s="134"/>
      <c r="S716" s="134"/>
      <c r="T716" s="134"/>
      <c r="U716" s="134"/>
      <c r="V716" s="134"/>
      <c r="W716" s="134"/>
      <c r="X716" s="134"/>
      <c r="Y716" s="134"/>
    </row>
    <row r="717">
      <c r="A717" s="126"/>
      <c r="B717" s="127"/>
      <c r="C717" s="135"/>
      <c r="D717" s="144"/>
      <c r="E717" s="74" t="s">
        <v>56</v>
      </c>
      <c r="F717" s="63" t="s">
        <v>56</v>
      </c>
      <c r="G717" s="129"/>
      <c r="H717" s="133"/>
      <c r="I717" s="129"/>
      <c r="J717" s="130"/>
      <c r="K717" s="130"/>
      <c r="L717" s="130"/>
      <c r="M717" s="130"/>
      <c r="N717" s="140"/>
      <c r="O717" s="150"/>
      <c r="P717" s="150"/>
      <c r="Q717" s="134"/>
      <c r="R717" s="134"/>
      <c r="S717" s="134"/>
      <c r="T717" s="134"/>
      <c r="U717" s="134"/>
      <c r="V717" s="134"/>
      <c r="W717" s="134"/>
      <c r="X717" s="134"/>
      <c r="Y717" s="134"/>
    </row>
    <row r="718">
      <c r="A718" s="126"/>
      <c r="B718" s="127"/>
      <c r="C718" s="135"/>
      <c r="D718" s="144"/>
      <c r="E718" s="74" t="s">
        <v>56</v>
      </c>
      <c r="F718" s="63" t="s">
        <v>56</v>
      </c>
      <c r="G718" s="129"/>
      <c r="H718" s="133"/>
      <c r="I718" s="129"/>
      <c r="J718" s="130"/>
      <c r="K718" s="130"/>
      <c r="L718" s="130"/>
      <c r="M718" s="130"/>
      <c r="N718" s="140"/>
      <c r="O718" s="150"/>
      <c r="P718" s="150"/>
      <c r="Q718" s="134"/>
      <c r="R718" s="134"/>
      <c r="S718" s="134"/>
      <c r="T718" s="134"/>
      <c r="U718" s="134"/>
      <c r="V718" s="134"/>
      <c r="W718" s="134"/>
      <c r="X718" s="134"/>
      <c r="Y718" s="134"/>
    </row>
    <row r="719">
      <c r="A719" s="126"/>
      <c r="B719" s="127"/>
      <c r="C719" s="135"/>
      <c r="D719" s="144"/>
      <c r="E719" s="74" t="s">
        <v>56</v>
      </c>
      <c r="F719" s="63" t="s">
        <v>56</v>
      </c>
      <c r="G719" s="129"/>
      <c r="H719" s="133"/>
      <c r="I719" s="129"/>
      <c r="J719" s="130"/>
      <c r="K719" s="130"/>
      <c r="L719" s="130"/>
      <c r="M719" s="130"/>
      <c r="N719" s="140"/>
      <c r="O719" s="150"/>
      <c r="P719" s="150"/>
      <c r="Q719" s="134"/>
      <c r="R719" s="134"/>
      <c r="S719" s="134"/>
      <c r="T719" s="134"/>
      <c r="U719" s="134"/>
      <c r="V719" s="134"/>
      <c r="W719" s="134"/>
      <c r="X719" s="134"/>
      <c r="Y719" s="134"/>
    </row>
    <row r="720">
      <c r="A720" s="126"/>
      <c r="B720" s="127"/>
      <c r="C720" s="135"/>
      <c r="D720" s="144"/>
      <c r="E720" s="74" t="s">
        <v>56</v>
      </c>
      <c r="F720" s="63" t="s">
        <v>56</v>
      </c>
      <c r="G720" s="129"/>
      <c r="H720" s="133"/>
      <c r="I720" s="129"/>
      <c r="J720" s="130"/>
      <c r="K720" s="130"/>
      <c r="L720" s="130"/>
      <c r="M720" s="130"/>
      <c r="N720" s="140"/>
      <c r="O720" s="150"/>
      <c r="P720" s="150"/>
      <c r="Q720" s="134"/>
      <c r="R720" s="134"/>
      <c r="S720" s="134"/>
      <c r="T720" s="134"/>
      <c r="U720" s="134"/>
      <c r="V720" s="134"/>
      <c r="W720" s="134"/>
      <c r="X720" s="134"/>
      <c r="Y720" s="134"/>
    </row>
    <row r="721">
      <c r="A721" s="126"/>
      <c r="B721" s="127"/>
      <c r="C721" s="135"/>
      <c r="D721" s="144"/>
      <c r="E721" s="74" t="s">
        <v>56</v>
      </c>
      <c r="F721" s="63" t="s">
        <v>56</v>
      </c>
      <c r="G721" s="129"/>
      <c r="H721" s="133"/>
      <c r="I721" s="129"/>
      <c r="J721" s="130"/>
      <c r="K721" s="130"/>
      <c r="L721" s="130"/>
      <c r="M721" s="130"/>
      <c r="N721" s="140"/>
      <c r="O721" s="150"/>
      <c r="P721" s="150"/>
      <c r="Q721" s="134"/>
      <c r="R721" s="134"/>
      <c r="S721" s="134"/>
      <c r="T721" s="134"/>
      <c r="U721" s="134"/>
      <c r="V721" s="134"/>
      <c r="W721" s="134"/>
      <c r="X721" s="134"/>
      <c r="Y721" s="134"/>
    </row>
    <row r="722">
      <c r="A722" s="126"/>
      <c r="B722" s="127"/>
      <c r="C722" s="135"/>
      <c r="D722" s="144"/>
      <c r="E722" s="74" t="s">
        <v>56</v>
      </c>
      <c r="F722" s="63" t="s">
        <v>56</v>
      </c>
      <c r="G722" s="129"/>
      <c r="H722" s="133"/>
      <c r="I722" s="129"/>
      <c r="J722" s="130"/>
      <c r="K722" s="130"/>
      <c r="L722" s="130"/>
      <c r="M722" s="130"/>
      <c r="N722" s="140"/>
      <c r="O722" s="150"/>
      <c r="P722" s="150"/>
      <c r="Q722" s="134"/>
      <c r="R722" s="134"/>
      <c r="S722" s="134"/>
      <c r="T722" s="134"/>
      <c r="U722" s="134"/>
      <c r="V722" s="134"/>
      <c r="W722" s="134"/>
      <c r="X722" s="134"/>
      <c r="Y722" s="134"/>
    </row>
    <row r="723">
      <c r="A723" s="126"/>
      <c r="B723" s="127"/>
      <c r="C723" s="135"/>
      <c r="D723" s="144"/>
      <c r="E723" s="74" t="s">
        <v>56</v>
      </c>
      <c r="F723" s="63" t="s">
        <v>56</v>
      </c>
      <c r="G723" s="129"/>
      <c r="H723" s="133"/>
      <c r="I723" s="129"/>
      <c r="J723" s="130"/>
      <c r="K723" s="130"/>
      <c r="L723" s="130"/>
      <c r="M723" s="130"/>
      <c r="N723" s="140"/>
      <c r="O723" s="150"/>
      <c r="P723" s="150"/>
      <c r="Q723" s="134"/>
      <c r="R723" s="134"/>
      <c r="S723" s="134"/>
      <c r="T723" s="134"/>
      <c r="U723" s="134"/>
      <c r="V723" s="134"/>
      <c r="W723" s="134"/>
      <c r="X723" s="134"/>
      <c r="Y723" s="134"/>
    </row>
    <row r="724">
      <c r="A724" s="126"/>
      <c r="B724" s="127"/>
      <c r="C724" s="135"/>
      <c r="D724" s="144"/>
      <c r="E724" s="74" t="s">
        <v>56</v>
      </c>
      <c r="F724" s="63" t="s">
        <v>56</v>
      </c>
      <c r="G724" s="129"/>
      <c r="H724" s="133"/>
      <c r="I724" s="129"/>
      <c r="J724" s="130"/>
      <c r="K724" s="130"/>
      <c r="L724" s="130"/>
      <c r="M724" s="130"/>
      <c r="N724" s="140"/>
      <c r="O724" s="150"/>
      <c r="P724" s="150"/>
      <c r="Q724" s="134"/>
      <c r="R724" s="134"/>
      <c r="S724" s="134"/>
      <c r="T724" s="134"/>
      <c r="U724" s="134"/>
      <c r="V724" s="134"/>
      <c r="W724" s="134"/>
      <c r="X724" s="134"/>
      <c r="Y724" s="134"/>
    </row>
    <row r="725">
      <c r="A725" s="126"/>
      <c r="B725" s="127"/>
      <c r="C725" s="135"/>
      <c r="D725" s="144"/>
      <c r="E725" s="74" t="s">
        <v>56</v>
      </c>
      <c r="F725" s="63" t="s">
        <v>56</v>
      </c>
      <c r="G725" s="129"/>
      <c r="H725" s="133"/>
      <c r="I725" s="129"/>
      <c r="J725" s="130"/>
      <c r="K725" s="130"/>
      <c r="L725" s="130"/>
      <c r="M725" s="130"/>
      <c r="N725" s="140"/>
      <c r="O725" s="150"/>
      <c r="P725" s="150"/>
      <c r="Q725" s="134"/>
      <c r="R725" s="134"/>
      <c r="S725" s="134"/>
      <c r="T725" s="134"/>
      <c r="U725" s="134"/>
      <c r="V725" s="134"/>
      <c r="W725" s="134"/>
      <c r="X725" s="134"/>
      <c r="Y725" s="134"/>
    </row>
    <row r="726">
      <c r="A726" s="126"/>
      <c r="B726" s="127"/>
      <c r="C726" s="135"/>
      <c r="D726" s="144"/>
      <c r="E726" s="74" t="s">
        <v>56</v>
      </c>
      <c r="F726" s="63" t="s">
        <v>56</v>
      </c>
      <c r="G726" s="129"/>
      <c r="H726" s="133"/>
      <c r="I726" s="129"/>
      <c r="J726" s="130"/>
      <c r="K726" s="130"/>
      <c r="L726" s="130"/>
      <c r="M726" s="130"/>
      <c r="N726" s="140"/>
      <c r="O726" s="150"/>
      <c r="P726" s="150"/>
      <c r="Q726" s="134"/>
      <c r="R726" s="134"/>
      <c r="S726" s="134"/>
      <c r="T726" s="134"/>
      <c r="U726" s="134"/>
      <c r="V726" s="134"/>
      <c r="W726" s="134"/>
      <c r="X726" s="134"/>
      <c r="Y726" s="134"/>
    </row>
    <row r="727">
      <c r="A727" s="126"/>
      <c r="B727" s="127"/>
      <c r="C727" s="135"/>
      <c r="D727" s="144"/>
      <c r="E727" s="74" t="s">
        <v>56</v>
      </c>
      <c r="F727" s="63" t="s">
        <v>56</v>
      </c>
      <c r="G727" s="129"/>
      <c r="H727" s="133"/>
      <c r="I727" s="129"/>
      <c r="J727" s="130"/>
      <c r="K727" s="130"/>
      <c r="L727" s="130"/>
      <c r="M727" s="130"/>
      <c r="N727" s="140"/>
      <c r="O727" s="150"/>
      <c r="P727" s="150"/>
      <c r="Q727" s="134"/>
      <c r="R727" s="134"/>
      <c r="S727" s="134"/>
      <c r="T727" s="134"/>
      <c r="U727" s="134"/>
      <c r="V727" s="134"/>
      <c r="W727" s="134"/>
      <c r="X727" s="134"/>
      <c r="Y727" s="134"/>
    </row>
    <row r="728">
      <c r="A728" s="126"/>
      <c r="B728" s="127"/>
      <c r="C728" s="135"/>
      <c r="D728" s="144"/>
      <c r="E728" s="74" t="s">
        <v>56</v>
      </c>
      <c r="F728" s="63" t="s">
        <v>56</v>
      </c>
      <c r="G728" s="129"/>
      <c r="H728" s="133"/>
      <c r="I728" s="129"/>
      <c r="J728" s="130"/>
      <c r="K728" s="130"/>
      <c r="L728" s="130"/>
      <c r="M728" s="130"/>
      <c r="N728" s="140"/>
      <c r="O728" s="150"/>
      <c r="P728" s="150"/>
      <c r="Q728" s="134"/>
      <c r="R728" s="134"/>
      <c r="S728" s="134"/>
      <c r="T728" s="134"/>
      <c r="U728" s="134"/>
      <c r="V728" s="134"/>
      <c r="W728" s="134"/>
      <c r="X728" s="134"/>
      <c r="Y728" s="134"/>
    </row>
    <row r="729">
      <c r="A729" s="126"/>
      <c r="B729" s="127"/>
      <c r="C729" s="135"/>
      <c r="D729" s="144"/>
      <c r="E729" s="74" t="s">
        <v>56</v>
      </c>
      <c r="F729" s="63" t="s">
        <v>56</v>
      </c>
      <c r="G729" s="129"/>
      <c r="H729" s="133"/>
      <c r="I729" s="129"/>
      <c r="J729" s="130"/>
      <c r="K729" s="130"/>
      <c r="L729" s="130"/>
      <c r="M729" s="130"/>
      <c r="N729" s="140"/>
      <c r="O729" s="150"/>
      <c r="P729" s="150"/>
      <c r="Q729" s="134"/>
      <c r="R729" s="134"/>
      <c r="S729" s="134"/>
      <c r="T729" s="134"/>
      <c r="U729" s="134"/>
      <c r="V729" s="134"/>
      <c r="W729" s="134"/>
      <c r="X729" s="134"/>
      <c r="Y729" s="134"/>
    </row>
    <row r="730">
      <c r="A730" s="126"/>
      <c r="B730" s="127"/>
      <c r="C730" s="135"/>
      <c r="D730" s="144"/>
      <c r="E730" s="74" t="s">
        <v>56</v>
      </c>
      <c r="F730" s="63" t="s">
        <v>56</v>
      </c>
      <c r="G730" s="129"/>
      <c r="H730" s="133"/>
      <c r="I730" s="129"/>
      <c r="J730" s="130"/>
      <c r="K730" s="130"/>
      <c r="L730" s="130"/>
      <c r="M730" s="130"/>
      <c r="N730" s="140"/>
      <c r="O730" s="150"/>
      <c r="P730" s="150"/>
      <c r="Q730" s="134"/>
      <c r="R730" s="134"/>
      <c r="S730" s="134"/>
      <c r="T730" s="134"/>
      <c r="U730" s="134"/>
      <c r="V730" s="134"/>
      <c r="W730" s="134"/>
      <c r="X730" s="134"/>
      <c r="Y730" s="134"/>
    </row>
    <row r="731">
      <c r="A731" s="126"/>
      <c r="B731" s="127"/>
      <c r="C731" s="135"/>
      <c r="D731" s="144"/>
      <c r="E731" s="74" t="s">
        <v>56</v>
      </c>
      <c r="F731" s="63" t="s">
        <v>56</v>
      </c>
      <c r="G731" s="129"/>
      <c r="H731" s="133"/>
      <c r="I731" s="129"/>
      <c r="J731" s="130"/>
      <c r="K731" s="130"/>
      <c r="L731" s="130"/>
      <c r="M731" s="130"/>
      <c r="N731" s="140"/>
      <c r="O731" s="150"/>
      <c r="P731" s="150"/>
      <c r="Q731" s="134"/>
      <c r="R731" s="134"/>
      <c r="S731" s="134"/>
      <c r="T731" s="134"/>
      <c r="U731" s="134"/>
      <c r="V731" s="134"/>
      <c r="W731" s="134"/>
      <c r="X731" s="134"/>
      <c r="Y731" s="134"/>
    </row>
    <row r="732">
      <c r="A732" s="126"/>
      <c r="B732" s="127"/>
      <c r="C732" s="135"/>
      <c r="D732" s="144"/>
      <c r="E732" s="74" t="s">
        <v>56</v>
      </c>
      <c r="F732" s="63" t="s">
        <v>56</v>
      </c>
      <c r="G732" s="129"/>
      <c r="H732" s="133"/>
      <c r="I732" s="129"/>
      <c r="J732" s="130"/>
      <c r="K732" s="130"/>
      <c r="L732" s="130"/>
      <c r="M732" s="130"/>
      <c r="N732" s="140"/>
      <c r="O732" s="150"/>
      <c r="P732" s="150"/>
      <c r="Q732" s="134"/>
      <c r="R732" s="134"/>
      <c r="S732" s="134"/>
      <c r="T732" s="134"/>
      <c r="U732" s="134"/>
      <c r="V732" s="134"/>
      <c r="W732" s="134"/>
      <c r="X732" s="134"/>
      <c r="Y732" s="134"/>
    </row>
    <row r="733">
      <c r="A733" s="126"/>
      <c r="B733" s="127"/>
      <c r="C733" s="135"/>
      <c r="D733" s="144"/>
      <c r="E733" s="74" t="s">
        <v>56</v>
      </c>
      <c r="F733" s="63" t="s">
        <v>56</v>
      </c>
      <c r="G733" s="129"/>
      <c r="H733" s="133"/>
      <c r="I733" s="129"/>
      <c r="J733" s="130"/>
      <c r="K733" s="130"/>
      <c r="L733" s="130"/>
      <c r="M733" s="130"/>
      <c r="N733" s="140"/>
      <c r="O733" s="150"/>
      <c r="P733" s="150"/>
      <c r="Q733" s="134"/>
      <c r="R733" s="134"/>
      <c r="S733" s="134"/>
      <c r="T733" s="134"/>
      <c r="U733" s="134"/>
      <c r="V733" s="134"/>
      <c r="W733" s="134"/>
      <c r="X733" s="134"/>
      <c r="Y733" s="134"/>
    </row>
    <row r="734">
      <c r="A734" s="126"/>
      <c r="B734" s="127"/>
      <c r="C734" s="135"/>
      <c r="D734" s="144"/>
      <c r="E734" s="74" t="s">
        <v>56</v>
      </c>
      <c r="F734" s="63" t="s">
        <v>56</v>
      </c>
      <c r="G734" s="129"/>
      <c r="H734" s="133"/>
      <c r="I734" s="129"/>
      <c r="J734" s="130"/>
      <c r="K734" s="130"/>
      <c r="L734" s="130"/>
      <c r="M734" s="130"/>
      <c r="N734" s="140"/>
      <c r="O734" s="150"/>
      <c r="P734" s="150"/>
      <c r="Q734" s="134"/>
      <c r="R734" s="134"/>
      <c r="S734" s="134"/>
      <c r="T734" s="134"/>
      <c r="U734" s="134"/>
      <c r="V734" s="134"/>
      <c r="W734" s="134"/>
      <c r="X734" s="134"/>
      <c r="Y734" s="134"/>
    </row>
    <row r="735">
      <c r="A735" s="126"/>
      <c r="B735" s="127"/>
      <c r="C735" s="135"/>
      <c r="D735" s="144"/>
      <c r="E735" s="74" t="s">
        <v>56</v>
      </c>
      <c r="F735" s="63" t="s">
        <v>56</v>
      </c>
      <c r="G735" s="129"/>
      <c r="H735" s="133"/>
      <c r="I735" s="129"/>
      <c r="J735" s="130"/>
      <c r="K735" s="130"/>
      <c r="L735" s="130"/>
      <c r="M735" s="130"/>
      <c r="N735" s="140"/>
      <c r="O735" s="150"/>
      <c r="P735" s="150"/>
      <c r="Q735" s="134"/>
      <c r="R735" s="134"/>
      <c r="S735" s="134"/>
      <c r="T735" s="134"/>
      <c r="U735" s="134"/>
      <c r="V735" s="134"/>
      <c r="W735" s="134"/>
      <c r="X735" s="134"/>
      <c r="Y735" s="134"/>
    </row>
    <row r="736">
      <c r="A736" s="126"/>
      <c r="B736" s="127"/>
      <c r="C736" s="135"/>
      <c r="D736" s="144"/>
      <c r="E736" s="74" t="s">
        <v>56</v>
      </c>
      <c r="F736" s="63" t="s">
        <v>56</v>
      </c>
      <c r="G736" s="129"/>
      <c r="H736" s="133"/>
      <c r="I736" s="129"/>
      <c r="J736" s="130"/>
      <c r="K736" s="130"/>
      <c r="L736" s="130"/>
      <c r="M736" s="130"/>
      <c r="N736" s="140"/>
      <c r="O736" s="150"/>
      <c r="P736" s="150"/>
      <c r="Q736" s="134"/>
      <c r="R736" s="134"/>
      <c r="S736" s="134"/>
      <c r="T736" s="134"/>
      <c r="U736" s="134"/>
      <c r="V736" s="134"/>
      <c r="W736" s="134"/>
      <c r="X736" s="134"/>
      <c r="Y736" s="134"/>
    </row>
    <row r="737">
      <c r="A737" s="126"/>
      <c r="B737" s="127"/>
      <c r="C737" s="135"/>
      <c r="D737" s="144"/>
      <c r="E737" s="74" t="s">
        <v>56</v>
      </c>
      <c r="F737" s="63" t="s">
        <v>56</v>
      </c>
      <c r="G737" s="129"/>
      <c r="H737" s="133"/>
      <c r="I737" s="129"/>
      <c r="J737" s="130"/>
      <c r="K737" s="130"/>
      <c r="L737" s="130"/>
      <c r="M737" s="130"/>
      <c r="N737" s="140"/>
      <c r="O737" s="150"/>
      <c r="P737" s="150"/>
      <c r="Q737" s="134"/>
      <c r="R737" s="134"/>
      <c r="S737" s="134"/>
      <c r="T737" s="134"/>
      <c r="U737" s="134"/>
      <c r="V737" s="134"/>
      <c r="W737" s="134"/>
      <c r="X737" s="134"/>
      <c r="Y737" s="134"/>
    </row>
    <row r="738">
      <c r="A738" s="126"/>
      <c r="B738" s="127"/>
      <c r="C738" s="135"/>
      <c r="D738" s="144"/>
      <c r="E738" s="74" t="s">
        <v>56</v>
      </c>
      <c r="F738" s="63" t="s">
        <v>56</v>
      </c>
      <c r="G738" s="129"/>
      <c r="H738" s="133"/>
      <c r="I738" s="129"/>
      <c r="J738" s="130"/>
      <c r="K738" s="130"/>
      <c r="L738" s="130"/>
      <c r="M738" s="130"/>
      <c r="N738" s="140"/>
      <c r="O738" s="150"/>
      <c r="P738" s="150"/>
      <c r="Q738" s="134"/>
      <c r="R738" s="134"/>
      <c r="S738" s="134"/>
      <c r="T738" s="134"/>
      <c r="U738" s="134"/>
      <c r="V738" s="134"/>
      <c r="W738" s="134"/>
      <c r="X738" s="134"/>
      <c r="Y738" s="134"/>
    </row>
    <row r="739">
      <c r="A739" s="126"/>
      <c r="B739" s="127"/>
      <c r="C739" s="135"/>
      <c r="D739" s="144"/>
      <c r="E739" s="74" t="s">
        <v>56</v>
      </c>
      <c r="F739" s="63" t="s">
        <v>56</v>
      </c>
      <c r="G739" s="129"/>
      <c r="H739" s="133"/>
      <c r="I739" s="129"/>
      <c r="J739" s="130"/>
      <c r="K739" s="130"/>
      <c r="L739" s="130"/>
      <c r="M739" s="130"/>
      <c r="N739" s="140"/>
      <c r="O739" s="150"/>
      <c r="P739" s="150"/>
      <c r="Q739" s="134"/>
      <c r="R739" s="134"/>
      <c r="S739" s="134"/>
      <c r="T739" s="134"/>
      <c r="U739" s="134"/>
      <c r="V739" s="134"/>
      <c r="W739" s="134"/>
      <c r="X739" s="134"/>
      <c r="Y739" s="134"/>
    </row>
    <row r="740">
      <c r="A740" s="126"/>
      <c r="B740" s="127"/>
      <c r="C740" s="135"/>
      <c r="D740" s="144"/>
      <c r="E740" s="74" t="s">
        <v>56</v>
      </c>
      <c r="F740" s="63" t="s">
        <v>56</v>
      </c>
      <c r="G740" s="129"/>
      <c r="H740" s="133"/>
      <c r="I740" s="129"/>
      <c r="J740" s="130"/>
      <c r="K740" s="130"/>
      <c r="L740" s="130"/>
      <c r="M740" s="130"/>
      <c r="N740" s="140"/>
      <c r="O740" s="150"/>
      <c r="P740" s="150"/>
      <c r="Q740" s="134"/>
      <c r="R740" s="134"/>
      <c r="S740" s="134"/>
      <c r="T740" s="134"/>
      <c r="U740" s="134"/>
      <c r="V740" s="134"/>
      <c r="W740" s="134"/>
      <c r="X740" s="134"/>
      <c r="Y740" s="134"/>
    </row>
    <row r="741">
      <c r="A741" s="126"/>
      <c r="B741" s="127"/>
      <c r="C741" s="135"/>
      <c r="D741" s="144"/>
      <c r="E741" s="74" t="s">
        <v>56</v>
      </c>
      <c r="F741" s="63" t="s">
        <v>56</v>
      </c>
      <c r="G741" s="129"/>
      <c r="H741" s="133"/>
      <c r="I741" s="129"/>
      <c r="J741" s="130"/>
      <c r="K741" s="130"/>
      <c r="L741" s="130"/>
      <c r="M741" s="130"/>
      <c r="N741" s="140"/>
      <c r="O741" s="150"/>
      <c r="P741" s="150"/>
      <c r="Q741" s="134"/>
      <c r="R741" s="134"/>
      <c r="S741" s="134"/>
      <c r="T741" s="134"/>
      <c r="U741" s="134"/>
      <c r="V741" s="134"/>
      <c r="W741" s="134"/>
      <c r="X741" s="134"/>
      <c r="Y741" s="134"/>
    </row>
    <row r="742">
      <c r="A742" s="126"/>
      <c r="B742" s="127"/>
      <c r="C742" s="135"/>
      <c r="D742" s="144"/>
      <c r="E742" s="74" t="s">
        <v>56</v>
      </c>
      <c r="F742" s="63" t="s">
        <v>56</v>
      </c>
      <c r="G742" s="129"/>
      <c r="H742" s="133"/>
      <c r="I742" s="129"/>
      <c r="J742" s="130"/>
      <c r="K742" s="130"/>
      <c r="L742" s="130"/>
      <c r="M742" s="130"/>
      <c r="N742" s="140"/>
      <c r="O742" s="150"/>
      <c r="P742" s="150"/>
      <c r="Q742" s="134"/>
      <c r="R742" s="134"/>
      <c r="S742" s="134"/>
      <c r="T742" s="134"/>
      <c r="U742" s="134"/>
      <c r="V742" s="134"/>
      <c r="W742" s="134"/>
      <c r="X742" s="134"/>
      <c r="Y742" s="134"/>
    </row>
    <row r="743">
      <c r="A743" s="126"/>
      <c r="B743" s="127"/>
      <c r="C743" s="135"/>
      <c r="D743" s="144"/>
      <c r="E743" s="74" t="s">
        <v>56</v>
      </c>
      <c r="F743" s="63" t="s">
        <v>56</v>
      </c>
      <c r="G743" s="129"/>
      <c r="H743" s="133"/>
      <c r="I743" s="129"/>
      <c r="J743" s="130"/>
      <c r="K743" s="130"/>
      <c r="L743" s="130"/>
      <c r="M743" s="130"/>
      <c r="N743" s="140"/>
      <c r="O743" s="150"/>
      <c r="P743" s="150"/>
      <c r="Q743" s="134"/>
      <c r="R743" s="134"/>
      <c r="S743" s="134"/>
      <c r="T743" s="134"/>
      <c r="U743" s="134"/>
      <c r="V743" s="134"/>
      <c r="W743" s="134"/>
      <c r="X743" s="134"/>
      <c r="Y743" s="134"/>
    </row>
    <row r="744">
      <c r="A744" s="126"/>
      <c r="B744" s="127"/>
      <c r="C744" s="135"/>
      <c r="D744" s="144"/>
      <c r="E744" s="74" t="s">
        <v>56</v>
      </c>
      <c r="F744" s="63" t="s">
        <v>56</v>
      </c>
      <c r="G744" s="129"/>
      <c r="H744" s="133"/>
      <c r="I744" s="129"/>
      <c r="J744" s="130"/>
      <c r="K744" s="130"/>
      <c r="L744" s="130"/>
      <c r="M744" s="130"/>
      <c r="N744" s="140"/>
      <c r="O744" s="150"/>
      <c r="P744" s="150"/>
      <c r="Q744" s="134"/>
      <c r="R744" s="134"/>
      <c r="S744" s="134"/>
      <c r="T744" s="134"/>
      <c r="U744" s="134"/>
      <c r="V744" s="134"/>
      <c r="W744" s="134"/>
      <c r="X744" s="134"/>
      <c r="Y744" s="134"/>
    </row>
    <row r="745">
      <c r="A745" s="126"/>
      <c r="B745" s="127"/>
      <c r="C745" s="135"/>
      <c r="D745" s="144"/>
      <c r="E745" s="74" t="s">
        <v>56</v>
      </c>
      <c r="F745" s="63" t="s">
        <v>56</v>
      </c>
      <c r="G745" s="129"/>
      <c r="H745" s="133"/>
      <c r="I745" s="129"/>
      <c r="J745" s="130"/>
      <c r="K745" s="130"/>
      <c r="L745" s="130"/>
      <c r="M745" s="130"/>
      <c r="N745" s="140"/>
      <c r="O745" s="150"/>
      <c r="P745" s="150"/>
      <c r="Q745" s="134"/>
      <c r="R745" s="134"/>
      <c r="S745" s="134"/>
      <c r="T745" s="134"/>
      <c r="U745" s="134"/>
      <c r="V745" s="134"/>
      <c r="W745" s="134"/>
      <c r="X745" s="134"/>
      <c r="Y745" s="134"/>
    </row>
    <row r="746">
      <c r="A746" s="126"/>
      <c r="B746" s="127"/>
      <c r="C746" s="135"/>
      <c r="D746" s="144"/>
      <c r="E746" s="74" t="s">
        <v>56</v>
      </c>
      <c r="F746" s="63" t="s">
        <v>56</v>
      </c>
      <c r="G746" s="129"/>
      <c r="H746" s="133"/>
      <c r="I746" s="129"/>
      <c r="J746" s="130"/>
      <c r="K746" s="130"/>
      <c r="L746" s="130"/>
      <c r="M746" s="130"/>
      <c r="N746" s="140"/>
      <c r="O746" s="150"/>
      <c r="P746" s="150"/>
      <c r="Q746" s="134"/>
      <c r="R746" s="134"/>
      <c r="S746" s="134"/>
      <c r="T746" s="134"/>
      <c r="U746" s="134"/>
      <c r="V746" s="134"/>
      <c r="W746" s="134"/>
      <c r="X746" s="134"/>
      <c r="Y746" s="134"/>
    </row>
    <row r="747">
      <c r="A747" s="126"/>
      <c r="B747" s="127"/>
      <c r="C747" s="135"/>
      <c r="D747" s="144"/>
      <c r="E747" s="74" t="s">
        <v>56</v>
      </c>
      <c r="F747" s="63" t="s">
        <v>56</v>
      </c>
      <c r="G747" s="129"/>
      <c r="H747" s="133"/>
      <c r="I747" s="129"/>
      <c r="J747" s="130"/>
      <c r="K747" s="130"/>
      <c r="L747" s="130"/>
      <c r="M747" s="130"/>
      <c r="N747" s="140"/>
      <c r="O747" s="150"/>
      <c r="P747" s="150"/>
      <c r="Q747" s="134"/>
      <c r="R747" s="134"/>
      <c r="S747" s="134"/>
      <c r="T747" s="134"/>
      <c r="U747" s="134"/>
      <c r="V747" s="134"/>
      <c r="W747" s="134"/>
      <c r="X747" s="134"/>
      <c r="Y747" s="134"/>
    </row>
    <row r="748">
      <c r="A748" s="126"/>
      <c r="B748" s="127"/>
      <c r="C748" s="135"/>
      <c r="D748" s="144"/>
      <c r="E748" s="74" t="s">
        <v>56</v>
      </c>
      <c r="F748" s="63" t="s">
        <v>56</v>
      </c>
      <c r="G748" s="129"/>
      <c r="H748" s="133"/>
      <c r="I748" s="129"/>
      <c r="J748" s="130"/>
      <c r="K748" s="130"/>
      <c r="L748" s="130"/>
      <c r="M748" s="130"/>
      <c r="N748" s="140"/>
      <c r="O748" s="150"/>
      <c r="P748" s="150"/>
      <c r="Q748" s="134"/>
      <c r="R748" s="134"/>
      <c r="S748" s="134"/>
      <c r="T748" s="134"/>
      <c r="U748" s="134"/>
      <c r="V748" s="134"/>
      <c r="W748" s="134"/>
      <c r="X748" s="134"/>
      <c r="Y748" s="134"/>
    </row>
    <row r="749">
      <c r="A749" s="126"/>
      <c r="B749" s="127"/>
      <c r="C749" s="135"/>
      <c r="D749" s="144"/>
      <c r="E749" s="74" t="s">
        <v>56</v>
      </c>
      <c r="F749" s="63" t="s">
        <v>56</v>
      </c>
      <c r="G749" s="129"/>
      <c r="H749" s="133"/>
      <c r="I749" s="129"/>
      <c r="J749" s="130"/>
      <c r="K749" s="130"/>
      <c r="L749" s="130"/>
      <c r="M749" s="130"/>
      <c r="N749" s="140"/>
      <c r="O749" s="150"/>
      <c r="P749" s="150"/>
      <c r="Q749" s="134"/>
      <c r="R749" s="134"/>
      <c r="S749" s="134"/>
      <c r="T749" s="134"/>
      <c r="U749" s="134"/>
      <c r="V749" s="134"/>
      <c r="W749" s="134"/>
      <c r="X749" s="134"/>
      <c r="Y749" s="134"/>
    </row>
    <row r="750">
      <c r="A750" s="126"/>
      <c r="B750" s="127"/>
      <c r="C750" s="135"/>
      <c r="D750" s="144"/>
      <c r="E750" s="74" t="s">
        <v>56</v>
      </c>
      <c r="F750" s="63" t="s">
        <v>56</v>
      </c>
      <c r="G750" s="129"/>
      <c r="H750" s="133"/>
      <c r="I750" s="129"/>
      <c r="J750" s="130"/>
      <c r="K750" s="130"/>
      <c r="L750" s="130"/>
      <c r="M750" s="130"/>
      <c r="N750" s="140"/>
      <c r="O750" s="150"/>
      <c r="P750" s="150"/>
      <c r="Q750" s="134"/>
      <c r="R750" s="134"/>
      <c r="S750" s="134"/>
      <c r="T750" s="134"/>
      <c r="U750" s="134"/>
      <c r="V750" s="134"/>
      <c r="W750" s="134"/>
      <c r="X750" s="134"/>
      <c r="Y750" s="134"/>
    </row>
    <row r="751">
      <c r="A751" s="126"/>
      <c r="B751" s="127"/>
      <c r="C751" s="135"/>
      <c r="D751" s="144"/>
      <c r="E751" s="74" t="s">
        <v>56</v>
      </c>
      <c r="F751" s="63" t="s">
        <v>56</v>
      </c>
      <c r="G751" s="129"/>
      <c r="H751" s="133"/>
      <c r="I751" s="129"/>
      <c r="J751" s="130"/>
      <c r="K751" s="130"/>
      <c r="L751" s="130"/>
      <c r="M751" s="130"/>
      <c r="N751" s="140"/>
      <c r="O751" s="150"/>
      <c r="P751" s="150"/>
      <c r="Q751" s="134"/>
      <c r="R751" s="134"/>
      <c r="S751" s="134"/>
      <c r="T751" s="134"/>
      <c r="U751" s="134"/>
      <c r="V751" s="134"/>
      <c r="W751" s="134"/>
      <c r="X751" s="134"/>
      <c r="Y751" s="134"/>
    </row>
    <row r="752">
      <c r="A752" s="126"/>
      <c r="B752" s="127"/>
      <c r="C752" s="135"/>
      <c r="D752" s="144"/>
      <c r="E752" s="74" t="s">
        <v>56</v>
      </c>
      <c r="F752" s="63" t="s">
        <v>56</v>
      </c>
      <c r="G752" s="129"/>
      <c r="H752" s="133"/>
      <c r="I752" s="129"/>
      <c r="J752" s="130"/>
      <c r="K752" s="130"/>
      <c r="L752" s="130"/>
      <c r="M752" s="130"/>
      <c r="N752" s="140"/>
      <c r="O752" s="150"/>
      <c r="P752" s="150"/>
      <c r="Q752" s="134"/>
      <c r="R752" s="134"/>
      <c r="S752" s="134"/>
      <c r="T752" s="134"/>
      <c r="U752" s="134"/>
      <c r="V752" s="134"/>
      <c r="W752" s="134"/>
      <c r="X752" s="134"/>
      <c r="Y752" s="134"/>
    </row>
    <row r="753">
      <c r="A753" s="126"/>
      <c r="B753" s="127"/>
      <c r="C753" s="135"/>
      <c r="D753" s="144"/>
      <c r="E753" s="74" t="s">
        <v>56</v>
      </c>
      <c r="F753" s="63" t="s">
        <v>56</v>
      </c>
      <c r="G753" s="129"/>
      <c r="H753" s="133"/>
      <c r="I753" s="129"/>
      <c r="J753" s="130"/>
      <c r="K753" s="130"/>
      <c r="L753" s="130"/>
      <c r="M753" s="130"/>
      <c r="N753" s="140"/>
      <c r="O753" s="150"/>
      <c r="P753" s="150"/>
      <c r="Q753" s="134"/>
      <c r="R753" s="134"/>
      <c r="S753" s="134"/>
      <c r="T753" s="134"/>
      <c r="U753" s="134"/>
      <c r="V753" s="134"/>
      <c r="W753" s="134"/>
      <c r="X753" s="134"/>
      <c r="Y753" s="134"/>
    </row>
    <row r="754">
      <c r="A754" s="126"/>
      <c r="B754" s="127"/>
      <c r="C754" s="135"/>
      <c r="D754" s="144"/>
      <c r="E754" s="74" t="s">
        <v>56</v>
      </c>
      <c r="F754" s="63" t="s">
        <v>56</v>
      </c>
      <c r="G754" s="129"/>
      <c r="H754" s="133"/>
      <c r="I754" s="129"/>
      <c r="J754" s="130"/>
      <c r="K754" s="130"/>
      <c r="L754" s="130"/>
      <c r="M754" s="130"/>
      <c r="N754" s="140"/>
      <c r="O754" s="150"/>
      <c r="P754" s="150"/>
      <c r="Q754" s="134"/>
      <c r="R754" s="134"/>
      <c r="S754" s="134"/>
      <c r="T754" s="134"/>
      <c r="U754" s="134"/>
      <c r="V754" s="134"/>
      <c r="W754" s="134"/>
      <c r="X754" s="134"/>
      <c r="Y754" s="134"/>
    </row>
    <row r="755">
      <c r="A755" s="126"/>
      <c r="B755" s="127"/>
      <c r="C755" s="135"/>
      <c r="D755" s="144"/>
      <c r="E755" s="74" t="s">
        <v>56</v>
      </c>
      <c r="F755" s="63" t="s">
        <v>56</v>
      </c>
      <c r="G755" s="129"/>
      <c r="H755" s="133"/>
      <c r="I755" s="129"/>
      <c r="J755" s="130"/>
      <c r="K755" s="130"/>
      <c r="L755" s="130"/>
      <c r="M755" s="130"/>
      <c r="N755" s="140"/>
      <c r="O755" s="150"/>
      <c r="P755" s="150"/>
      <c r="Q755" s="134"/>
      <c r="R755" s="134"/>
      <c r="S755" s="134"/>
      <c r="T755" s="134"/>
      <c r="U755" s="134"/>
      <c r="V755" s="134"/>
      <c r="W755" s="134"/>
      <c r="X755" s="134"/>
      <c r="Y755" s="134"/>
    </row>
    <row r="756">
      <c r="A756" s="126"/>
      <c r="B756" s="127"/>
      <c r="C756" s="135"/>
      <c r="D756" s="144"/>
      <c r="E756" s="74" t="s">
        <v>56</v>
      </c>
      <c r="F756" s="63" t="s">
        <v>56</v>
      </c>
      <c r="G756" s="129"/>
      <c r="H756" s="133"/>
      <c r="I756" s="129"/>
      <c r="J756" s="130"/>
      <c r="K756" s="130"/>
      <c r="L756" s="130"/>
      <c r="M756" s="130"/>
      <c r="N756" s="140"/>
      <c r="O756" s="150"/>
      <c r="P756" s="150"/>
      <c r="Q756" s="134"/>
      <c r="R756" s="134"/>
      <c r="S756" s="134"/>
      <c r="T756" s="134"/>
      <c r="U756" s="134"/>
      <c r="V756" s="134"/>
      <c r="W756" s="134"/>
      <c r="X756" s="134"/>
      <c r="Y756" s="134"/>
    </row>
    <row r="757">
      <c r="A757" s="126"/>
      <c r="B757" s="127"/>
      <c r="C757" s="135"/>
      <c r="D757" s="144"/>
      <c r="E757" s="74" t="s">
        <v>56</v>
      </c>
      <c r="F757" s="63" t="s">
        <v>56</v>
      </c>
      <c r="G757" s="129"/>
      <c r="H757" s="133"/>
      <c r="I757" s="129"/>
      <c r="J757" s="130"/>
      <c r="K757" s="130"/>
      <c r="L757" s="130"/>
      <c r="M757" s="130"/>
      <c r="N757" s="140"/>
      <c r="O757" s="150"/>
      <c r="P757" s="150"/>
      <c r="Q757" s="134"/>
      <c r="R757" s="134"/>
      <c r="S757" s="134"/>
      <c r="T757" s="134"/>
      <c r="U757" s="134"/>
      <c r="V757" s="134"/>
      <c r="W757" s="134"/>
      <c r="X757" s="134"/>
      <c r="Y757" s="134"/>
    </row>
    <row r="758">
      <c r="A758" s="126"/>
      <c r="B758" s="127"/>
      <c r="C758" s="135"/>
      <c r="D758" s="144"/>
      <c r="E758" s="74" t="s">
        <v>56</v>
      </c>
      <c r="F758" s="63" t="s">
        <v>56</v>
      </c>
      <c r="G758" s="129"/>
      <c r="H758" s="133"/>
      <c r="I758" s="129"/>
      <c r="J758" s="130"/>
      <c r="K758" s="130"/>
      <c r="L758" s="130"/>
      <c r="M758" s="130"/>
      <c r="N758" s="140"/>
      <c r="O758" s="150"/>
      <c r="P758" s="150"/>
      <c r="Q758" s="134"/>
      <c r="R758" s="134"/>
      <c r="S758" s="134"/>
      <c r="T758" s="134"/>
      <c r="U758" s="134"/>
      <c r="V758" s="134"/>
      <c r="W758" s="134"/>
      <c r="X758" s="134"/>
      <c r="Y758" s="134"/>
    </row>
    <row r="759">
      <c r="A759" s="126"/>
      <c r="B759" s="127"/>
      <c r="C759" s="135"/>
      <c r="D759" s="144"/>
      <c r="E759" s="74" t="s">
        <v>56</v>
      </c>
      <c r="F759" s="63" t="s">
        <v>56</v>
      </c>
      <c r="G759" s="129"/>
      <c r="H759" s="133"/>
      <c r="I759" s="129"/>
      <c r="J759" s="130"/>
      <c r="K759" s="130"/>
      <c r="L759" s="130"/>
      <c r="M759" s="130"/>
      <c r="N759" s="140"/>
      <c r="O759" s="150"/>
      <c r="P759" s="150"/>
      <c r="Q759" s="134"/>
      <c r="R759" s="134"/>
      <c r="S759" s="134"/>
      <c r="T759" s="134"/>
      <c r="U759" s="134"/>
      <c r="V759" s="134"/>
      <c r="W759" s="134"/>
      <c r="X759" s="134"/>
      <c r="Y759" s="134"/>
    </row>
    <row r="760">
      <c r="A760" s="126"/>
      <c r="B760" s="127"/>
      <c r="C760" s="135"/>
      <c r="D760" s="144"/>
      <c r="E760" s="74" t="s">
        <v>56</v>
      </c>
      <c r="F760" s="63" t="s">
        <v>56</v>
      </c>
      <c r="G760" s="129"/>
      <c r="H760" s="133"/>
      <c r="I760" s="129"/>
      <c r="J760" s="130"/>
      <c r="K760" s="130"/>
      <c r="L760" s="130"/>
      <c r="M760" s="130"/>
      <c r="N760" s="140"/>
      <c r="O760" s="150"/>
      <c r="P760" s="150"/>
      <c r="Q760" s="134"/>
      <c r="R760" s="134"/>
      <c r="S760" s="134"/>
      <c r="T760" s="134"/>
      <c r="U760" s="134"/>
      <c r="V760" s="134"/>
      <c r="W760" s="134"/>
      <c r="X760" s="134"/>
      <c r="Y760" s="134"/>
    </row>
    <row r="761">
      <c r="A761" s="126"/>
      <c r="B761" s="127"/>
      <c r="C761" s="135"/>
      <c r="D761" s="144"/>
      <c r="E761" s="74" t="s">
        <v>56</v>
      </c>
      <c r="F761" s="63" t="s">
        <v>56</v>
      </c>
      <c r="G761" s="129"/>
      <c r="H761" s="133"/>
      <c r="I761" s="129"/>
      <c r="J761" s="130"/>
      <c r="K761" s="130"/>
      <c r="L761" s="130"/>
      <c r="M761" s="130"/>
      <c r="N761" s="140"/>
      <c r="O761" s="150"/>
      <c r="P761" s="150"/>
      <c r="Q761" s="134"/>
      <c r="R761" s="134"/>
      <c r="S761" s="134"/>
      <c r="T761" s="134"/>
      <c r="U761" s="134"/>
      <c r="V761" s="134"/>
      <c r="W761" s="134"/>
      <c r="X761" s="134"/>
      <c r="Y761" s="134"/>
    </row>
    <row r="762">
      <c r="A762" s="126"/>
      <c r="B762" s="127"/>
      <c r="C762" s="135"/>
      <c r="D762" s="144"/>
      <c r="E762" s="74" t="s">
        <v>56</v>
      </c>
      <c r="F762" s="63" t="s">
        <v>56</v>
      </c>
      <c r="G762" s="129"/>
      <c r="H762" s="133"/>
      <c r="I762" s="129"/>
      <c r="J762" s="130"/>
      <c r="K762" s="130"/>
      <c r="L762" s="130"/>
      <c r="M762" s="130"/>
      <c r="N762" s="140"/>
      <c r="O762" s="150"/>
      <c r="P762" s="150"/>
      <c r="Q762" s="134"/>
      <c r="R762" s="134"/>
      <c r="S762" s="134"/>
      <c r="T762" s="134"/>
      <c r="U762" s="134"/>
      <c r="V762" s="134"/>
      <c r="W762" s="134"/>
      <c r="X762" s="134"/>
      <c r="Y762" s="134"/>
    </row>
    <row r="763">
      <c r="A763" s="126"/>
      <c r="B763" s="127"/>
      <c r="C763" s="135"/>
      <c r="D763" s="144"/>
      <c r="E763" s="74" t="s">
        <v>56</v>
      </c>
      <c r="F763" s="63" t="s">
        <v>56</v>
      </c>
      <c r="G763" s="129"/>
      <c r="H763" s="133"/>
      <c r="I763" s="129"/>
      <c r="J763" s="130"/>
      <c r="K763" s="130"/>
      <c r="L763" s="130"/>
      <c r="M763" s="130"/>
      <c r="N763" s="140"/>
      <c r="O763" s="150"/>
      <c r="P763" s="150"/>
      <c r="Q763" s="134"/>
      <c r="R763" s="134"/>
      <c r="S763" s="134"/>
      <c r="T763" s="134"/>
      <c r="U763" s="134"/>
      <c r="V763" s="134"/>
      <c r="W763" s="134"/>
      <c r="X763" s="134"/>
      <c r="Y763" s="134"/>
    </row>
    <row r="764">
      <c r="A764" s="126"/>
      <c r="B764" s="127"/>
      <c r="C764" s="135"/>
      <c r="D764" s="144"/>
      <c r="E764" s="74" t="s">
        <v>56</v>
      </c>
      <c r="F764" s="63" t="s">
        <v>56</v>
      </c>
      <c r="G764" s="129"/>
      <c r="H764" s="133"/>
      <c r="I764" s="129"/>
      <c r="J764" s="130"/>
      <c r="K764" s="130"/>
      <c r="L764" s="130"/>
      <c r="M764" s="130"/>
      <c r="N764" s="140"/>
      <c r="O764" s="150"/>
      <c r="P764" s="150"/>
      <c r="Q764" s="134"/>
      <c r="R764" s="134"/>
      <c r="S764" s="134"/>
      <c r="T764" s="134"/>
      <c r="U764" s="134"/>
      <c r="V764" s="134"/>
      <c r="W764" s="134"/>
      <c r="X764" s="134"/>
      <c r="Y764" s="134"/>
    </row>
    <row r="765">
      <c r="A765" s="126"/>
      <c r="B765" s="127"/>
      <c r="C765" s="135"/>
      <c r="D765" s="144"/>
      <c r="E765" s="74" t="s">
        <v>56</v>
      </c>
      <c r="F765" s="63" t="s">
        <v>56</v>
      </c>
      <c r="G765" s="129"/>
      <c r="H765" s="133"/>
      <c r="I765" s="129"/>
      <c r="J765" s="130"/>
      <c r="K765" s="130"/>
      <c r="L765" s="130"/>
      <c r="M765" s="130"/>
      <c r="N765" s="140"/>
      <c r="O765" s="150"/>
      <c r="P765" s="150"/>
      <c r="Q765" s="134"/>
      <c r="R765" s="134"/>
      <c r="S765" s="134"/>
      <c r="T765" s="134"/>
      <c r="U765" s="134"/>
      <c r="V765" s="134"/>
      <c r="W765" s="134"/>
      <c r="X765" s="134"/>
      <c r="Y765" s="134"/>
    </row>
    <row r="766">
      <c r="A766" s="126"/>
      <c r="B766" s="127"/>
      <c r="C766" s="135"/>
      <c r="D766" s="144"/>
      <c r="E766" s="74" t="s">
        <v>56</v>
      </c>
      <c r="F766" s="63" t="s">
        <v>56</v>
      </c>
      <c r="G766" s="129"/>
      <c r="H766" s="133"/>
      <c r="I766" s="129"/>
      <c r="J766" s="130"/>
      <c r="K766" s="130"/>
      <c r="L766" s="130"/>
      <c r="M766" s="130"/>
      <c r="N766" s="140"/>
      <c r="O766" s="150"/>
      <c r="P766" s="150"/>
      <c r="Q766" s="134"/>
      <c r="R766" s="134"/>
      <c r="S766" s="134"/>
      <c r="T766" s="134"/>
      <c r="U766" s="134"/>
      <c r="V766" s="134"/>
      <c r="W766" s="134"/>
      <c r="X766" s="134"/>
      <c r="Y766" s="134"/>
    </row>
    <row r="767">
      <c r="A767" s="126"/>
      <c r="B767" s="127"/>
      <c r="C767" s="135"/>
      <c r="D767" s="144"/>
      <c r="E767" s="74" t="s">
        <v>56</v>
      </c>
      <c r="F767" s="63" t="s">
        <v>56</v>
      </c>
      <c r="G767" s="129"/>
      <c r="H767" s="133"/>
      <c r="I767" s="129"/>
      <c r="J767" s="130"/>
      <c r="K767" s="130"/>
      <c r="L767" s="130"/>
      <c r="M767" s="130"/>
      <c r="N767" s="140"/>
      <c r="O767" s="150"/>
      <c r="P767" s="150"/>
      <c r="Q767" s="134"/>
      <c r="R767" s="134"/>
      <c r="S767" s="134"/>
      <c r="T767" s="134"/>
      <c r="U767" s="134"/>
      <c r="V767" s="134"/>
      <c r="W767" s="134"/>
      <c r="X767" s="134"/>
      <c r="Y767" s="134"/>
    </row>
    <row r="768">
      <c r="A768" s="126"/>
      <c r="B768" s="127"/>
      <c r="C768" s="135"/>
      <c r="D768" s="144"/>
      <c r="E768" s="74" t="s">
        <v>56</v>
      </c>
      <c r="F768" s="63" t="s">
        <v>56</v>
      </c>
      <c r="G768" s="129"/>
      <c r="H768" s="133"/>
      <c r="I768" s="129"/>
      <c r="J768" s="130"/>
      <c r="K768" s="130"/>
      <c r="L768" s="130"/>
      <c r="M768" s="130"/>
      <c r="N768" s="140"/>
      <c r="O768" s="150"/>
      <c r="P768" s="150"/>
      <c r="Q768" s="134"/>
      <c r="R768" s="134"/>
      <c r="S768" s="134"/>
      <c r="T768" s="134"/>
      <c r="U768" s="134"/>
      <c r="V768" s="134"/>
      <c r="W768" s="134"/>
      <c r="X768" s="134"/>
      <c r="Y768" s="134"/>
    </row>
    <row r="769">
      <c r="A769" s="126"/>
      <c r="B769" s="127"/>
      <c r="C769" s="135"/>
      <c r="D769" s="144"/>
      <c r="E769" s="74" t="s">
        <v>56</v>
      </c>
      <c r="F769" s="63" t="s">
        <v>56</v>
      </c>
      <c r="G769" s="129"/>
      <c r="H769" s="133"/>
      <c r="I769" s="129"/>
      <c r="J769" s="130"/>
      <c r="K769" s="130"/>
      <c r="L769" s="130"/>
      <c r="M769" s="130"/>
      <c r="N769" s="140"/>
      <c r="O769" s="150"/>
      <c r="P769" s="150"/>
      <c r="Q769" s="134"/>
      <c r="R769" s="134"/>
      <c r="S769" s="134"/>
      <c r="T769" s="134"/>
      <c r="U769" s="134"/>
      <c r="V769" s="134"/>
      <c r="W769" s="134"/>
      <c r="X769" s="134"/>
      <c r="Y769" s="134"/>
    </row>
    <row r="770">
      <c r="A770" s="126"/>
      <c r="B770" s="127"/>
      <c r="C770" s="135"/>
      <c r="D770" s="144"/>
      <c r="E770" s="74" t="s">
        <v>56</v>
      </c>
      <c r="F770" s="63" t="s">
        <v>56</v>
      </c>
      <c r="G770" s="129"/>
      <c r="H770" s="133"/>
      <c r="I770" s="129"/>
      <c r="J770" s="130"/>
      <c r="K770" s="130"/>
      <c r="L770" s="130"/>
      <c r="M770" s="130"/>
      <c r="N770" s="140"/>
      <c r="O770" s="150"/>
      <c r="P770" s="150"/>
      <c r="Q770" s="134"/>
      <c r="R770" s="134"/>
      <c r="S770" s="134"/>
      <c r="T770" s="134"/>
      <c r="U770" s="134"/>
      <c r="V770" s="134"/>
      <c r="W770" s="134"/>
      <c r="X770" s="134"/>
      <c r="Y770" s="134"/>
    </row>
    <row r="771">
      <c r="A771" s="126"/>
      <c r="B771" s="127"/>
      <c r="C771" s="135"/>
      <c r="D771" s="144"/>
      <c r="E771" s="74" t="s">
        <v>56</v>
      </c>
      <c r="F771" s="63" t="s">
        <v>56</v>
      </c>
      <c r="G771" s="129"/>
      <c r="H771" s="133"/>
      <c r="I771" s="129"/>
      <c r="J771" s="130"/>
      <c r="K771" s="130"/>
      <c r="L771" s="130"/>
      <c r="M771" s="130"/>
      <c r="N771" s="140"/>
      <c r="O771" s="150"/>
      <c r="P771" s="150"/>
      <c r="Q771" s="134"/>
      <c r="R771" s="134"/>
      <c r="S771" s="134"/>
      <c r="T771" s="134"/>
      <c r="U771" s="134"/>
      <c r="V771" s="134"/>
      <c r="W771" s="134"/>
      <c r="X771" s="134"/>
      <c r="Y771" s="134"/>
    </row>
    <row r="772">
      <c r="A772" s="126"/>
      <c r="B772" s="127"/>
      <c r="C772" s="135"/>
      <c r="D772" s="144"/>
      <c r="E772" s="74" t="s">
        <v>56</v>
      </c>
      <c r="F772" s="63" t="s">
        <v>56</v>
      </c>
      <c r="G772" s="129"/>
      <c r="H772" s="133"/>
      <c r="I772" s="129"/>
      <c r="J772" s="130"/>
      <c r="K772" s="130"/>
      <c r="L772" s="130"/>
      <c r="M772" s="130"/>
      <c r="N772" s="140"/>
      <c r="O772" s="150"/>
      <c r="P772" s="150"/>
      <c r="Q772" s="134"/>
      <c r="R772" s="134"/>
      <c r="S772" s="134"/>
      <c r="T772" s="134"/>
      <c r="U772" s="134"/>
      <c r="V772" s="134"/>
      <c r="W772" s="134"/>
      <c r="X772" s="134"/>
      <c r="Y772" s="134"/>
    </row>
    <row r="773">
      <c r="A773" s="126"/>
      <c r="B773" s="127"/>
      <c r="C773" s="135"/>
      <c r="D773" s="144"/>
      <c r="E773" s="74" t="s">
        <v>56</v>
      </c>
      <c r="F773" s="63" t="s">
        <v>56</v>
      </c>
      <c r="G773" s="129"/>
      <c r="H773" s="133"/>
      <c r="I773" s="129"/>
      <c r="J773" s="130"/>
      <c r="K773" s="130"/>
      <c r="L773" s="130"/>
      <c r="M773" s="130"/>
      <c r="N773" s="140"/>
      <c r="O773" s="150"/>
      <c r="P773" s="150"/>
      <c r="Q773" s="134"/>
      <c r="R773" s="134"/>
      <c r="S773" s="134"/>
      <c r="T773" s="134"/>
      <c r="U773" s="134"/>
      <c r="V773" s="134"/>
      <c r="W773" s="134"/>
      <c r="X773" s="134"/>
      <c r="Y773" s="134"/>
    </row>
    <row r="774">
      <c r="A774" s="126"/>
      <c r="B774" s="127"/>
      <c r="C774" s="135"/>
      <c r="D774" s="144"/>
      <c r="E774" s="74" t="s">
        <v>56</v>
      </c>
      <c r="F774" s="63" t="s">
        <v>56</v>
      </c>
      <c r="G774" s="129"/>
      <c r="H774" s="133"/>
      <c r="I774" s="129"/>
      <c r="J774" s="130"/>
      <c r="K774" s="130"/>
      <c r="L774" s="130"/>
      <c r="M774" s="130"/>
      <c r="N774" s="140"/>
      <c r="O774" s="150"/>
      <c r="P774" s="150"/>
      <c r="Q774" s="134"/>
      <c r="R774" s="134"/>
      <c r="S774" s="134"/>
      <c r="T774" s="134"/>
      <c r="U774" s="134"/>
      <c r="V774" s="134"/>
      <c r="W774" s="134"/>
      <c r="X774" s="134"/>
      <c r="Y774" s="134"/>
    </row>
    <row r="775">
      <c r="A775" s="126"/>
      <c r="B775" s="127"/>
      <c r="C775" s="135"/>
      <c r="D775" s="144"/>
      <c r="E775" s="74" t="s">
        <v>56</v>
      </c>
      <c r="F775" s="63" t="s">
        <v>56</v>
      </c>
      <c r="G775" s="129"/>
      <c r="H775" s="133"/>
      <c r="I775" s="129"/>
      <c r="J775" s="130"/>
      <c r="K775" s="130"/>
      <c r="L775" s="130"/>
      <c r="M775" s="130"/>
      <c r="N775" s="140"/>
      <c r="O775" s="150"/>
      <c r="P775" s="150"/>
      <c r="Q775" s="134"/>
      <c r="R775" s="134"/>
      <c r="S775" s="134"/>
      <c r="T775" s="134"/>
      <c r="U775" s="134"/>
      <c r="V775" s="134"/>
      <c r="W775" s="134"/>
      <c r="X775" s="134"/>
      <c r="Y775" s="134"/>
    </row>
    <row r="776">
      <c r="A776" s="126"/>
      <c r="B776" s="127"/>
      <c r="C776" s="135"/>
      <c r="D776" s="144"/>
      <c r="E776" s="74" t="s">
        <v>56</v>
      </c>
      <c r="F776" s="63" t="s">
        <v>56</v>
      </c>
      <c r="G776" s="129"/>
      <c r="H776" s="133"/>
      <c r="I776" s="129"/>
      <c r="J776" s="130"/>
      <c r="K776" s="130"/>
      <c r="L776" s="130"/>
      <c r="M776" s="130"/>
      <c r="N776" s="140"/>
      <c r="O776" s="150"/>
      <c r="P776" s="150"/>
      <c r="Q776" s="134"/>
      <c r="R776" s="134"/>
      <c r="S776" s="134"/>
      <c r="T776" s="134"/>
      <c r="U776" s="134"/>
      <c r="V776" s="134"/>
      <c r="W776" s="134"/>
      <c r="X776" s="134"/>
      <c r="Y776" s="134"/>
    </row>
    <row r="777">
      <c r="A777" s="126"/>
      <c r="B777" s="127"/>
      <c r="C777" s="135"/>
      <c r="D777" s="144"/>
      <c r="E777" s="74" t="s">
        <v>56</v>
      </c>
      <c r="F777" s="63" t="s">
        <v>56</v>
      </c>
      <c r="G777" s="129"/>
      <c r="H777" s="133"/>
      <c r="I777" s="129"/>
      <c r="J777" s="130"/>
      <c r="K777" s="130"/>
      <c r="L777" s="130"/>
      <c r="M777" s="130"/>
      <c r="N777" s="140"/>
      <c r="O777" s="150"/>
      <c r="P777" s="150"/>
      <c r="Q777" s="134"/>
      <c r="R777" s="134"/>
      <c r="S777" s="134"/>
      <c r="T777" s="134"/>
      <c r="U777" s="134"/>
      <c r="V777" s="134"/>
      <c r="W777" s="134"/>
      <c r="X777" s="134"/>
      <c r="Y777" s="134"/>
    </row>
    <row r="778">
      <c r="A778" s="126"/>
      <c r="B778" s="127"/>
      <c r="C778" s="135"/>
      <c r="D778" s="144"/>
      <c r="E778" s="74" t="s">
        <v>56</v>
      </c>
      <c r="F778" s="63" t="s">
        <v>56</v>
      </c>
      <c r="G778" s="129"/>
      <c r="H778" s="133"/>
      <c r="I778" s="129"/>
      <c r="J778" s="130"/>
      <c r="K778" s="130"/>
      <c r="L778" s="130"/>
      <c r="M778" s="130"/>
      <c r="N778" s="140"/>
      <c r="O778" s="150"/>
      <c r="P778" s="150"/>
      <c r="Q778" s="134"/>
      <c r="R778" s="134"/>
      <c r="S778" s="134"/>
      <c r="T778" s="134"/>
      <c r="U778" s="134"/>
      <c r="V778" s="134"/>
      <c r="W778" s="134"/>
      <c r="X778" s="134"/>
      <c r="Y778" s="134"/>
    </row>
    <row r="779">
      <c r="A779" s="126"/>
      <c r="B779" s="127"/>
      <c r="C779" s="135"/>
      <c r="D779" s="144"/>
      <c r="E779" s="74" t="s">
        <v>56</v>
      </c>
      <c r="F779" s="63" t="s">
        <v>56</v>
      </c>
      <c r="G779" s="129"/>
      <c r="H779" s="133"/>
      <c r="I779" s="129"/>
      <c r="J779" s="130"/>
      <c r="K779" s="130"/>
      <c r="L779" s="130"/>
      <c r="M779" s="130"/>
      <c r="N779" s="140"/>
      <c r="O779" s="150"/>
      <c r="P779" s="150"/>
      <c r="Q779" s="134"/>
      <c r="R779" s="134"/>
      <c r="S779" s="134"/>
      <c r="T779" s="134"/>
      <c r="U779" s="134"/>
      <c r="V779" s="134"/>
      <c r="W779" s="134"/>
      <c r="X779" s="134"/>
      <c r="Y779" s="134"/>
    </row>
    <row r="780">
      <c r="A780" s="126"/>
      <c r="B780" s="127"/>
      <c r="C780" s="135"/>
      <c r="D780" s="144"/>
      <c r="E780" s="74" t="s">
        <v>56</v>
      </c>
      <c r="F780" s="63" t="s">
        <v>56</v>
      </c>
      <c r="G780" s="129"/>
      <c r="H780" s="133"/>
      <c r="I780" s="129"/>
      <c r="J780" s="130"/>
      <c r="K780" s="130"/>
      <c r="L780" s="130"/>
      <c r="M780" s="130"/>
      <c r="N780" s="140"/>
      <c r="O780" s="150"/>
      <c r="P780" s="150"/>
      <c r="Q780" s="134"/>
      <c r="R780" s="134"/>
      <c r="S780" s="134"/>
      <c r="T780" s="134"/>
      <c r="U780" s="134"/>
      <c r="V780" s="134"/>
      <c r="W780" s="134"/>
      <c r="X780" s="134"/>
      <c r="Y780" s="134"/>
    </row>
    <row r="781">
      <c r="A781" s="126"/>
      <c r="B781" s="127"/>
      <c r="C781" s="135"/>
      <c r="D781" s="144"/>
      <c r="E781" s="74" t="s">
        <v>56</v>
      </c>
      <c r="F781" s="63" t="s">
        <v>56</v>
      </c>
      <c r="G781" s="129"/>
      <c r="H781" s="133"/>
      <c r="I781" s="129"/>
      <c r="J781" s="130"/>
      <c r="K781" s="130"/>
      <c r="L781" s="130"/>
      <c r="M781" s="130"/>
      <c r="N781" s="140"/>
      <c r="O781" s="150"/>
      <c r="P781" s="150"/>
      <c r="Q781" s="134"/>
      <c r="R781" s="134"/>
      <c r="S781" s="134"/>
      <c r="T781" s="134"/>
      <c r="U781" s="134"/>
      <c r="V781" s="134"/>
      <c r="W781" s="134"/>
      <c r="X781" s="134"/>
      <c r="Y781" s="134"/>
    </row>
    <row r="782">
      <c r="A782" s="126"/>
      <c r="B782" s="127"/>
      <c r="C782" s="135"/>
      <c r="D782" s="144"/>
      <c r="E782" s="74" t="s">
        <v>56</v>
      </c>
      <c r="F782" s="63" t="s">
        <v>56</v>
      </c>
      <c r="G782" s="129"/>
      <c r="H782" s="133"/>
      <c r="I782" s="129"/>
      <c r="J782" s="130"/>
      <c r="K782" s="130"/>
      <c r="L782" s="130"/>
      <c r="M782" s="130"/>
      <c r="N782" s="140"/>
      <c r="O782" s="150"/>
      <c r="P782" s="150"/>
      <c r="Q782" s="134"/>
      <c r="R782" s="134"/>
      <c r="S782" s="134"/>
      <c r="T782" s="134"/>
      <c r="U782" s="134"/>
      <c r="V782" s="134"/>
      <c r="W782" s="134"/>
      <c r="X782" s="134"/>
      <c r="Y782" s="134"/>
    </row>
    <row r="783">
      <c r="A783" s="126"/>
      <c r="B783" s="127"/>
      <c r="C783" s="135"/>
      <c r="D783" s="144"/>
      <c r="E783" s="74" t="s">
        <v>56</v>
      </c>
      <c r="F783" s="63" t="s">
        <v>56</v>
      </c>
      <c r="G783" s="129"/>
      <c r="H783" s="133"/>
      <c r="I783" s="129"/>
      <c r="J783" s="130"/>
      <c r="K783" s="130"/>
      <c r="L783" s="130"/>
      <c r="M783" s="130"/>
      <c r="N783" s="140"/>
      <c r="O783" s="150"/>
      <c r="P783" s="150"/>
      <c r="Q783" s="134"/>
      <c r="R783" s="134"/>
      <c r="S783" s="134"/>
      <c r="T783" s="134"/>
      <c r="U783" s="134"/>
      <c r="V783" s="134"/>
      <c r="W783" s="134"/>
      <c r="X783" s="134"/>
      <c r="Y783" s="134"/>
    </row>
    <row r="784">
      <c r="A784" s="126"/>
      <c r="B784" s="127"/>
      <c r="C784" s="135"/>
      <c r="D784" s="144"/>
      <c r="E784" s="74" t="s">
        <v>56</v>
      </c>
      <c r="F784" s="63" t="s">
        <v>56</v>
      </c>
      <c r="G784" s="129"/>
      <c r="H784" s="133"/>
      <c r="I784" s="129"/>
      <c r="J784" s="130"/>
      <c r="K784" s="130"/>
      <c r="L784" s="130"/>
      <c r="M784" s="130"/>
      <c r="N784" s="140"/>
      <c r="O784" s="150"/>
      <c r="P784" s="150"/>
      <c r="Q784" s="134"/>
      <c r="R784" s="134"/>
      <c r="S784" s="134"/>
      <c r="T784" s="134"/>
      <c r="U784" s="134"/>
      <c r="V784" s="134"/>
      <c r="W784" s="134"/>
      <c r="X784" s="134"/>
      <c r="Y784" s="134"/>
    </row>
    <row r="785">
      <c r="A785" s="126"/>
      <c r="B785" s="127"/>
      <c r="C785" s="135"/>
      <c r="D785" s="144"/>
      <c r="E785" s="74" t="s">
        <v>56</v>
      </c>
      <c r="F785" s="63" t="s">
        <v>56</v>
      </c>
      <c r="G785" s="129"/>
      <c r="H785" s="133"/>
      <c r="I785" s="129"/>
      <c r="J785" s="130"/>
      <c r="K785" s="130"/>
      <c r="L785" s="130"/>
      <c r="M785" s="130"/>
      <c r="N785" s="140"/>
      <c r="O785" s="150"/>
      <c r="P785" s="150"/>
      <c r="Q785" s="134"/>
      <c r="R785" s="134"/>
      <c r="S785" s="134"/>
      <c r="T785" s="134"/>
      <c r="U785" s="134"/>
      <c r="V785" s="134"/>
      <c r="W785" s="134"/>
      <c r="X785" s="134"/>
      <c r="Y785" s="134"/>
    </row>
    <row r="786">
      <c r="A786" s="126"/>
      <c r="B786" s="127"/>
      <c r="C786" s="135"/>
      <c r="D786" s="144"/>
      <c r="E786" s="74" t="s">
        <v>56</v>
      </c>
      <c r="F786" s="63" t="s">
        <v>56</v>
      </c>
      <c r="G786" s="129"/>
      <c r="H786" s="133"/>
      <c r="I786" s="129"/>
      <c r="J786" s="130"/>
      <c r="K786" s="130"/>
      <c r="L786" s="130"/>
      <c r="M786" s="130"/>
      <c r="N786" s="140"/>
      <c r="O786" s="150"/>
      <c r="P786" s="150"/>
      <c r="Q786" s="134"/>
      <c r="R786" s="134"/>
      <c r="S786" s="134"/>
      <c r="T786" s="134"/>
      <c r="U786" s="134"/>
      <c r="V786" s="134"/>
      <c r="W786" s="134"/>
      <c r="X786" s="134"/>
      <c r="Y786" s="134"/>
    </row>
    <row r="787">
      <c r="A787" s="126"/>
      <c r="B787" s="127"/>
      <c r="C787" s="135"/>
      <c r="D787" s="144"/>
      <c r="E787" s="74" t="s">
        <v>56</v>
      </c>
      <c r="F787" s="63" t="s">
        <v>56</v>
      </c>
      <c r="G787" s="129"/>
      <c r="H787" s="133"/>
      <c r="I787" s="129"/>
      <c r="J787" s="130"/>
      <c r="K787" s="130"/>
      <c r="L787" s="130"/>
      <c r="M787" s="130"/>
      <c r="N787" s="140"/>
      <c r="O787" s="150"/>
      <c r="P787" s="150"/>
      <c r="Q787" s="134"/>
      <c r="R787" s="134"/>
      <c r="S787" s="134"/>
      <c r="T787" s="134"/>
      <c r="U787" s="134"/>
      <c r="V787" s="134"/>
      <c r="W787" s="134"/>
      <c r="X787" s="134"/>
      <c r="Y787" s="134"/>
    </row>
    <row r="788">
      <c r="A788" s="126"/>
      <c r="B788" s="127"/>
      <c r="C788" s="135"/>
      <c r="D788" s="144"/>
      <c r="E788" s="74" t="s">
        <v>56</v>
      </c>
      <c r="F788" s="63" t="s">
        <v>56</v>
      </c>
      <c r="G788" s="129"/>
      <c r="H788" s="133"/>
      <c r="I788" s="129"/>
      <c r="J788" s="130"/>
      <c r="K788" s="130"/>
      <c r="L788" s="130"/>
      <c r="M788" s="130"/>
      <c r="N788" s="140"/>
      <c r="O788" s="150"/>
      <c r="P788" s="150"/>
      <c r="Q788" s="134"/>
      <c r="R788" s="134"/>
      <c r="S788" s="134"/>
      <c r="T788" s="134"/>
      <c r="U788" s="134"/>
      <c r="V788" s="134"/>
      <c r="W788" s="134"/>
      <c r="X788" s="134"/>
      <c r="Y788" s="134"/>
    </row>
    <row r="789">
      <c r="A789" s="126"/>
      <c r="B789" s="127"/>
      <c r="C789" s="135"/>
      <c r="D789" s="144"/>
      <c r="E789" s="74" t="s">
        <v>56</v>
      </c>
      <c r="F789" s="63" t="s">
        <v>56</v>
      </c>
      <c r="G789" s="129"/>
      <c r="H789" s="133"/>
      <c r="I789" s="129"/>
      <c r="J789" s="130"/>
      <c r="K789" s="130"/>
      <c r="L789" s="130"/>
      <c r="M789" s="130"/>
      <c r="N789" s="140"/>
      <c r="O789" s="150"/>
      <c r="P789" s="150"/>
      <c r="Q789" s="134"/>
      <c r="R789" s="134"/>
      <c r="S789" s="134"/>
      <c r="T789" s="134"/>
      <c r="U789" s="134"/>
      <c r="V789" s="134"/>
      <c r="W789" s="134"/>
      <c r="X789" s="134"/>
      <c r="Y789" s="134"/>
    </row>
    <row r="790">
      <c r="A790" s="126"/>
      <c r="B790" s="127"/>
      <c r="C790" s="135"/>
      <c r="D790" s="144"/>
      <c r="E790" s="74" t="s">
        <v>56</v>
      </c>
      <c r="F790" s="63" t="s">
        <v>56</v>
      </c>
      <c r="G790" s="129"/>
      <c r="H790" s="133"/>
      <c r="I790" s="129"/>
      <c r="J790" s="130"/>
      <c r="K790" s="130"/>
      <c r="L790" s="130"/>
      <c r="M790" s="130"/>
      <c r="N790" s="140"/>
      <c r="O790" s="150"/>
      <c r="P790" s="150"/>
      <c r="Q790" s="134"/>
      <c r="R790" s="134"/>
      <c r="S790" s="134"/>
      <c r="T790" s="134"/>
      <c r="U790" s="134"/>
      <c r="V790" s="134"/>
      <c r="W790" s="134"/>
      <c r="X790" s="134"/>
      <c r="Y790" s="134"/>
    </row>
    <row r="791">
      <c r="A791" s="126"/>
      <c r="B791" s="127"/>
      <c r="C791" s="135"/>
      <c r="D791" s="144"/>
      <c r="E791" s="74" t="s">
        <v>56</v>
      </c>
      <c r="F791" s="63" t="s">
        <v>56</v>
      </c>
      <c r="G791" s="129"/>
      <c r="H791" s="133"/>
      <c r="I791" s="129"/>
      <c r="J791" s="130"/>
      <c r="K791" s="130"/>
      <c r="L791" s="130"/>
      <c r="M791" s="130"/>
      <c r="N791" s="140"/>
      <c r="O791" s="150"/>
      <c r="P791" s="150"/>
      <c r="Q791" s="134"/>
      <c r="R791" s="134"/>
      <c r="S791" s="134"/>
      <c r="T791" s="134"/>
      <c r="U791" s="134"/>
      <c r="V791" s="134"/>
      <c r="W791" s="134"/>
      <c r="X791" s="134"/>
      <c r="Y791" s="134"/>
    </row>
    <row r="792">
      <c r="A792" s="126"/>
      <c r="B792" s="127"/>
      <c r="C792" s="135"/>
      <c r="D792" s="144"/>
      <c r="E792" s="74" t="s">
        <v>56</v>
      </c>
      <c r="F792" s="63" t="s">
        <v>56</v>
      </c>
      <c r="G792" s="129"/>
      <c r="H792" s="133"/>
      <c r="I792" s="129"/>
      <c r="J792" s="130"/>
      <c r="K792" s="130"/>
      <c r="L792" s="130"/>
      <c r="M792" s="130"/>
      <c r="N792" s="140"/>
      <c r="O792" s="150"/>
      <c r="P792" s="150"/>
      <c r="Q792" s="134"/>
      <c r="R792" s="134"/>
      <c r="S792" s="134"/>
      <c r="T792" s="134"/>
      <c r="U792" s="134"/>
      <c r="V792" s="134"/>
      <c r="W792" s="134"/>
      <c r="X792" s="134"/>
      <c r="Y792" s="134"/>
    </row>
    <row r="793">
      <c r="A793" s="126"/>
      <c r="B793" s="127"/>
      <c r="C793" s="135"/>
      <c r="D793" s="144"/>
      <c r="E793" s="74" t="s">
        <v>56</v>
      </c>
      <c r="F793" s="63" t="s">
        <v>56</v>
      </c>
      <c r="G793" s="129"/>
      <c r="H793" s="133"/>
      <c r="I793" s="129"/>
      <c r="J793" s="130"/>
      <c r="K793" s="130"/>
      <c r="L793" s="130"/>
      <c r="M793" s="130"/>
      <c r="N793" s="140"/>
      <c r="O793" s="150"/>
      <c r="P793" s="150"/>
      <c r="Q793" s="134"/>
      <c r="R793" s="134"/>
      <c r="S793" s="134"/>
      <c r="T793" s="134"/>
      <c r="U793" s="134"/>
      <c r="V793" s="134"/>
      <c r="W793" s="134"/>
      <c r="X793" s="134"/>
      <c r="Y793" s="134"/>
    </row>
    <row r="794">
      <c r="A794" s="126"/>
      <c r="B794" s="127"/>
      <c r="C794" s="135"/>
      <c r="D794" s="144"/>
      <c r="E794" s="74" t="s">
        <v>56</v>
      </c>
      <c r="F794" s="63" t="s">
        <v>56</v>
      </c>
      <c r="G794" s="129"/>
      <c r="H794" s="133"/>
      <c r="I794" s="129"/>
      <c r="J794" s="130"/>
      <c r="K794" s="130"/>
      <c r="L794" s="130"/>
      <c r="M794" s="130"/>
      <c r="N794" s="140"/>
      <c r="O794" s="150"/>
      <c r="P794" s="150"/>
      <c r="Q794" s="134"/>
      <c r="R794" s="134"/>
      <c r="S794" s="134"/>
      <c r="T794" s="134"/>
      <c r="U794" s="134"/>
      <c r="V794" s="134"/>
      <c r="W794" s="134"/>
      <c r="X794" s="134"/>
      <c r="Y794" s="134"/>
    </row>
    <row r="795">
      <c r="A795" s="126"/>
      <c r="B795" s="127"/>
      <c r="C795" s="135"/>
      <c r="D795" s="144"/>
      <c r="E795" s="74" t="s">
        <v>56</v>
      </c>
      <c r="F795" s="63" t="s">
        <v>56</v>
      </c>
      <c r="G795" s="129"/>
      <c r="H795" s="133"/>
      <c r="I795" s="129"/>
      <c r="J795" s="130"/>
      <c r="K795" s="130"/>
      <c r="L795" s="130"/>
      <c r="M795" s="130"/>
      <c r="N795" s="140"/>
      <c r="O795" s="150"/>
      <c r="P795" s="150"/>
      <c r="Q795" s="134"/>
      <c r="R795" s="134"/>
      <c r="S795" s="134"/>
      <c r="T795" s="134"/>
      <c r="U795" s="134"/>
      <c r="V795" s="134"/>
      <c r="W795" s="134"/>
      <c r="X795" s="134"/>
      <c r="Y795" s="134"/>
    </row>
    <row r="796">
      <c r="A796" s="126"/>
      <c r="B796" s="127"/>
      <c r="C796" s="135"/>
      <c r="D796" s="144"/>
      <c r="E796" s="74" t="s">
        <v>56</v>
      </c>
      <c r="F796" s="63" t="s">
        <v>56</v>
      </c>
      <c r="G796" s="129"/>
      <c r="H796" s="133"/>
      <c r="I796" s="129"/>
      <c r="J796" s="130"/>
      <c r="K796" s="130"/>
      <c r="L796" s="130"/>
      <c r="M796" s="130"/>
      <c r="N796" s="140"/>
      <c r="O796" s="150"/>
      <c r="P796" s="150"/>
      <c r="Q796" s="134"/>
      <c r="R796" s="134"/>
      <c r="S796" s="134"/>
      <c r="T796" s="134"/>
      <c r="U796" s="134"/>
      <c r="V796" s="134"/>
      <c r="W796" s="134"/>
      <c r="X796" s="134"/>
      <c r="Y796" s="134"/>
    </row>
    <row r="797">
      <c r="A797" s="126"/>
      <c r="B797" s="127"/>
      <c r="C797" s="135"/>
      <c r="D797" s="144"/>
      <c r="E797" s="74" t="s">
        <v>56</v>
      </c>
      <c r="F797" s="63" t="s">
        <v>56</v>
      </c>
      <c r="G797" s="129"/>
      <c r="H797" s="133"/>
      <c r="I797" s="129"/>
      <c r="J797" s="130"/>
      <c r="K797" s="130"/>
      <c r="L797" s="130"/>
      <c r="M797" s="130"/>
      <c r="N797" s="140"/>
      <c r="O797" s="150"/>
      <c r="P797" s="150"/>
      <c r="Q797" s="134"/>
      <c r="R797" s="134"/>
      <c r="S797" s="134"/>
      <c r="T797" s="134"/>
      <c r="U797" s="134"/>
      <c r="V797" s="134"/>
      <c r="W797" s="134"/>
      <c r="X797" s="134"/>
      <c r="Y797" s="134"/>
    </row>
    <row r="798">
      <c r="A798" s="126"/>
      <c r="B798" s="127"/>
      <c r="C798" s="135"/>
      <c r="D798" s="144"/>
      <c r="E798" s="74" t="s">
        <v>56</v>
      </c>
      <c r="F798" s="63" t="s">
        <v>56</v>
      </c>
      <c r="G798" s="129"/>
      <c r="H798" s="133"/>
      <c r="I798" s="129"/>
      <c r="J798" s="130"/>
      <c r="K798" s="130"/>
      <c r="L798" s="130"/>
      <c r="M798" s="130"/>
      <c r="N798" s="140"/>
      <c r="O798" s="150"/>
      <c r="P798" s="150"/>
      <c r="Q798" s="134"/>
      <c r="R798" s="134"/>
      <c r="S798" s="134"/>
      <c r="T798" s="134"/>
      <c r="U798" s="134"/>
      <c r="V798" s="134"/>
      <c r="W798" s="134"/>
      <c r="X798" s="134"/>
      <c r="Y798" s="134"/>
    </row>
    <row r="799">
      <c r="A799" s="126"/>
      <c r="B799" s="127"/>
      <c r="C799" s="135"/>
      <c r="D799" s="144"/>
      <c r="E799" s="74" t="s">
        <v>56</v>
      </c>
      <c r="F799" s="63" t="s">
        <v>56</v>
      </c>
      <c r="G799" s="129"/>
      <c r="H799" s="133"/>
      <c r="I799" s="129"/>
      <c r="J799" s="130"/>
      <c r="K799" s="130"/>
      <c r="L799" s="130"/>
      <c r="M799" s="130"/>
      <c r="N799" s="140"/>
      <c r="O799" s="150"/>
      <c r="P799" s="150"/>
      <c r="Q799" s="134"/>
      <c r="R799" s="134"/>
      <c r="S799" s="134"/>
      <c r="T799" s="134"/>
      <c r="U799" s="134"/>
      <c r="V799" s="134"/>
      <c r="W799" s="134"/>
      <c r="X799" s="134"/>
      <c r="Y799" s="134"/>
    </row>
    <row r="800">
      <c r="A800" s="126"/>
      <c r="B800" s="127"/>
      <c r="C800" s="135"/>
      <c r="D800" s="144"/>
      <c r="E800" s="74" t="s">
        <v>56</v>
      </c>
      <c r="F800" s="63" t="s">
        <v>56</v>
      </c>
      <c r="G800" s="129"/>
      <c r="H800" s="133"/>
      <c r="I800" s="129"/>
      <c r="J800" s="130"/>
      <c r="K800" s="130"/>
      <c r="L800" s="130"/>
      <c r="M800" s="130"/>
      <c r="N800" s="140"/>
      <c r="O800" s="150"/>
      <c r="P800" s="150"/>
      <c r="Q800" s="134"/>
      <c r="R800" s="134"/>
      <c r="S800" s="134"/>
      <c r="T800" s="134"/>
      <c r="U800" s="134"/>
      <c r="V800" s="134"/>
      <c r="W800" s="134"/>
      <c r="X800" s="134"/>
      <c r="Y800" s="134"/>
    </row>
    <row r="801">
      <c r="A801" s="126"/>
      <c r="B801" s="127"/>
      <c r="C801" s="135"/>
      <c r="D801" s="144"/>
      <c r="E801" s="74" t="s">
        <v>56</v>
      </c>
      <c r="F801" s="63" t="s">
        <v>56</v>
      </c>
      <c r="G801" s="129"/>
      <c r="H801" s="133"/>
      <c r="I801" s="129"/>
      <c r="J801" s="130"/>
      <c r="K801" s="130"/>
      <c r="L801" s="130"/>
      <c r="M801" s="130"/>
      <c r="N801" s="140"/>
      <c r="O801" s="150"/>
      <c r="P801" s="150"/>
      <c r="Q801" s="134"/>
      <c r="R801" s="134"/>
      <c r="S801" s="134"/>
      <c r="T801" s="134"/>
      <c r="U801" s="134"/>
      <c r="V801" s="134"/>
      <c r="W801" s="134"/>
      <c r="X801" s="134"/>
      <c r="Y801" s="134"/>
    </row>
    <row r="802">
      <c r="A802" s="126"/>
      <c r="B802" s="127"/>
      <c r="C802" s="135"/>
      <c r="D802" s="144"/>
      <c r="E802" s="74" t="s">
        <v>56</v>
      </c>
      <c r="F802" s="63" t="s">
        <v>56</v>
      </c>
      <c r="G802" s="129"/>
      <c r="H802" s="133"/>
      <c r="I802" s="129"/>
      <c r="J802" s="130"/>
      <c r="K802" s="130"/>
      <c r="L802" s="130"/>
      <c r="M802" s="130"/>
      <c r="N802" s="140"/>
      <c r="O802" s="150"/>
      <c r="P802" s="150"/>
      <c r="Q802" s="134"/>
      <c r="R802" s="134"/>
      <c r="S802" s="134"/>
      <c r="T802" s="134"/>
      <c r="U802" s="134"/>
      <c r="V802" s="134"/>
      <c r="W802" s="134"/>
      <c r="X802" s="134"/>
      <c r="Y802" s="134"/>
    </row>
    <row r="803">
      <c r="A803" s="126"/>
      <c r="B803" s="127"/>
      <c r="C803" s="135"/>
      <c r="D803" s="144"/>
      <c r="E803" s="74" t="s">
        <v>56</v>
      </c>
      <c r="F803" s="63" t="s">
        <v>56</v>
      </c>
      <c r="G803" s="129"/>
      <c r="H803" s="133"/>
      <c r="I803" s="129"/>
      <c r="J803" s="130"/>
      <c r="K803" s="130"/>
      <c r="L803" s="130"/>
      <c r="M803" s="130"/>
      <c r="N803" s="140"/>
      <c r="O803" s="150"/>
      <c r="P803" s="150"/>
      <c r="Q803" s="134"/>
      <c r="R803" s="134"/>
      <c r="S803" s="134"/>
      <c r="T803" s="134"/>
      <c r="U803" s="134"/>
      <c r="V803" s="134"/>
      <c r="W803" s="134"/>
      <c r="X803" s="134"/>
      <c r="Y803" s="134"/>
    </row>
    <row r="804">
      <c r="A804" s="126"/>
      <c r="B804" s="127"/>
      <c r="C804" s="135"/>
      <c r="D804" s="144"/>
      <c r="E804" s="74" t="s">
        <v>56</v>
      </c>
      <c r="F804" s="63" t="s">
        <v>56</v>
      </c>
      <c r="G804" s="129"/>
      <c r="H804" s="133"/>
      <c r="I804" s="129"/>
      <c r="J804" s="130"/>
      <c r="K804" s="130"/>
      <c r="L804" s="130"/>
      <c r="M804" s="130"/>
      <c r="N804" s="140"/>
      <c r="O804" s="150"/>
      <c r="P804" s="150"/>
      <c r="Q804" s="134"/>
      <c r="R804" s="134"/>
      <c r="S804" s="134"/>
      <c r="T804" s="134"/>
      <c r="U804" s="134"/>
      <c r="V804" s="134"/>
      <c r="W804" s="134"/>
      <c r="X804" s="134"/>
      <c r="Y804" s="134"/>
    </row>
    <row r="805">
      <c r="A805" s="126"/>
      <c r="B805" s="127"/>
      <c r="C805" s="135"/>
      <c r="D805" s="144"/>
      <c r="E805" s="74" t="s">
        <v>56</v>
      </c>
      <c r="F805" s="63" t="s">
        <v>56</v>
      </c>
      <c r="G805" s="129"/>
      <c r="H805" s="133"/>
      <c r="I805" s="129"/>
      <c r="J805" s="130"/>
      <c r="K805" s="130"/>
      <c r="L805" s="130"/>
      <c r="M805" s="130"/>
      <c r="N805" s="140"/>
      <c r="O805" s="150"/>
      <c r="P805" s="150"/>
      <c r="Q805" s="134"/>
      <c r="R805" s="134"/>
      <c r="S805" s="134"/>
      <c r="T805" s="134"/>
      <c r="U805" s="134"/>
      <c r="V805" s="134"/>
      <c r="W805" s="134"/>
      <c r="X805" s="134"/>
      <c r="Y805" s="134"/>
    </row>
    <row r="806">
      <c r="A806" s="126"/>
      <c r="B806" s="127"/>
      <c r="C806" s="135"/>
      <c r="D806" s="144"/>
      <c r="E806" s="74" t="s">
        <v>56</v>
      </c>
      <c r="F806" s="63" t="s">
        <v>56</v>
      </c>
      <c r="G806" s="129"/>
      <c r="H806" s="133"/>
      <c r="I806" s="129"/>
      <c r="J806" s="130"/>
      <c r="K806" s="130"/>
      <c r="L806" s="130"/>
      <c r="M806" s="130"/>
      <c r="N806" s="140"/>
      <c r="O806" s="150"/>
      <c r="P806" s="150"/>
      <c r="Q806" s="134"/>
      <c r="R806" s="134"/>
      <c r="S806" s="134"/>
      <c r="T806" s="134"/>
      <c r="U806" s="134"/>
      <c r="V806" s="134"/>
      <c r="W806" s="134"/>
      <c r="X806" s="134"/>
      <c r="Y806" s="134"/>
    </row>
    <row r="807">
      <c r="A807" s="126"/>
      <c r="B807" s="127"/>
      <c r="C807" s="135"/>
      <c r="D807" s="144"/>
      <c r="E807" s="74" t="s">
        <v>56</v>
      </c>
      <c r="F807" s="63" t="s">
        <v>56</v>
      </c>
      <c r="G807" s="129"/>
      <c r="H807" s="133"/>
      <c r="I807" s="129"/>
      <c r="J807" s="130"/>
      <c r="K807" s="130"/>
      <c r="L807" s="130"/>
      <c r="M807" s="130"/>
      <c r="N807" s="140"/>
      <c r="O807" s="150"/>
      <c r="P807" s="150"/>
      <c r="Q807" s="134"/>
      <c r="R807" s="134"/>
      <c r="S807" s="134"/>
      <c r="T807" s="134"/>
      <c r="U807" s="134"/>
      <c r="V807" s="134"/>
      <c r="W807" s="134"/>
      <c r="X807" s="134"/>
      <c r="Y807" s="134"/>
    </row>
    <row r="808">
      <c r="A808" s="126"/>
      <c r="B808" s="127"/>
      <c r="C808" s="135"/>
      <c r="D808" s="144"/>
      <c r="E808" s="74" t="s">
        <v>56</v>
      </c>
      <c r="F808" s="63" t="s">
        <v>56</v>
      </c>
      <c r="G808" s="129"/>
      <c r="H808" s="133"/>
      <c r="I808" s="129"/>
      <c r="J808" s="130"/>
      <c r="K808" s="130"/>
      <c r="L808" s="130"/>
      <c r="M808" s="130"/>
      <c r="N808" s="140"/>
      <c r="O808" s="150"/>
      <c r="P808" s="150"/>
      <c r="Q808" s="134"/>
      <c r="R808" s="134"/>
      <c r="S808" s="134"/>
      <c r="T808" s="134"/>
      <c r="U808" s="134"/>
      <c r="V808" s="134"/>
      <c r="W808" s="134"/>
      <c r="X808" s="134"/>
      <c r="Y808" s="134"/>
    </row>
    <row r="809">
      <c r="A809" s="126"/>
      <c r="B809" s="127"/>
      <c r="C809" s="135"/>
      <c r="D809" s="144"/>
      <c r="E809" s="74" t="s">
        <v>56</v>
      </c>
      <c r="F809" s="63" t="s">
        <v>56</v>
      </c>
      <c r="G809" s="129"/>
      <c r="H809" s="133"/>
      <c r="I809" s="129"/>
      <c r="J809" s="130"/>
      <c r="K809" s="130"/>
      <c r="L809" s="130"/>
      <c r="M809" s="130"/>
      <c r="N809" s="140"/>
      <c r="O809" s="150"/>
      <c r="P809" s="150"/>
      <c r="Q809" s="134"/>
      <c r="R809" s="134"/>
      <c r="S809" s="134"/>
      <c r="T809" s="134"/>
      <c r="U809" s="134"/>
      <c r="V809" s="134"/>
      <c r="W809" s="134"/>
      <c r="X809" s="134"/>
      <c r="Y809" s="134"/>
    </row>
    <row r="810">
      <c r="A810" s="126"/>
      <c r="B810" s="127"/>
      <c r="C810" s="135"/>
      <c r="D810" s="144"/>
      <c r="E810" s="74" t="s">
        <v>56</v>
      </c>
      <c r="F810" s="63" t="s">
        <v>56</v>
      </c>
      <c r="G810" s="129"/>
      <c r="H810" s="133"/>
      <c r="I810" s="129"/>
      <c r="J810" s="130"/>
      <c r="K810" s="130"/>
      <c r="L810" s="130"/>
      <c r="M810" s="130"/>
      <c r="N810" s="140"/>
      <c r="O810" s="150"/>
      <c r="P810" s="150"/>
      <c r="Q810" s="134"/>
      <c r="R810" s="134"/>
      <c r="S810" s="134"/>
      <c r="T810" s="134"/>
      <c r="U810" s="134"/>
      <c r="V810" s="134"/>
      <c r="W810" s="134"/>
      <c r="X810" s="134"/>
      <c r="Y810" s="134"/>
    </row>
    <row r="811">
      <c r="A811" s="126"/>
      <c r="B811" s="127"/>
      <c r="C811" s="135"/>
      <c r="D811" s="144"/>
      <c r="E811" s="74" t="s">
        <v>56</v>
      </c>
      <c r="F811" s="63" t="s">
        <v>56</v>
      </c>
      <c r="G811" s="129"/>
      <c r="H811" s="133"/>
      <c r="I811" s="129"/>
      <c r="J811" s="130"/>
      <c r="K811" s="130"/>
      <c r="L811" s="130"/>
      <c r="M811" s="130"/>
      <c r="N811" s="140"/>
      <c r="O811" s="150"/>
      <c r="P811" s="150"/>
      <c r="Q811" s="134"/>
      <c r="R811" s="134"/>
      <c r="S811" s="134"/>
      <c r="T811" s="134"/>
      <c r="U811" s="134"/>
      <c r="V811" s="134"/>
      <c r="W811" s="134"/>
      <c r="X811" s="134"/>
      <c r="Y811" s="134"/>
    </row>
    <row r="812">
      <c r="A812" s="126"/>
      <c r="B812" s="127"/>
      <c r="C812" s="135"/>
      <c r="D812" s="144"/>
      <c r="E812" s="74" t="s">
        <v>56</v>
      </c>
      <c r="F812" s="63" t="s">
        <v>56</v>
      </c>
      <c r="G812" s="129"/>
      <c r="H812" s="133"/>
      <c r="I812" s="129"/>
      <c r="J812" s="130"/>
      <c r="K812" s="130"/>
      <c r="L812" s="130"/>
      <c r="M812" s="130"/>
      <c r="N812" s="140"/>
      <c r="O812" s="150"/>
      <c r="P812" s="150"/>
      <c r="Q812" s="134"/>
      <c r="R812" s="134"/>
      <c r="S812" s="134"/>
      <c r="T812" s="134"/>
      <c r="U812" s="134"/>
      <c r="V812" s="134"/>
      <c r="W812" s="134"/>
      <c r="X812" s="134"/>
      <c r="Y812" s="134"/>
    </row>
    <row r="813">
      <c r="A813" s="126"/>
      <c r="B813" s="127"/>
      <c r="C813" s="135"/>
      <c r="D813" s="144"/>
      <c r="E813" s="74" t="s">
        <v>56</v>
      </c>
      <c r="F813" s="63" t="s">
        <v>56</v>
      </c>
      <c r="G813" s="129"/>
      <c r="H813" s="133"/>
      <c r="I813" s="129"/>
      <c r="J813" s="130"/>
      <c r="K813" s="130"/>
      <c r="L813" s="130"/>
      <c r="M813" s="130"/>
      <c r="N813" s="140"/>
      <c r="O813" s="150"/>
      <c r="P813" s="150"/>
      <c r="Q813" s="134"/>
      <c r="R813" s="134"/>
      <c r="S813" s="134"/>
      <c r="T813" s="134"/>
      <c r="U813" s="134"/>
      <c r="V813" s="134"/>
      <c r="W813" s="134"/>
      <c r="X813" s="134"/>
      <c r="Y813" s="134"/>
    </row>
    <row r="814">
      <c r="A814" s="126"/>
      <c r="B814" s="127"/>
      <c r="C814" s="135"/>
      <c r="D814" s="144"/>
      <c r="E814" s="74" t="s">
        <v>56</v>
      </c>
      <c r="F814" s="63" t="s">
        <v>56</v>
      </c>
      <c r="G814" s="129"/>
      <c r="H814" s="133"/>
      <c r="I814" s="129"/>
      <c r="J814" s="130"/>
      <c r="K814" s="130"/>
      <c r="L814" s="130"/>
      <c r="M814" s="130"/>
      <c r="N814" s="140"/>
      <c r="O814" s="150"/>
      <c r="P814" s="150"/>
      <c r="Q814" s="134"/>
      <c r="R814" s="134"/>
      <c r="S814" s="134"/>
      <c r="T814" s="134"/>
      <c r="U814" s="134"/>
      <c r="V814" s="134"/>
      <c r="W814" s="134"/>
      <c r="X814" s="134"/>
      <c r="Y814" s="134"/>
    </row>
    <row r="815">
      <c r="A815" s="126"/>
      <c r="B815" s="127"/>
      <c r="C815" s="135"/>
      <c r="D815" s="144"/>
      <c r="E815" s="74" t="s">
        <v>56</v>
      </c>
      <c r="F815" s="63" t="s">
        <v>56</v>
      </c>
      <c r="G815" s="129"/>
      <c r="H815" s="133"/>
      <c r="I815" s="129"/>
      <c r="J815" s="130"/>
      <c r="K815" s="130"/>
      <c r="L815" s="130"/>
      <c r="M815" s="130"/>
      <c r="N815" s="140"/>
      <c r="O815" s="150"/>
      <c r="P815" s="150"/>
      <c r="Q815" s="134"/>
      <c r="R815" s="134"/>
      <c r="S815" s="134"/>
      <c r="T815" s="134"/>
      <c r="U815" s="134"/>
      <c r="V815" s="134"/>
      <c r="W815" s="134"/>
      <c r="X815" s="134"/>
      <c r="Y815" s="134"/>
    </row>
    <row r="816">
      <c r="A816" s="126"/>
      <c r="B816" s="127"/>
      <c r="C816" s="135"/>
      <c r="D816" s="144"/>
      <c r="E816" s="74" t="s">
        <v>56</v>
      </c>
      <c r="F816" s="63" t="s">
        <v>56</v>
      </c>
      <c r="G816" s="129"/>
      <c r="H816" s="133"/>
      <c r="I816" s="129"/>
      <c r="J816" s="130"/>
      <c r="K816" s="130"/>
      <c r="L816" s="130"/>
      <c r="M816" s="130"/>
      <c r="N816" s="140"/>
      <c r="O816" s="150"/>
      <c r="P816" s="150"/>
      <c r="Q816" s="134"/>
      <c r="R816" s="134"/>
      <c r="S816" s="134"/>
      <c r="T816" s="134"/>
      <c r="U816" s="134"/>
      <c r="V816" s="134"/>
      <c r="W816" s="134"/>
      <c r="X816" s="134"/>
      <c r="Y816" s="134"/>
    </row>
    <row r="817">
      <c r="A817" s="126"/>
      <c r="B817" s="127"/>
      <c r="C817" s="135"/>
      <c r="D817" s="144"/>
      <c r="E817" s="74" t="s">
        <v>56</v>
      </c>
      <c r="F817" s="63" t="s">
        <v>56</v>
      </c>
      <c r="G817" s="129"/>
      <c r="H817" s="133"/>
      <c r="I817" s="129"/>
      <c r="J817" s="130"/>
      <c r="K817" s="130"/>
      <c r="L817" s="130"/>
      <c r="M817" s="130"/>
      <c r="N817" s="140"/>
      <c r="O817" s="150"/>
      <c r="P817" s="150"/>
      <c r="Q817" s="134"/>
      <c r="R817" s="134"/>
      <c r="S817" s="134"/>
      <c r="T817" s="134"/>
      <c r="U817" s="134"/>
      <c r="V817" s="134"/>
      <c r="W817" s="134"/>
      <c r="X817" s="134"/>
      <c r="Y817" s="134"/>
    </row>
    <row r="818">
      <c r="A818" s="126"/>
      <c r="B818" s="127"/>
      <c r="C818" s="135"/>
      <c r="D818" s="144"/>
      <c r="E818" s="74" t="s">
        <v>56</v>
      </c>
      <c r="F818" s="63" t="s">
        <v>56</v>
      </c>
      <c r="G818" s="129"/>
      <c r="H818" s="133"/>
      <c r="I818" s="129"/>
      <c r="J818" s="130"/>
      <c r="K818" s="130"/>
      <c r="L818" s="130"/>
      <c r="M818" s="130"/>
      <c r="N818" s="140"/>
      <c r="O818" s="150"/>
      <c r="P818" s="150"/>
      <c r="Q818" s="134"/>
      <c r="R818" s="134"/>
      <c r="S818" s="134"/>
      <c r="T818" s="134"/>
      <c r="U818" s="134"/>
      <c r="V818" s="134"/>
      <c r="W818" s="134"/>
      <c r="X818" s="134"/>
      <c r="Y818" s="134"/>
    </row>
    <row r="819">
      <c r="A819" s="126"/>
      <c r="B819" s="127"/>
      <c r="C819" s="135"/>
      <c r="D819" s="144"/>
      <c r="E819" s="74" t="s">
        <v>56</v>
      </c>
      <c r="F819" s="63" t="s">
        <v>56</v>
      </c>
      <c r="G819" s="129"/>
      <c r="H819" s="133"/>
      <c r="I819" s="129"/>
      <c r="J819" s="130"/>
      <c r="K819" s="130"/>
      <c r="L819" s="130"/>
      <c r="M819" s="130"/>
      <c r="N819" s="140"/>
      <c r="O819" s="150"/>
      <c r="P819" s="150"/>
      <c r="Q819" s="134"/>
      <c r="R819" s="134"/>
      <c r="S819" s="134"/>
      <c r="T819" s="134"/>
      <c r="U819" s="134"/>
      <c r="V819" s="134"/>
      <c r="W819" s="134"/>
      <c r="X819" s="134"/>
      <c r="Y819" s="134"/>
    </row>
    <row r="820">
      <c r="A820" s="126"/>
      <c r="B820" s="127"/>
      <c r="C820" s="135"/>
      <c r="D820" s="144"/>
      <c r="E820" s="74" t="s">
        <v>56</v>
      </c>
      <c r="F820" s="63" t="s">
        <v>56</v>
      </c>
      <c r="G820" s="129"/>
      <c r="H820" s="133"/>
      <c r="I820" s="129"/>
      <c r="J820" s="130"/>
      <c r="K820" s="130"/>
      <c r="L820" s="130"/>
      <c r="M820" s="130"/>
      <c r="N820" s="140"/>
      <c r="O820" s="150"/>
      <c r="P820" s="150"/>
      <c r="Q820" s="134"/>
      <c r="R820" s="134"/>
      <c r="S820" s="134"/>
      <c r="T820" s="134"/>
      <c r="U820" s="134"/>
      <c r="V820" s="134"/>
      <c r="W820" s="134"/>
      <c r="X820" s="134"/>
      <c r="Y820" s="134"/>
    </row>
    <row r="821">
      <c r="A821" s="126"/>
      <c r="B821" s="127"/>
      <c r="C821" s="135"/>
      <c r="D821" s="144"/>
      <c r="E821" s="74" t="s">
        <v>56</v>
      </c>
      <c r="F821" s="63" t="s">
        <v>56</v>
      </c>
      <c r="G821" s="129"/>
      <c r="H821" s="133"/>
      <c r="I821" s="129"/>
      <c r="J821" s="130"/>
      <c r="K821" s="130"/>
      <c r="L821" s="130"/>
      <c r="M821" s="130"/>
      <c r="N821" s="140"/>
      <c r="O821" s="150"/>
      <c r="P821" s="150"/>
      <c r="Q821" s="134"/>
      <c r="R821" s="134"/>
      <c r="S821" s="134"/>
      <c r="T821" s="134"/>
      <c r="U821" s="134"/>
      <c r="V821" s="134"/>
      <c r="W821" s="134"/>
      <c r="X821" s="134"/>
      <c r="Y821" s="134"/>
    </row>
    <row r="822">
      <c r="A822" s="126"/>
      <c r="B822" s="127"/>
      <c r="C822" s="135"/>
      <c r="D822" s="144"/>
      <c r="E822" s="74" t="s">
        <v>56</v>
      </c>
      <c r="F822" s="63" t="s">
        <v>56</v>
      </c>
      <c r="G822" s="129"/>
      <c r="H822" s="133"/>
      <c r="I822" s="129"/>
      <c r="J822" s="130"/>
      <c r="K822" s="130"/>
      <c r="L822" s="130"/>
      <c r="M822" s="130"/>
      <c r="N822" s="140"/>
      <c r="O822" s="150"/>
      <c r="P822" s="150"/>
      <c r="Q822" s="134"/>
      <c r="R822" s="134"/>
      <c r="S822" s="134"/>
      <c r="T822" s="134"/>
      <c r="U822" s="134"/>
      <c r="V822" s="134"/>
      <c r="W822" s="134"/>
      <c r="X822" s="134"/>
      <c r="Y822" s="134"/>
    </row>
    <row r="823">
      <c r="A823" s="126"/>
      <c r="B823" s="127"/>
      <c r="C823" s="135"/>
      <c r="D823" s="144"/>
      <c r="E823" s="74" t="s">
        <v>56</v>
      </c>
      <c r="F823" s="63" t="s">
        <v>56</v>
      </c>
      <c r="G823" s="129"/>
      <c r="H823" s="133"/>
      <c r="I823" s="129"/>
      <c r="J823" s="130"/>
      <c r="K823" s="130"/>
      <c r="L823" s="130"/>
      <c r="M823" s="130"/>
      <c r="N823" s="140"/>
      <c r="O823" s="150"/>
      <c r="P823" s="150"/>
      <c r="Q823" s="134"/>
      <c r="R823" s="134"/>
      <c r="S823" s="134"/>
      <c r="T823" s="134"/>
      <c r="U823" s="134"/>
      <c r="V823" s="134"/>
      <c r="W823" s="134"/>
      <c r="X823" s="134"/>
      <c r="Y823" s="134"/>
    </row>
    <row r="824">
      <c r="A824" s="126"/>
      <c r="B824" s="127"/>
      <c r="C824" s="135"/>
      <c r="D824" s="144"/>
      <c r="E824" s="74" t="s">
        <v>56</v>
      </c>
      <c r="F824" s="63" t="s">
        <v>56</v>
      </c>
      <c r="G824" s="129"/>
      <c r="H824" s="133"/>
      <c r="I824" s="129"/>
      <c r="J824" s="130"/>
      <c r="K824" s="130"/>
      <c r="L824" s="130"/>
      <c r="M824" s="130"/>
      <c r="N824" s="140"/>
      <c r="O824" s="150"/>
      <c r="P824" s="150"/>
      <c r="Q824" s="134"/>
      <c r="R824" s="134"/>
      <c r="S824" s="134"/>
      <c r="T824" s="134"/>
      <c r="U824" s="134"/>
      <c r="V824" s="134"/>
      <c r="W824" s="134"/>
      <c r="X824" s="134"/>
      <c r="Y824" s="134"/>
    </row>
    <row r="825">
      <c r="A825" s="126"/>
      <c r="B825" s="127"/>
      <c r="C825" s="135"/>
      <c r="D825" s="144"/>
      <c r="E825" s="74" t="s">
        <v>56</v>
      </c>
      <c r="F825" s="63" t="s">
        <v>56</v>
      </c>
      <c r="G825" s="129"/>
      <c r="H825" s="133"/>
      <c r="I825" s="129"/>
      <c r="J825" s="130"/>
      <c r="K825" s="130"/>
      <c r="L825" s="130"/>
      <c r="M825" s="130"/>
      <c r="N825" s="140"/>
      <c r="O825" s="150"/>
      <c r="P825" s="150"/>
      <c r="Q825" s="134"/>
      <c r="R825" s="134"/>
      <c r="S825" s="134"/>
      <c r="T825" s="134"/>
      <c r="U825" s="134"/>
      <c r="V825" s="134"/>
      <c r="W825" s="134"/>
      <c r="X825" s="134"/>
      <c r="Y825" s="134"/>
    </row>
    <row r="826">
      <c r="A826" s="126"/>
      <c r="B826" s="127"/>
      <c r="C826" s="135"/>
      <c r="D826" s="144"/>
      <c r="E826" s="74" t="s">
        <v>56</v>
      </c>
      <c r="F826" s="63" t="s">
        <v>56</v>
      </c>
      <c r="G826" s="129"/>
      <c r="H826" s="133"/>
      <c r="I826" s="129"/>
      <c r="J826" s="130"/>
      <c r="K826" s="130"/>
      <c r="L826" s="130"/>
      <c r="M826" s="130"/>
      <c r="N826" s="140"/>
      <c r="O826" s="150"/>
      <c r="P826" s="150"/>
      <c r="Q826" s="134"/>
      <c r="R826" s="134"/>
      <c r="S826" s="134"/>
      <c r="T826" s="134"/>
      <c r="U826" s="134"/>
      <c r="V826" s="134"/>
      <c r="W826" s="134"/>
      <c r="X826" s="134"/>
      <c r="Y826" s="134"/>
    </row>
    <row r="827">
      <c r="A827" s="126"/>
      <c r="B827" s="127"/>
      <c r="C827" s="135"/>
      <c r="D827" s="144"/>
      <c r="E827" s="74" t="s">
        <v>56</v>
      </c>
      <c r="F827" s="63" t="s">
        <v>56</v>
      </c>
      <c r="G827" s="129"/>
      <c r="H827" s="133"/>
      <c r="I827" s="129"/>
      <c r="J827" s="130"/>
      <c r="K827" s="130"/>
      <c r="L827" s="130"/>
      <c r="M827" s="130"/>
      <c r="N827" s="140"/>
      <c r="O827" s="150"/>
      <c r="P827" s="150"/>
      <c r="Q827" s="134"/>
      <c r="R827" s="134"/>
      <c r="S827" s="134"/>
      <c r="T827" s="134"/>
      <c r="U827" s="134"/>
      <c r="V827" s="134"/>
      <c r="W827" s="134"/>
      <c r="X827" s="134"/>
      <c r="Y827" s="134"/>
    </row>
    <row r="828">
      <c r="A828" s="126"/>
      <c r="B828" s="127"/>
      <c r="C828" s="135"/>
      <c r="D828" s="144"/>
      <c r="E828" s="74" t="s">
        <v>56</v>
      </c>
      <c r="F828" s="63" t="s">
        <v>56</v>
      </c>
      <c r="G828" s="129"/>
      <c r="H828" s="133"/>
      <c r="I828" s="129"/>
      <c r="J828" s="130"/>
      <c r="K828" s="130"/>
      <c r="L828" s="130"/>
      <c r="M828" s="130"/>
      <c r="N828" s="140"/>
      <c r="O828" s="150"/>
      <c r="P828" s="150"/>
      <c r="Q828" s="134"/>
      <c r="R828" s="134"/>
      <c r="S828" s="134"/>
      <c r="T828" s="134"/>
      <c r="U828" s="134"/>
      <c r="V828" s="134"/>
      <c r="W828" s="134"/>
      <c r="X828" s="134"/>
      <c r="Y828" s="134"/>
    </row>
    <row r="829">
      <c r="A829" s="126"/>
      <c r="B829" s="127"/>
      <c r="C829" s="135"/>
      <c r="D829" s="144"/>
      <c r="E829" s="74" t="s">
        <v>56</v>
      </c>
      <c r="F829" s="63" t="s">
        <v>56</v>
      </c>
      <c r="G829" s="129"/>
      <c r="H829" s="133"/>
      <c r="I829" s="129"/>
      <c r="J829" s="130"/>
      <c r="K829" s="130"/>
      <c r="L829" s="130"/>
      <c r="M829" s="130"/>
      <c r="N829" s="140"/>
      <c r="O829" s="150"/>
      <c r="P829" s="150"/>
      <c r="Q829" s="134"/>
      <c r="R829" s="134"/>
      <c r="S829" s="134"/>
      <c r="T829" s="134"/>
      <c r="U829" s="134"/>
      <c r="V829" s="134"/>
      <c r="W829" s="134"/>
      <c r="X829" s="134"/>
      <c r="Y829" s="134"/>
    </row>
    <row r="830">
      <c r="A830" s="126"/>
      <c r="B830" s="127"/>
      <c r="C830" s="135"/>
      <c r="D830" s="144"/>
      <c r="E830" s="74" t="s">
        <v>56</v>
      </c>
      <c r="F830" s="63" t="s">
        <v>56</v>
      </c>
      <c r="G830" s="129"/>
      <c r="H830" s="133"/>
      <c r="I830" s="129"/>
      <c r="J830" s="130"/>
      <c r="K830" s="130"/>
      <c r="L830" s="130"/>
      <c r="M830" s="130"/>
      <c r="N830" s="140"/>
      <c r="O830" s="150"/>
      <c r="P830" s="150"/>
      <c r="Q830" s="134"/>
      <c r="R830" s="134"/>
      <c r="S830" s="134"/>
      <c r="T830" s="134"/>
      <c r="U830" s="134"/>
      <c r="V830" s="134"/>
      <c r="W830" s="134"/>
      <c r="X830" s="134"/>
      <c r="Y830" s="134"/>
    </row>
    <row r="831">
      <c r="A831" s="126"/>
      <c r="B831" s="127"/>
      <c r="C831" s="135"/>
      <c r="D831" s="144"/>
      <c r="E831" s="74" t="s">
        <v>56</v>
      </c>
      <c r="F831" s="63" t="s">
        <v>56</v>
      </c>
      <c r="G831" s="129"/>
      <c r="H831" s="133"/>
      <c r="I831" s="129"/>
      <c r="J831" s="130"/>
      <c r="K831" s="130"/>
      <c r="L831" s="130"/>
      <c r="M831" s="130"/>
      <c r="N831" s="140"/>
      <c r="O831" s="150"/>
      <c r="P831" s="150"/>
      <c r="Q831" s="134"/>
      <c r="R831" s="134"/>
      <c r="S831" s="134"/>
      <c r="T831" s="134"/>
      <c r="U831" s="134"/>
      <c r="V831" s="134"/>
      <c r="W831" s="134"/>
      <c r="X831" s="134"/>
      <c r="Y831" s="134"/>
    </row>
    <row r="832">
      <c r="A832" s="126"/>
      <c r="B832" s="127"/>
      <c r="C832" s="135"/>
      <c r="D832" s="144"/>
      <c r="E832" s="74" t="s">
        <v>56</v>
      </c>
      <c r="F832" s="63" t="s">
        <v>56</v>
      </c>
      <c r="G832" s="129"/>
      <c r="H832" s="133"/>
      <c r="I832" s="129"/>
      <c r="J832" s="130"/>
      <c r="K832" s="130"/>
      <c r="L832" s="130"/>
      <c r="M832" s="130"/>
      <c r="N832" s="140"/>
      <c r="O832" s="150"/>
      <c r="P832" s="150"/>
      <c r="Q832" s="134"/>
      <c r="R832" s="134"/>
      <c r="S832" s="134"/>
      <c r="T832" s="134"/>
      <c r="U832" s="134"/>
      <c r="V832" s="134"/>
      <c r="W832" s="134"/>
      <c r="X832" s="134"/>
      <c r="Y832" s="134"/>
    </row>
    <row r="833">
      <c r="A833" s="126"/>
      <c r="B833" s="127"/>
      <c r="C833" s="135"/>
      <c r="D833" s="144"/>
      <c r="E833" s="74" t="s">
        <v>56</v>
      </c>
      <c r="F833" s="63" t="s">
        <v>56</v>
      </c>
      <c r="G833" s="129"/>
      <c r="H833" s="133"/>
      <c r="I833" s="129"/>
      <c r="J833" s="130"/>
      <c r="K833" s="130"/>
      <c r="L833" s="130"/>
      <c r="M833" s="130"/>
      <c r="N833" s="140"/>
      <c r="O833" s="150"/>
      <c r="P833" s="150"/>
      <c r="Q833" s="134"/>
      <c r="R833" s="134"/>
      <c r="S833" s="134"/>
      <c r="T833" s="134"/>
      <c r="U833" s="134"/>
      <c r="V833" s="134"/>
      <c r="W833" s="134"/>
      <c r="X833" s="134"/>
      <c r="Y833" s="134"/>
    </row>
    <row r="834">
      <c r="A834" s="126"/>
      <c r="B834" s="127"/>
      <c r="C834" s="135"/>
      <c r="D834" s="144"/>
      <c r="E834" s="74" t="s">
        <v>56</v>
      </c>
      <c r="F834" s="63" t="s">
        <v>56</v>
      </c>
      <c r="G834" s="129"/>
      <c r="H834" s="133"/>
      <c r="I834" s="129"/>
      <c r="J834" s="130"/>
      <c r="K834" s="130"/>
      <c r="L834" s="130"/>
      <c r="M834" s="130"/>
      <c r="N834" s="140"/>
      <c r="O834" s="150"/>
      <c r="P834" s="150"/>
      <c r="Q834" s="134"/>
      <c r="R834" s="134"/>
      <c r="S834" s="134"/>
      <c r="T834" s="134"/>
      <c r="U834" s="134"/>
      <c r="V834" s="134"/>
      <c r="W834" s="134"/>
      <c r="X834" s="134"/>
      <c r="Y834" s="134"/>
    </row>
    <row r="835">
      <c r="A835" s="126"/>
      <c r="B835" s="127"/>
      <c r="C835" s="135"/>
      <c r="D835" s="144"/>
      <c r="E835" s="74" t="s">
        <v>56</v>
      </c>
      <c r="F835" s="63" t="s">
        <v>56</v>
      </c>
      <c r="G835" s="129"/>
      <c r="H835" s="133"/>
      <c r="I835" s="129"/>
      <c r="J835" s="130"/>
      <c r="K835" s="130"/>
      <c r="L835" s="130"/>
      <c r="M835" s="130"/>
      <c r="N835" s="140"/>
      <c r="O835" s="150"/>
      <c r="P835" s="150"/>
      <c r="Q835" s="134"/>
      <c r="R835" s="134"/>
      <c r="S835" s="134"/>
      <c r="T835" s="134"/>
      <c r="U835" s="134"/>
      <c r="V835" s="134"/>
      <c r="W835" s="134"/>
      <c r="X835" s="134"/>
      <c r="Y835" s="134"/>
    </row>
    <row r="836">
      <c r="A836" s="126"/>
      <c r="B836" s="127"/>
      <c r="C836" s="135"/>
      <c r="D836" s="144"/>
      <c r="E836" s="74" t="s">
        <v>56</v>
      </c>
      <c r="F836" s="63" t="s">
        <v>56</v>
      </c>
      <c r="G836" s="129"/>
      <c r="H836" s="133"/>
      <c r="I836" s="129"/>
      <c r="J836" s="130"/>
      <c r="K836" s="130"/>
      <c r="L836" s="130"/>
      <c r="M836" s="130"/>
      <c r="N836" s="140"/>
      <c r="O836" s="150"/>
      <c r="P836" s="150"/>
      <c r="Q836" s="134"/>
      <c r="R836" s="134"/>
      <c r="S836" s="134"/>
      <c r="T836" s="134"/>
      <c r="U836" s="134"/>
      <c r="V836" s="134"/>
      <c r="W836" s="134"/>
      <c r="X836" s="134"/>
      <c r="Y836" s="134"/>
    </row>
    <row r="837">
      <c r="A837" s="126"/>
      <c r="B837" s="127"/>
      <c r="C837" s="135"/>
      <c r="D837" s="144"/>
      <c r="E837" s="74" t="s">
        <v>56</v>
      </c>
      <c r="F837" s="63" t="s">
        <v>56</v>
      </c>
      <c r="G837" s="129"/>
      <c r="H837" s="133"/>
      <c r="I837" s="129"/>
      <c r="J837" s="130"/>
      <c r="K837" s="130"/>
      <c r="L837" s="130"/>
      <c r="M837" s="130"/>
      <c r="N837" s="140"/>
      <c r="O837" s="150"/>
      <c r="P837" s="150"/>
      <c r="Q837" s="134"/>
      <c r="R837" s="134"/>
      <c r="S837" s="134"/>
      <c r="T837" s="134"/>
      <c r="U837" s="134"/>
      <c r="V837" s="134"/>
      <c r="W837" s="134"/>
      <c r="X837" s="134"/>
      <c r="Y837" s="134"/>
    </row>
    <row r="838">
      <c r="A838" s="126"/>
      <c r="B838" s="127"/>
      <c r="C838" s="135"/>
      <c r="D838" s="144"/>
      <c r="E838" s="74" t="s">
        <v>56</v>
      </c>
      <c r="F838" s="63" t="s">
        <v>56</v>
      </c>
      <c r="G838" s="129"/>
      <c r="H838" s="133"/>
      <c r="I838" s="129"/>
      <c r="J838" s="130"/>
      <c r="K838" s="130"/>
      <c r="L838" s="130"/>
      <c r="M838" s="130"/>
      <c r="N838" s="140"/>
      <c r="O838" s="150"/>
      <c r="P838" s="150"/>
      <c r="Q838" s="134"/>
      <c r="R838" s="134"/>
      <c r="S838" s="134"/>
      <c r="T838" s="134"/>
      <c r="U838" s="134"/>
      <c r="V838" s="134"/>
      <c r="W838" s="134"/>
      <c r="X838" s="134"/>
      <c r="Y838" s="134"/>
    </row>
    <row r="839">
      <c r="A839" s="126"/>
      <c r="B839" s="127"/>
      <c r="C839" s="135"/>
      <c r="D839" s="144"/>
      <c r="E839" s="74" t="s">
        <v>56</v>
      </c>
      <c r="F839" s="63" t="s">
        <v>56</v>
      </c>
      <c r="G839" s="129"/>
      <c r="H839" s="133"/>
      <c r="I839" s="129"/>
      <c r="J839" s="130"/>
      <c r="K839" s="130"/>
      <c r="L839" s="130"/>
      <c r="M839" s="130"/>
      <c r="N839" s="140"/>
      <c r="O839" s="150"/>
      <c r="P839" s="150"/>
      <c r="Q839" s="134"/>
      <c r="R839" s="134"/>
      <c r="S839" s="134"/>
      <c r="T839" s="134"/>
      <c r="U839" s="134"/>
      <c r="V839" s="134"/>
      <c r="W839" s="134"/>
      <c r="X839" s="134"/>
      <c r="Y839" s="134"/>
    </row>
    <row r="840">
      <c r="A840" s="126"/>
      <c r="B840" s="127"/>
      <c r="C840" s="135"/>
      <c r="D840" s="144"/>
      <c r="E840" s="74" t="s">
        <v>56</v>
      </c>
      <c r="F840" s="63" t="s">
        <v>56</v>
      </c>
      <c r="G840" s="129"/>
      <c r="H840" s="133"/>
      <c r="I840" s="129"/>
      <c r="J840" s="130"/>
      <c r="K840" s="130"/>
      <c r="L840" s="130"/>
      <c r="M840" s="130"/>
      <c r="N840" s="140"/>
      <c r="O840" s="150"/>
      <c r="P840" s="150"/>
      <c r="Q840" s="134"/>
      <c r="R840" s="134"/>
      <c r="S840" s="134"/>
      <c r="T840" s="134"/>
      <c r="U840" s="134"/>
      <c r="V840" s="134"/>
      <c r="W840" s="134"/>
      <c r="X840" s="134"/>
      <c r="Y840" s="134"/>
    </row>
    <row r="841">
      <c r="A841" s="126"/>
      <c r="B841" s="127"/>
      <c r="C841" s="135"/>
      <c r="D841" s="144"/>
      <c r="E841" s="74" t="s">
        <v>56</v>
      </c>
      <c r="F841" s="63" t="s">
        <v>56</v>
      </c>
      <c r="G841" s="129"/>
      <c r="H841" s="133"/>
      <c r="I841" s="129"/>
      <c r="J841" s="130"/>
      <c r="K841" s="130"/>
      <c r="L841" s="130"/>
      <c r="M841" s="130"/>
      <c r="N841" s="140"/>
      <c r="O841" s="150"/>
      <c r="P841" s="150"/>
      <c r="Q841" s="134"/>
      <c r="R841" s="134"/>
      <c r="S841" s="134"/>
      <c r="T841" s="134"/>
      <c r="U841" s="134"/>
      <c r="V841" s="134"/>
      <c r="W841" s="134"/>
      <c r="X841" s="134"/>
      <c r="Y841" s="134"/>
    </row>
    <row r="842">
      <c r="A842" s="126"/>
      <c r="B842" s="127"/>
      <c r="C842" s="135"/>
      <c r="D842" s="144"/>
      <c r="E842" s="74" t="s">
        <v>56</v>
      </c>
      <c r="F842" s="63" t="s">
        <v>56</v>
      </c>
      <c r="G842" s="129"/>
      <c r="H842" s="133"/>
      <c r="I842" s="129"/>
      <c r="J842" s="130"/>
      <c r="K842" s="130"/>
      <c r="L842" s="130"/>
      <c r="M842" s="130"/>
      <c r="N842" s="140"/>
      <c r="O842" s="150"/>
      <c r="P842" s="150"/>
      <c r="Q842" s="134"/>
      <c r="R842" s="134"/>
      <c r="S842" s="134"/>
      <c r="T842" s="134"/>
      <c r="U842" s="134"/>
      <c r="V842" s="134"/>
      <c r="W842" s="134"/>
      <c r="X842" s="134"/>
      <c r="Y842" s="134"/>
    </row>
    <row r="843">
      <c r="A843" s="126"/>
      <c r="B843" s="127"/>
      <c r="C843" s="135"/>
      <c r="D843" s="144"/>
      <c r="E843" s="74" t="s">
        <v>56</v>
      </c>
      <c r="F843" s="63" t="s">
        <v>56</v>
      </c>
      <c r="G843" s="129"/>
      <c r="H843" s="133"/>
      <c r="I843" s="129"/>
      <c r="J843" s="130"/>
      <c r="K843" s="130"/>
      <c r="L843" s="130"/>
      <c r="M843" s="130"/>
      <c r="N843" s="140"/>
      <c r="O843" s="150"/>
      <c r="P843" s="150"/>
      <c r="Q843" s="134"/>
      <c r="R843" s="134"/>
      <c r="S843" s="134"/>
      <c r="T843" s="134"/>
      <c r="U843" s="134"/>
      <c r="V843" s="134"/>
      <c r="W843" s="134"/>
      <c r="X843" s="134"/>
      <c r="Y843" s="134"/>
    </row>
    <row r="844">
      <c r="A844" s="126"/>
      <c r="B844" s="127"/>
      <c r="C844" s="135"/>
      <c r="D844" s="144"/>
      <c r="E844" s="74" t="s">
        <v>56</v>
      </c>
      <c r="F844" s="63" t="s">
        <v>56</v>
      </c>
      <c r="G844" s="129"/>
      <c r="H844" s="133"/>
      <c r="I844" s="129"/>
      <c r="J844" s="130"/>
      <c r="K844" s="130"/>
      <c r="L844" s="130"/>
      <c r="M844" s="130"/>
      <c r="N844" s="140"/>
      <c r="O844" s="150"/>
      <c r="P844" s="150"/>
      <c r="Q844" s="134"/>
      <c r="R844" s="134"/>
      <c r="S844" s="134"/>
      <c r="T844" s="134"/>
      <c r="U844" s="134"/>
      <c r="V844" s="134"/>
      <c r="W844" s="134"/>
      <c r="X844" s="134"/>
      <c r="Y844" s="134"/>
    </row>
    <row r="845">
      <c r="A845" s="126"/>
      <c r="B845" s="127"/>
      <c r="C845" s="135"/>
      <c r="D845" s="144"/>
      <c r="E845" s="74" t="s">
        <v>56</v>
      </c>
      <c r="F845" s="63" t="s">
        <v>56</v>
      </c>
      <c r="G845" s="129"/>
      <c r="H845" s="133"/>
      <c r="I845" s="129"/>
      <c r="J845" s="130"/>
      <c r="K845" s="130"/>
      <c r="L845" s="130"/>
      <c r="M845" s="130"/>
      <c r="N845" s="140"/>
      <c r="O845" s="150"/>
      <c r="P845" s="150"/>
      <c r="Q845" s="134"/>
      <c r="R845" s="134"/>
      <c r="S845" s="134"/>
      <c r="T845" s="134"/>
      <c r="U845" s="134"/>
      <c r="V845" s="134"/>
      <c r="W845" s="134"/>
      <c r="X845" s="134"/>
      <c r="Y845" s="134"/>
    </row>
    <row r="846">
      <c r="A846" s="126"/>
      <c r="B846" s="127"/>
      <c r="C846" s="135"/>
      <c r="D846" s="144"/>
      <c r="E846" s="74" t="s">
        <v>56</v>
      </c>
      <c r="F846" s="63" t="s">
        <v>56</v>
      </c>
      <c r="G846" s="129"/>
      <c r="H846" s="133"/>
      <c r="I846" s="129"/>
      <c r="J846" s="130"/>
      <c r="K846" s="130"/>
      <c r="L846" s="130"/>
      <c r="M846" s="130"/>
      <c r="N846" s="140"/>
      <c r="O846" s="150"/>
      <c r="P846" s="150"/>
      <c r="Q846" s="134"/>
      <c r="R846" s="134"/>
      <c r="S846" s="134"/>
      <c r="T846" s="134"/>
      <c r="U846" s="134"/>
      <c r="V846" s="134"/>
      <c r="W846" s="134"/>
      <c r="X846" s="134"/>
      <c r="Y846" s="134"/>
    </row>
    <row r="847">
      <c r="A847" s="126"/>
      <c r="B847" s="127"/>
      <c r="C847" s="135"/>
      <c r="D847" s="144"/>
      <c r="E847" s="74" t="s">
        <v>56</v>
      </c>
      <c r="F847" s="63" t="s">
        <v>56</v>
      </c>
      <c r="G847" s="129"/>
      <c r="H847" s="133"/>
      <c r="I847" s="129"/>
      <c r="J847" s="130"/>
      <c r="K847" s="130"/>
      <c r="L847" s="130"/>
      <c r="M847" s="130"/>
      <c r="N847" s="140"/>
      <c r="O847" s="150"/>
      <c r="P847" s="150"/>
      <c r="Q847" s="134"/>
      <c r="R847" s="134"/>
      <c r="S847" s="134"/>
      <c r="T847" s="134"/>
      <c r="U847" s="134"/>
      <c r="V847" s="134"/>
      <c r="W847" s="134"/>
      <c r="X847" s="134"/>
      <c r="Y847" s="134"/>
    </row>
    <row r="848">
      <c r="A848" s="126"/>
      <c r="B848" s="127"/>
      <c r="C848" s="135"/>
      <c r="D848" s="144"/>
      <c r="E848" s="74" t="s">
        <v>56</v>
      </c>
      <c r="F848" s="63" t="s">
        <v>56</v>
      </c>
      <c r="G848" s="129"/>
      <c r="H848" s="133"/>
      <c r="I848" s="129"/>
      <c r="J848" s="130"/>
      <c r="K848" s="130"/>
      <c r="L848" s="130"/>
      <c r="M848" s="130"/>
      <c r="N848" s="140"/>
      <c r="O848" s="150"/>
      <c r="P848" s="150"/>
      <c r="Q848" s="134"/>
      <c r="R848" s="134"/>
      <c r="S848" s="134"/>
      <c r="T848" s="134"/>
      <c r="U848" s="134"/>
      <c r="V848" s="134"/>
      <c r="W848" s="134"/>
      <c r="X848" s="134"/>
      <c r="Y848" s="134"/>
    </row>
    <row r="849">
      <c r="A849" s="126"/>
      <c r="B849" s="127"/>
      <c r="C849" s="135"/>
      <c r="D849" s="144"/>
      <c r="E849" s="74" t="s">
        <v>56</v>
      </c>
      <c r="F849" s="63" t="s">
        <v>56</v>
      </c>
      <c r="G849" s="129"/>
      <c r="H849" s="133"/>
      <c r="I849" s="129"/>
      <c r="J849" s="130"/>
      <c r="K849" s="130"/>
      <c r="L849" s="130"/>
      <c r="M849" s="130"/>
      <c r="N849" s="140"/>
      <c r="O849" s="150"/>
      <c r="P849" s="150"/>
      <c r="Q849" s="134"/>
      <c r="R849" s="134"/>
      <c r="S849" s="134"/>
      <c r="T849" s="134"/>
      <c r="U849" s="134"/>
      <c r="V849" s="134"/>
      <c r="W849" s="134"/>
      <c r="X849" s="134"/>
      <c r="Y849" s="134"/>
    </row>
    <row r="850">
      <c r="A850" s="126"/>
      <c r="B850" s="127"/>
      <c r="C850" s="135"/>
      <c r="D850" s="144"/>
      <c r="E850" s="74" t="s">
        <v>56</v>
      </c>
      <c r="F850" s="63" t="s">
        <v>56</v>
      </c>
      <c r="G850" s="129"/>
      <c r="H850" s="133"/>
      <c r="I850" s="129"/>
      <c r="J850" s="130"/>
      <c r="K850" s="130"/>
      <c r="L850" s="130"/>
      <c r="M850" s="130"/>
      <c r="N850" s="140"/>
      <c r="O850" s="150"/>
      <c r="P850" s="150"/>
      <c r="Q850" s="134"/>
      <c r="R850" s="134"/>
      <c r="S850" s="134"/>
      <c r="T850" s="134"/>
      <c r="U850" s="134"/>
      <c r="V850" s="134"/>
      <c r="W850" s="134"/>
      <c r="X850" s="134"/>
      <c r="Y850" s="134"/>
    </row>
    <row r="851">
      <c r="A851" s="126"/>
      <c r="B851" s="127"/>
      <c r="C851" s="135"/>
      <c r="D851" s="144"/>
      <c r="E851" s="74" t="s">
        <v>56</v>
      </c>
      <c r="F851" s="63" t="s">
        <v>56</v>
      </c>
      <c r="G851" s="129"/>
      <c r="H851" s="133"/>
      <c r="I851" s="129"/>
      <c r="J851" s="130"/>
      <c r="K851" s="130"/>
      <c r="L851" s="130"/>
      <c r="M851" s="130"/>
      <c r="N851" s="140"/>
      <c r="O851" s="150"/>
      <c r="P851" s="150"/>
      <c r="Q851" s="134"/>
      <c r="R851" s="134"/>
      <c r="S851" s="134"/>
      <c r="T851" s="134"/>
      <c r="U851" s="134"/>
      <c r="V851" s="134"/>
      <c r="W851" s="134"/>
      <c r="X851" s="134"/>
      <c r="Y851" s="134"/>
    </row>
    <row r="852">
      <c r="A852" s="126"/>
      <c r="B852" s="127"/>
      <c r="C852" s="135"/>
      <c r="D852" s="144"/>
      <c r="E852" s="74" t="s">
        <v>56</v>
      </c>
      <c r="F852" s="63" t="s">
        <v>56</v>
      </c>
      <c r="G852" s="129"/>
      <c r="H852" s="133"/>
      <c r="I852" s="129"/>
      <c r="J852" s="130"/>
      <c r="K852" s="130"/>
      <c r="L852" s="130"/>
      <c r="M852" s="130"/>
      <c r="N852" s="140"/>
      <c r="O852" s="150"/>
      <c r="P852" s="150"/>
      <c r="Q852" s="134"/>
      <c r="R852" s="134"/>
      <c r="S852" s="134"/>
      <c r="T852" s="134"/>
      <c r="U852" s="134"/>
      <c r="V852" s="134"/>
      <c r="W852" s="134"/>
      <c r="X852" s="134"/>
      <c r="Y852" s="134"/>
    </row>
    <row r="853">
      <c r="A853" s="126"/>
      <c r="B853" s="127"/>
      <c r="C853" s="135"/>
      <c r="D853" s="144"/>
      <c r="E853" s="74" t="s">
        <v>56</v>
      </c>
      <c r="F853" s="63" t="s">
        <v>56</v>
      </c>
      <c r="G853" s="129"/>
      <c r="H853" s="133"/>
      <c r="I853" s="129"/>
      <c r="J853" s="130"/>
      <c r="K853" s="130"/>
      <c r="L853" s="130"/>
      <c r="M853" s="130"/>
      <c r="N853" s="140"/>
      <c r="O853" s="150"/>
      <c r="P853" s="150"/>
      <c r="Q853" s="134"/>
      <c r="R853" s="134"/>
      <c r="S853" s="134"/>
      <c r="T853" s="134"/>
      <c r="U853" s="134"/>
      <c r="V853" s="134"/>
      <c r="W853" s="134"/>
      <c r="X853" s="134"/>
      <c r="Y853" s="134"/>
    </row>
    <row r="854">
      <c r="A854" s="126"/>
      <c r="B854" s="127"/>
      <c r="C854" s="135"/>
      <c r="D854" s="144"/>
      <c r="E854" s="74" t="s">
        <v>56</v>
      </c>
      <c r="F854" s="63" t="s">
        <v>56</v>
      </c>
      <c r="G854" s="129"/>
      <c r="H854" s="133"/>
      <c r="I854" s="129"/>
      <c r="J854" s="130"/>
      <c r="K854" s="130"/>
      <c r="L854" s="130"/>
      <c r="M854" s="130"/>
      <c r="N854" s="140"/>
      <c r="O854" s="150"/>
      <c r="P854" s="150"/>
      <c r="Q854" s="134"/>
      <c r="R854" s="134"/>
      <c r="S854" s="134"/>
      <c r="T854" s="134"/>
      <c r="U854" s="134"/>
      <c r="V854" s="134"/>
      <c r="W854" s="134"/>
      <c r="X854" s="134"/>
      <c r="Y854" s="134"/>
    </row>
    <row r="855">
      <c r="A855" s="126"/>
      <c r="B855" s="127"/>
      <c r="C855" s="135"/>
      <c r="D855" s="144"/>
      <c r="E855" s="74" t="s">
        <v>56</v>
      </c>
      <c r="F855" s="63" t="s">
        <v>56</v>
      </c>
      <c r="G855" s="129"/>
      <c r="H855" s="133"/>
      <c r="I855" s="129"/>
      <c r="J855" s="130"/>
      <c r="K855" s="130"/>
      <c r="L855" s="130"/>
      <c r="M855" s="130"/>
      <c r="N855" s="140"/>
      <c r="O855" s="150"/>
      <c r="P855" s="150"/>
      <c r="Q855" s="134"/>
      <c r="R855" s="134"/>
      <c r="S855" s="134"/>
      <c r="T855" s="134"/>
      <c r="U855" s="134"/>
      <c r="V855" s="134"/>
      <c r="W855" s="134"/>
      <c r="X855" s="134"/>
      <c r="Y855" s="134"/>
    </row>
    <row r="856">
      <c r="A856" s="126"/>
      <c r="B856" s="127"/>
      <c r="C856" s="135"/>
      <c r="D856" s="144"/>
      <c r="E856" s="74" t="s">
        <v>56</v>
      </c>
      <c r="F856" s="63" t="s">
        <v>56</v>
      </c>
      <c r="G856" s="129"/>
      <c r="H856" s="133"/>
      <c r="I856" s="129"/>
      <c r="J856" s="130"/>
      <c r="K856" s="130"/>
      <c r="L856" s="130"/>
      <c r="M856" s="130"/>
      <c r="N856" s="140"/>
      <c r="O856" s="150"/>
      <c r="P856" s="150"/>
      <c r="Q856" s="134"/>
      <c r="R856" s="134"/>
      <c r="S856" s="134"/>
      <c r="T856" s="134"/>
      <c r="U856" s="134"/>
      <c r="V856" s="134"/>
      <c r="W856" s="134"/>
      <c r="X856" s="134"/>
      <c r="Y856" s="134"/>
    </row>
    <row r="857">
      <c r="A857" s="126"/>
      <c r="B857" s="127"/>
      <c r="C857" s="135"/>
      <c r="D857" s="144"/>
      <c r="E857" s="74" t="s">
        <v>56</v>
      </c>
      <c r="F857" s="63" t="s">
        <v>56</v>
      </c>
      <c r="G857" s="129"/>
      <c r="H857" s="133"/>
      <c r="I857" s="129"/>
      <c r="J857" s="130"/>
      <c r="K857" s="130"/>
      <c r="L857" s="130"/>
      <c r="M857" s="130"/>
      <c r="N857" s="140"/>
      <c r="O857" s="150"/>
      <c r="P857" s="150"/>
      <c r="Q857" s="134"/>
      <c r="R857" s="134"/>
      <c r="S857" s="134"/>
      <c r="T857" s="134"/>
      <c r="U857" s="134"/>
      <c r="V857" s="134"/>
      <c r="W857" s="134"/>
      <c r="X857" s="134"/>
      <c r="Y857" s="134"/>
    </row>
    <row r="858">
      <c r="A858" s="126"/>
      <c r="B858" s="127"/>
      <c r="C858" s="135"/>
      <c r="D858" s="144"/>
      <c r="E858" s="74" t="s">
        <v>56</v>
      </c>
      <c r="F858" s="63" t="s">
        <v>56</v>
      </c>
      <c r="G858" s="129"/>
      <c r="H858" s="133"/>
      <c r="I858" s="129"/>
      <c r="J858" s="130"/>
      <c r="K858" s="130"/>
      <c r="L858" s="130"/>
      <c r="M858" s="130"/>
      <c r="N858" s="140"/>
      <c r="O858" s="150"/>
      <c r="P858" s="150"/>
      <c r="Q858" s="134"/>
      <c r="R858" s="134"/>
      <c r="S858" s="134"/>
      <c r="T858" s="134"/>
      <c r="U858" s="134"/>
      <c r="V858" s="134"/>
      <c r="W858" s="134"/>
      <c r="X858" s="134"/>
      <c r="Y858" s="134"/>
    </row>
    <row r="859">
      <c r="A859" s="126"/>
      <c r="B859" s="127"/>
      <c r="C859" s="135"/>
      <c r="D859" s="144"/>
      <c r="E859" s="74" t="s">
        <v>56</v>
      </c>
      <c r="F859" s="63" t="s">
        <v>56</v>
      </c>
      <c r="G859" s="129"/>
      <c r="H859" s="133"/>
      <c r="I859" s="129"/>
      <c r="J859" s="130"/>
      <c r="K859" s="130"/>
      <c r="L859" s="130"/>
      <c r="M859" s="130"/>
      <c r="N859" s="140"/>
      <c r="O859" s="150"/>
      <c r="P859" s="150"/>
      <c r="Q859" s="134"/>
      <c r="R859" s="134"/>
      <c r="S859" s="134"/>
      <c r="T859" s="134"/>
      <c r="U859" s="134"/>
      <c r="V859" s="134"/>
      <c r="W859" s="134"/>
      <c r="X859" s="134"/>
      <c r="Y859" s="134"/>
    </row>
    <row r="860">
      <c r="A860" s="126"/>
      <c r="B860" s="127"/>
      <c r="C860" s="135"/>
      <c r="D860" s="144"/>
      <c r="E860" s="74" t="s">
        <v>56</v>
      </c>
      <c r="F860" s="63" t="s">
        <v>56</v>
      </c>
      <c r="G860" s="129"/>
      <c r="H860" s="133"/>
      <c r="I860" s="129"/>
      <c r="J860" s="130"/>
      <c r="K860" s="130"/>
      <c r="L860" s="130"/>
      <c r="M860" s="130"/>
      <c r="N860" s="140"/>
      <c r="O860" s="150"/>
      <c r="P860" s="150"/>
      <c r="Q860" s="134"/>
      <c r="R860" s="134"/>
      <c r="S860" s="134"/>
      <c r="T860" s="134"/>
      <c r="U860" s="134"/>
      <c r="V860" s="134"/>
      <c r="W860" s="134"/>
      <c r="X860" s="134"/>
      <c r="Y860" s="134"/>
    </row>
    <row r="861">
      <c r="A861" s="126"/>
      <c r="B861" s="127"/>
      <c r="C861" s="135"/>
      <c r="D861" s="144"/>
      <c r="E861" s="74" t="s">
        <v>56</v>
      </c>
      <c r="F861" s="63" t="s">
        <v>56</v>
      </c>
      <c r="G861" s="129"/>
      <c r="H861" s="133"/>
      <c r="I861" s="129"/>
      <c r="J861" s="130"/>
      <c r="K861" s="130"/>
      <c r="L861" s="130"/>
      <c r="M861" s="130"/>
      <c r="N861" s="140"/>
      <c r="O861" s="150"/>
      <c r="P861" s="150"/>
      <c r="Q861" s="134"/>
      <c r="R861" s="134"/>
      <c r="S861" s="134"/>
      <c r="T861" s="134"/>
      <c r="U861" s="134"/>
      <c r="V861" s="134"/>
      <c r="W861" s="134"/>
      <c r="X861" s="134"/>
      <c r="Y861" s="134"/>
    </row>
    <row r="862">
      <c r="A862" s="126"/>
      <c r="B862" s="127"/>
      <c r="C862" s="135"/>
      <c r="D862" s="144"/>
      <c r="E862" s="74" t="s">
        <v>56</v>
      </c>
      <c r="F862" s="63" t="s">
        <v>56</v>
      </c>
      <c r="G862" s="129"/>
      <c r="H862" s="133"/>
      <c r="I862" s="129"/>
      <c r="J862" s="130"/>
      <c r="K862" s="130"/>
      <c r="L862" s="130"/>
      <c r="M862" s="130"/>
      <c r="N862" s="140"/>
      <c r="O862" s="150"/>
      <c r="P862" s="150"/>
      <c r="Q862" s="134"/>
      <c r="R862" s="134"/>
      <c r="S862" s="134"/>
      <c r="T862" s="134"/>
      <c r="U862" s="134"/>
      <c r="V862" s="134"/>
      <c r="W862" s="134"/>
      <c r="X862" s="134"/>
      <c r="Y862" s="134"/>
    </row>
    <row r="863">
      <c r="A863" s="126"/>
      <c r="B863" s="127"/>
      <c r="C863" s="135"/>
      <c r="D863" s="144"/>
      <c r="E863" s="74" t="s">
        <v>56</v>
      </c>
      <c r="F863" s="63" t="s">
        <v>56</v>
      </c>
      <c r="G863" s="129"/>
      <c r="H863" s="133"/>
      <c r="I863" s="129"/>
      <c r="J863" s="130"/>
      <c r="K863" s="130"/>
      <c r="L863" s="130"/>
      <c r="M863" s="130"/>
      <c r="N863" s="140"/>
      <c r="O863" s="150"/>
      <c r="P863" s="150"/>
      <c r="Q863" s="134"/>
      <c r="R863" s="134"/>
      <c r="S863" s="134"/>
      <c r="T863" s="134"/>
      <c r="U863" s="134"/>
      <c r="V863" s="134"/>
      <c r="W863" s="134"/>
      <c r="X863" s="134"/>
      <c r="Y863" s="134"/>
    </row>
    <row r="864">
      <c r="A864" s="126"/>
      <c r="B864" s="127"/>
      <c r="C864" s="135"/>
      <c r="D864" s="144"/>
      <c r="E864" s="74" t="s">
        <v>56</v>
      </c>
      <c r="F864" s="63" t="s">
        <v>56</v>
      </c>
      <c r="G864" s="129"/>
      <c r="H864" s="133"/>
      <c r="I864" s="129"/>
      <c r="J864" s="130"/>
      <c r="K864" s="130"/>
      <c r="L864" s="130"/>
      <c r="M864" s="130"/>
      <c r="N864" s="140"/>
      <c r="O864" s="150"/>
      <c r="P864" s="150"/>
      <c r="Q864" s="134"/>
      <c r="R864" s="134"/>
      <c r="S864" s="134"/>
      <c r="T864" s="134"/>
      <c r="U864" s="134"/>
      <c r="V864" s="134"/>
      <c r="W864" s="134"/>
      <c r="X864" s="134"/>
      <c r="Y864" s="134"/>
    </row>
    <row r="865">
      <c r="A865" s="126"/>
      <c r="B865" s="127"/>
      <c r="C865" s="135"/>
      <c r="D865" s="144"/>
      <c r="E865" s="74" t="s">
        <v>56</v>
      </c>
      <c r="F865" s="63" t="s">
        <v>56</v>
      </c>
      <c r="G865" s="129"/>
      <c r="H865" s="133"/>
      <c r="I865" s="129"/>
      <c r="J865" s="130"/>
      <c r="K865" s="130"/>
      <c r="L865" s="130"/>
      <c r="M865" s="130"/>
      <c r="N865" s="140"/>
      <c r="O865" s="150"/>
      <c r="P865" s="150"/>
      <c r="Q865" s="134"/>
      <c r="R865" s="134"/>
      <c r="S865" s="134"/>
      <c r="T865" s="134"/>
      <c r="U865" s="134"/>
      <c r="V865" s="134"/>
      <c r="W865" s="134"/>
      <c r="X865" s="134"/>
      <c r="Y865" s="134"/>
    </row>
    <row r="866">
      <c r="A866" s="126"/>
      <c r="B866" s="127"/>
      <c r="C866" s="135"/>
      <c r="D866" s="144"/>
      <c r="E866" s="74" t="s">
        <v>56</v>
      </c>
      <c r="F866" s="63" t="s">
        <v>56</v>
      </c>
      <c r="G866" s="129"/>
      <c r="H866" s="133"/>
      <c r="I866" s="129"/>
      <c r="J866" s="130"/>
      <c r="K866" s="130"/>
      <c r="L866" s="130"/>
      <c r="M866" s="130"/>
      <c r="N866" s="140"/>
      <c r="O866" s="150"/>
      <c r="P866" s="150"/>
      <c r="Q866" s="134"/>
      <c r="R866" s="134"/>
      <c r="S866" s="134"/>
      <c r="T866" s="134"/>
      <c r="U866" s="134"/>
      <c r="V866" s="134"/>
      <c r="W866" s="134"/>
      <c r="X866" s="134"/>
      <c r="Y866" s="134"/>
    </row>
    <row r="867">
      <c r="A867" s="126"/>
      <c r="B867" s="127"/>
      <c r="C867" s="135"/>
      <c r="D867" s="144"/>
      <c r="E867" s="74" t="s">
        <v>56</v>
      </c>
      <c r="F867" s="63" t="s">
        <v>56</v>
      </c>
      <c r="G867" s="129"/>
      <c r="H867" s="133"/>
      <c r="I867" s="129"/>
      <c r="J867" s="130"/>
      <c r="K867" s="130"/>
      <c r="L867" s="130"/>
      <c r="M867" s="130"/>
      <c r="N867" s="140"/>
      <c r="O867" s="150"/>
      <c r="P867" s="150"/>
      <c r="Q867" s="134"/>
      <c r="R867" s="134"/>
      <c r="S867" s="134"/>
      <c r="T867" s="134"/>
      <c r="U867" s="134"/>
      <c r="V867" s="134"/>
      <c r="W867" s="134"/>
      <c r="X867" s="134"/>
      <c r="Y867" s="134"/>
    </row>
    <row r="868">
      <c r="A868" s="126"/>
      <c r="B868" s="127"/>
      <c r="C868" s="135"/>
      <c r="D868" s="144"/>
      <c r="E868" s="74" t="s">
        <v>56</v>
      </c>
      <c r="F868" s="63" t="s">
        <v>56</v>
      </c>
      <c r="G868" s="129"/>
      <c r="H868" s="133"/>
      <c r="I868" s="129"/>
      <c r="J868" s="130"/>
      <c r="K868" s="130"/>
      <c r="L868" s="130"/>
      <c r="M868" s="130"/>
      <c r="N868" s="140"/>
      <c r="O868" s="150"/>
      <c r="P868" s="150"/>
      <c r="Q868" s="134"/>
      <c r="R868" s="134"/>
      <c r="S868" s="134"/>
      <c r="T868" s="134"/>
      <c r="U868" s="134"/>
      <c r="V868" s="134"/>
      <c r="W868" s="134"/>
      <c r="X868" s="134"/>
      <c r="Y868" s="134"/>
    </row>
    <row r="869">
      <c r="A869" s="126"/>
      <c r="B869" s="127"/>
      <c r="C869" s="135"/>
      <c r="D869" s="144"/>
      <c r="E869" s="74" t="s">
        <v>56</v>
      </c>
      <c r="F869" s="63" t="s">
        <v>56</v>
      </c>
      <c r="G869" s="129"/>
      <c r="H869" s="133"/>
      <c r="I869" s="129"/>
      <c r="J869" s="130"/>
      <c r="K869" s="130"/>
      <c r="L869" s="130"/>
      <c r="M869" s="130"/>
      <c r="N869" s="140"/>
      <c r="O869" s="150"/>
      <c r="P869" s="150"/>
      <c r="Q869" s="134"/>
      <c r="R869" s="134"/>
      <c r="S869" s="134"/>
      <c r="T869" s="134"/>
      <c r="U869" s="134"/>
      <c r="V869" s="134"/>
      <c r="W869" s="134"/>
      <c r="X869" s="134"/>
      <c r="Y869" s="134"/>
    </row>
    <row r="870">
      <c r="A870" s="126"/>
      <c r="B870" s="127"/>
      <c r="C870" s="135"/>
      <c r="D870" s="144"/>
      <c r="E870" s="74" t="s">
        <v>56</v>
      </c>
      <c r="F870" s="63" t="s">
        <v>56</v>
      </c>
      <c r="G870" s="129"/>
      <c r="H870" s="133"/>
      <c r="I870" s="129"/>
      <c r="J870" s="130"/>
      <c r="K870" s="130"/>
      <c r="L870" s="130"/>
      <c r="M870" s="130"/>
      <c r="N870" s="140"/>
      <c r="O870" s="150"/>
      <c r="P870" s="150"/>
      <c r="Q870" s="134"/>
      <c r="R870" s="134"/>
      <c r="S870" s="134"/>
      <c r="T870" s="134"/>
      <c r="U870" s="134"/>
      <c r="V870" s="134"/>
      <c r="W870" s="134"/>
      <c r="X870" s="134"/>
      <c r="Y870" s="134"/>
    </row>
    <row r="871">
      <c r="A871" s="126"/>
      <c r="B871" s="127"/>
      <c r="C871" s="135"/>
      <c r="D871" s="144"/>
      <c r="E871" s="74" t="s">
        <v>56</v>
      </c>
      <c r="F871" s="63" t="s">
        <v>56</v>
      </c>
      <c r="G871" s="129"/>
      <c r="H871" s="133"/>
      <c r="I871" s="129"/>
      <c r="J871" s="130"/>
      <c r="K871" s="130"/>
      <c r="L871" s="130"/>
      <c r="M871" s="130"/>
      <c r="N871" s="140"/>
      <c r="O871" s="150"/>
      <c r="P871" s="150"/>
      <c r="Q871" s="134"/>
      <c r="R871" s="134"/>
      <c r="S871" s="134"/>
      <c r="T871" s="134"/>
      <c r="U871" s="134"/>
      <c r="V871" s="134"/>
      <c r="W871" s="134"/>
      <c r="X871" s="134"/>
      <c r="Y871" s="134"/>
    </row>
    <row r="872">
      <c r="A872" s="126"/>
      <c r="B872" s="127"/>
      <c r="C872" s="135"/>
      <c r="D872" s="144"/>
      <c r="E872" s="74" t="s">
        <v>56</v>
      </c>
      <c r="F872" s="63" t="s">
        <v>56</v>
      </c>
      <c r="G872" s="129"/>
      <c r="H872" s="133"/>
      <c r="I872" s="129"/>
      <c r="J872" s="130"/>
      <c r="K872" s="130"/>
      <c r="L872" s="130"/>
      <c r="M872" s="130"/>
      <c r="N872" s="140"/>
      <c r="O872" s="150"/>
      <c r="P872" s="150"/>
      <c r="Q872" s="134"/>
      <c r="R872" s="134"/>
      <c r="S872" s="134"/>
      <c r="T872" s="134"/>
      <c r="U872" s="134"/>
      <c r="V872" s="134"/>
      <c r="W872" s="134"/>
      <c r="X872" s="134"/>
      <c r="Y872" s="134"/>
    </row>
    <row r="873">
      <c r="A873" s="126"/>
      <c r="B873" s="127"/>
      <c r="C873" s="135"/>
      <c r="D873" s="144"/>
      <c r="E873" s="74" t="s">
        <v>56</v>
      </c>
      <c r="F873" s="63" t="s">
        <v>56</v>
      </c>
      <c r="G873" s="129"/>
      <c r="H873" s="133"/>
      <c r="I873" s="129"/>
      <c r="J873" s="130"/>
      <c r="K873" s="130"/>
      <c r="L873" s="130"/>
      <c r="M873" s="130"/>
      <c r="N873" s="140"/>
      <c r="O873" s="150"/>
      <c r="P873" s="150"/>
      <c r="Q873" s="134"/>
      <c r="R873" s="134"/>
      <c r="S873" s="134"/>
      <c r="T873" s="134"/>
      <c r="U873" s="134"/>
      <c r="V873" s="134"/>
      <c r="W873" s="134"/>
      <c r="X873" s="134"/>
      <c r="Y873" s="134"/>
    </row>
    <row r="874">
      <c r="A874" s="126"/>
      <c r="B874" s="127"/>
      <c r="C874" s="135"/>
      <c r="D874" s="144"/>
      <c r="E874" s="74" t="s">
        <v>56</v>
      </c>
      <c r="F874" s="63" t="s">
        <v>56</v>
      </c>
      <c r="G874" s="129"/>
      <c r="H874" s="133"/>
      <c r="I874" s="129"/>
      <c r="J874" s="130"/>
      <c r="K874" s="130"/>
      <c r="L874" s="130"/>
      <c r="M874" s="130"/>
      <c r="N874" s="140"/>
      <c r="O874" s="150"/>
      <c r="P874" s="150"/>
      <c r="Q874" s="134"/>
      <c r="R874" s="134"/>
      <c r="S874" s="134"/>
      <c r="T874" s="134"/>
      <c r="U874" s="134"/>
      <c r="V874" s="134"/>
      <c r="W874" s="134"/>
      <c r="X874" s="134"/>
      <c r="Y874" s="134"/>
    </row>
    <row r="875">
      <c r="A875" s="126"/>
      <c r="B875" s="127"/>
      <c r="C875" s="135"/>
      <c r="D875" s="144"/>
      <c r="E875" s="74" t="s">
        <v>56</v>
      </c>
      <c r="F875" s="63" t="s">
        <v>56</v>
      </c>
      <c r="G875" s="129"/>
      <c r="H875" s="133"/>
      <c r="I875" s="129"/>
      <c r="J875" s="130"/>
      <c r="K875" s="130"/>
      <c r="L875" s="130"/>
      <c r="M875" s="130"/>
      <c r="N875" s="140"/>
      <c r="O875" s="150"/>
      <c r="P875" s="150"/>
      <c r="Q875" s="134"/>
      <c r="R875" s="134"/>
      <c r="S875" s="134"/>
      <c r="T875" s="134"/>
      <c r="U875" s="134"/>
      <c r="V875" s="134"/>
      <c r="W875" s="134"/>
      <c r="X875" s="134"/>
      <c r="Y875" s="134"/>
    </row>
    <row r="876">
      <c r="A876" s="126"/>
      <c r="B876" s="127"/>
      <c r="C876" s="135"/>
      <c r="D876" s="144"/>
      <c r="E876" s="74" t="s">
        <v>56</v>
      </c>
      <c r="F876" s="63" t="s">
        <v>56</v>
      </c>
      <c r="G876" s="129"/>
      <c r="H876" s="133"/>
      <c r="I876" s="129"/>
      <c r="J876" s="130"/>
      <c r="K876" s="130"/>
      <c r="L876" s="130"/>
      <c r="M876" s="130"/>
      <c r="N876" s="140"/>
      <c r="O876" s="150"/>
      <c r="P876" s="150"/>
      <c r="Q876" s="134"/>
      <c r="R876" s="134"/>
      <c r="S876" s="134"/>
      <c r="T876" s="134"/>
      <c r="U876" s="134"/>
      <c r="V876" s="134"/>
      <c r="W876" s="134"/>
      <c r="X876" s="134"/>
      <c r="Y876" s="134"/>
    </row>
    <row r="877">
      <c r="A877" s="126"/>
      <c r="B877" s="127"/>
      <c r="C877" s="135"/>
      <c r="D877" s="144"/>
      <c r="E877" s="74" t="s">
        <v>56</v>
      </c>
      <c r="F877" s="63" t="s">
        <v>56</v>
      </c>
      <c r="G877" s="129"/>
      <c r="H877" s="133"/>
      <c r="I877" s="129"/>
      <c r="J877" s="130"/>
      <c r="K877" s="130"/>
      <c r="L877" s="130"/>
      <c r="M877" s="130"/>
      <c r="N877" s="140"/>
      <c r="O877" s="150"/>
      <c r="P877" s="150"/>
      <c r="Q877" s="134"/>
      <c r="R877" s="134"/>
      <c r="S877" s="134"/>
      <c r="T877" s="134"/>
      <c r="U877" s="134"/>
      <c r="V877" s="134"/>
      <c r="W877" s="134"/>
      <c r="X877" s="134"/>
      <c r="Y877" s="134"/>
    </row>
    <row r="878">
      <c r="A878" s="126"/>
      <c r="B878" s="127"/>
      <c r="C878" s="135"/>
      <c r="D878" s="144"/>
      <c r="E878" s="74" t="s">
        <v>56</v>
      </c>
      <c r="F878" s="63" t="s">
        <v>56</v>
      </c>
      <c r="G878" s="129"/>
      <c r="H878" s="133"/>
      <c r="I878" s="129"/>
      <c r="J878" s="130"/>
      <c r="K878" s="130"/>
      <c r="L878" s="130"/>
      <c r="M878" s="130"/>
      <c r="N878" s="140"/>
      <c r="O878" s="150"/>
      <c r="P878" s="150"/>
      <c r="Q878" s="134"/>
      <c r="R878" s="134"/>
      <c r="S878" s="134"/>
      <c r="T878" s="134"/>
      <c r="U878" s="134"/>
      <c r="V878" s="134"/>
      <c r="W878" s="134"/>
      <c r="X878" s="134"/>
      <c r="Y878" s="134"/>
    </row>
    <row r="879">
      <c r="A879" s="126"/>
      <c r="B879" s="127"/>
      <c r="C879" s="135"/>
      <c r="D879" s="144"/>
      <c r="E879" s="74" t="s">
        <v>56</v>
      </c>
      <c r="F879" s="63" t="s">
        <v>56</v>
      </c>
      <c r="G879" s="129"/>
      <c r="H879" s="133"/>
      <c r="I879" s="129"/>
      <c r="J879" s="130"/>
      <c r="K879" s="130"/>
      <c r="L879" s="130"/>
      <c r="M879" s="130"/>
      <c r="N879" s="140"/>
      <c r="O879" s="150"/>
      <c r="P879" s="150"/>
      <c r="Q879" s="134"/>
      <c r="R879" s="134"/>
      <c r="S879" s="134"/>
      <c r="T879" s="134"/>
      <c r="U879" s="134"/>
      <c r="V879" s="134"/>
      <c r="W879" s="134"/>
      <c r="X879" s="134"/>
      <c r="Y879" s="134"/>
    </row>
    <row r="880">
      <c r="A880" s="126"/>
      <c r="B880" s="127"/>
      <c r="C880" s="135"/>
      <c r="D880" s="144"/>
      <c r="E880" s="74" t="s">
        <v>56</v>
      </c>
      <c r="F880" s="63" t="s">
        <v>56</v>
      </c>
      <c r="G880" s="129"/>
      <c r="H880" s="133"/>
      <c r="I880" s="129"/>
      <c r="J880" s="130"/>
      <c r="K880" s="130"/>
      <c r="L880" s="130"/>
      <c r="M880" s="130"/>
      <c r="N880" s="140"/>
      <c r="O880" s="150"/>
      <c r="P880" s="150"/>
      <c r="Q880" s="134"/>
      <c r="R880" s="134"/>
      <c r="S880" s="134"/>
      <c r="T880" s="134"/>
      <c r="U880" s="134"/>
      <c r="V880" s="134"/>
      <c r="W880" s="134"/>
      <c r="X880" s="134"/>
      <c r="Y880" s="134"/>
    </row>
    <row r="881">
      <c r="A881" s="126"/>
      <c r="B881" s="127"/>
      <c r="C881" s="135"/>
      <c r="D881" s="144"/>
      <c r="E881" s="74" t="s">
        <v>56</v>
      </c>
      <c r="F881" s="63" t="s">
        <v>56</v>
      </c>
      <c r="G881" s="129"/>
      <c r="H881" s="133"/>
      <c r="I881" s="129"/>
      <c r="J881" s="130"/>
      <c r="K881" s="130"/>
      <c r="L881" s="130"/>
      <c r="M881" s="130"/>
      <c r="N881" s="140"/>
      <c r="O881" s="150"/>
      <c r="P881" s="150"/>
      <c r="Q881" s="134"/>
      <c r="R881" s="134"/>
      <c r="S881" s="134"/>
      <c r="T881" s="134"/>
      <c r="U881" s="134"/>
      <c r="V881" s="134"/>
      <c r="W881" s="134"/>
      <c r="X881" s="134"/>
      <c r="Y881" s="134"/>
    </row>
    <row r="882">
      <c r="A882" s="126"/>
      <c r="B882" s="127"/>
      <c r="C882" s="135"/>
      <c r="D882" s="144"/>
      <c r="E882" s="74" t="s">
        <v>56</v>
      </c>
      <c r="F882" s="63" t="s">
        <v>56</v>
      </c>
      <c r="G882" s="129"/>
      <c r="H882" s="133"/>
      <c r="I882" s="129"/>
      <c r="J882" s="130"/>
      <c r="K882" s="130"/>
      <c r="L882" s="130"/>
      <c r="M882" s="130"/>
      <c r="N882" s="140"/>
      <c r="O882" s="150"/>
      <c r="P882" s="150"/>
      <c r="Q882" s="134"/>
      <c r="R882" s="134"/>
      <c r="S882" s="134"/>
      <c r="T882" s="134"/>
      <c r="U882" s="134"/>
      <c r="V882" s="134"/>
      <c r="W882" s="134"/>
      <c r="X882" s="134"/>
      <c r="Y882" s="134"/>
    </row>
    <row r="883">
      <c r="A883" s="126"/>
      <c r="B883" s="127"/>
      <c r="C883" s="135"/>
      <c r="D883" s="144"/>
      <c r="E883" s="74" t="s">
        <v>56</v>
      </c>
      <c r="F883" s="63" t="s">
        <v>56</v>
      </c>
      <c r="G883" s="129"/>
      <c r="H883" s="133"/>
      <c r="I883" s="129"/>
      <c r="J883" s="130"/>
      <c r="K883" s="130"/>
      <c r="L883" s="130"/>
      <c r="M883" s="130"/>
      <c r="N883" s="140"/>
      <c r="O883" s="150"/>
      <c r="P883" s="150"/>
      <c r="Q883" s="134"/>
      <c r="R883" s="134"/>
      <c r="S883" s="134"/>
      <c r="T883" s="134"/>
      <c r="U883" s="134"/>
      <c r="V883" s="134"/>
      <c r="W883" s="134"/>
      <c r="X883" s="134"/>
      <c r="Y883" s="134"/>
    </row>
    <row r="884">
      <c r="A884" s="126"/>
      <c r="B884" s="127"/>
      <c r="C884" s="135"/>
      <c r="D884" s="144"/>
      <c r="E884" s="74" t="s">
        <v>56</v>
      </c>
      <c r="F884" s="63" t="s">
        <v>56</v>
      </c>
      <c r="G884" s="129"/>
      <c r="H884" s="133"/>
      <c r="I884" s="129"/>
      <c r="J884" s="130"/>
      <c r="K884" s="130"/>
      <c r="L884" s="130"/>
      <c r="M884" s="130"/>
      <c r="N884" s="140"/>
      <c r="O884" s="150"/>
      <c r="P884" s="150"/>
      <c r="Q884" s="134"/>
      <c r="R884" s="134"/>
      <c r="S884" s="134"/>
      <c r="T884" s="134"/>
      <c r="U884" s="134"/>
      <c r="V884" s="134"/>
      <c r="W884" s="134"/>
      <c r="X884" s="134"/>
      <c r="Y884" s="134"/>
    </row>
    <row r="885">
      <c r="A885" s="126"/>
      <c r="B885" s="127"/>
      <c r="C885" s="135"/>
      <c r="D885" s="144"/>
      <c r="E885" s="74" t="s">
        <v>56</v>
      </c>
      <c r="F885" s="63" t="s">
        <v>56</v>
      </c>
      <c r="G885" s="129"/>
      <c r="H885" s="133"/>
      <c r="I885" s="129"/>
      <c r="J885" s="130"/>
      <c r="K885" s="130"/>
      <c r="L885" s="130"/>
      <c r="M885" s="130"/>
      <c r="N885" s="140"/>
      <c r="O885" s="150"/>
      <c r="P885" s="150"/>
      <c r="Q885" s="134"/>
      <c r="R885" s="134"/>
      <c r="S885" s="134"/>
      <c r="T885" s="134"/>
      <c r="U885" s="134"/>
      <c r="V885" s="134"/>
      <c r="W885" s="134"/>
      <c r="X885" s="134"/>
      <c r="Y885" s="134"/>
    </row>
    <row r="886">
      <c r="A886" s="126"/>
      <c r="B886" s="127"/>
      <c r="C886" s="135"/>
      <c r="D886" s="144"/>
      <c r="E886" s="74" t="s">
        <v>56</v>
      </c>
      <c r="F886" s="63" t="s">
        <v>56</v>
      </c>
      <c r="G886" s="129"/>
      <c r="H886" s="133"/>
      <c r="I886" s="129"/>
      <c r="J886" s="130"/>
      <c r="K886" s="130"/>
      <c r="L886" s="130"/>
      <c r="M886" s="130"/>
      <c r="N886" s="140"/>
      <c r="O886" s="150"/>
      <c r="P886" s="150"/>
      <c r="Q886" s="134"/>
      <c r="R886" s="134"/>
      <c r="S886" s="134"/>
      <c r="T886" s="134"/>
      <c r="U886" s="134"/>
      <c r="V886" s="134"/>
      <c r="W886" s="134"/>
      <c r="X886" s="134"/>
      <c r="Y886" s="134"/>
    </row>
    <row r="887">
      <c r="A887" s="126"/>
      <c r="B887" s="127"/>
      <c r="C887" s="135"/>
      <c r="D887" s="144"/>
      <c r="E887" s="74" t="s">
        <v>56</v>
      </c>
      <c r="F887" s="63" t="s">
        <v>56</v>
      </c>
      <c r="G887" s="129"/>
      <c r="H887" s="133"/>
      <c r="I887" s="129"/>
      <c r="J887" s="130"/>
      <c r="K887" s="130"/>
      <c r="L887" s="130"/>
      <c r="M887" s="130"/>
      <c r="N887" s="140"/>
      <c r="O887" s="150"/>
      <c r="P887" s="150"/>
      <c r="Q887" s="134"/>
      <c r="R887" s="134"/>
      <c r="S887" s="134"/>
      <c r="T887" s="134"/>
      <c r="U887" s="134"/>
      <c r="V887" s="134"/>
      <c r="W887" s="134"/>
      <c r="X887" s="134"/>
      <c r="Y887" s="134"/>
    </row>
    <row r="888">
      <c r="A888" s="126"/>
      <c r="B888" s="127"/>
      <c r="C888" s="135"/>
      <c r="D888" s="144"/>
      <c r="E888" s="74" t="s">
        <v>56</v>
      </c>
      <c r="F888" s="63" t="s">
        <v>56</v>
      </c>
      <c r="G888" s="129"/>
      <c r="H888" s="133"/>
      <c r="I888" s="129"/>
      <c r="J888" s="130"/>
      <c r="K888" s="130"/>
      <c r="L888" s="130"/>
      <c r="M888" s="130"/>
      <c r="N888" s="140"/>
      <c r="O888" s="150"/>
      <c r="P888" s="150"/>
      <c r="Q888" s="134"/>
      <c r="R888" s="134"/>
      <c r="S888" s="134"/>
      <c r="T888" s="134"/>
      <c r="U888" s="134"/>
      <c r="V888" s="134"/>
      <c r="W888" s="134"/>
      <c r="X888" s="134"/>
      <c r="Y888" s="134"/>
    </row>
    <row r="889">
      <c r="A889" s="126"/>
      <c r="B889" s="127"/>
      <c r="C889" s="135"/>
      <c r="D889" s="144"/>
      <c r="E889" s="74" t="s">
        <v>56</v>
      </c>
      <c r="F889" s="63" t="s">
        <v>56</v>
      </c>
      <c r="G889" s="129"/>
      <c r="H889" s="133"/>
      <c r="I889" s="129"/>
      <c r="J889" s="130"/>
      <c r="K889" s="130"/>
      <c r="L889" s="130"/>
      <c r="M889" s="130"/>
      <c r="N889" s="140"/>
      <c r="O889" s="150"/>
      <c r="P889" s="150"/>
      <c r="Q889" s="134"/>
      <c r="R889" s="134"/>
      <c r="S889" s="134"/>
      <c r="T889" s="134"/>
      <c r="U889" s="134"/>
      <c r="V889" s="134"/>
      <c r="W889" s="134"/>
      <c r="X889" s="134"/>
      <c r="Y889" s="134"/>
    </row>
    <row r="890">
      <c r="A890" s="126"/>
      <c r="B890" s="127"/>
      <c r="C890" s="135"/>
      <c r="D890" s="144"/>
      <c r="E890" s="74" t="s">
        <v>56</v>
      </c>
      <c r="F890" s="63" t="s">
        <v>56</v>
      </c>
      <c r="G890" s="129"/>
      <c r="H890" s="133"/>
      <c r="I890" s="129"/>
      <c r="J890" s="130"/>
      <c r="K890" s="130"/>
      <c r="L890" s="130"/>
      <c r="M890" s="130"/>
      <c r="N890" s="140"/>
      <c r="O890" s="150"/>
      <c r="P890" s="150"/>
      <c r="Q890" s="134"/>
      <c r="R890" s="134"/>
      <c r="S890" s="134"/>
      <c r="T890" s="134"/>
      <c r="U890" s="134"/>
      <c r="V890" s="134"/>
      <c r="W890" s="134"/>
      <c r="X890" s="134"/>
      <c r="Y890" s="134"/>
    </row>
    <row r="891">
      <c r="A891" s="126"/>
      <c r="B891" s="127"/>
      <c r="C891" s="135"/>
      <c r="D891" s="144"/>
      <c r="E891" s="74" t="s">
        <v>56</v>
      </c>
      <c r="F891" s="63" t="s">
        <v>56</v>
      </c>
      <c r="G891" s="129"/>
      <c r="H891" s="133"/>
      <c r="I891" s="129"/>
      <c r="J891" s="130"/>
      <c r="K891" s="130"/>
      <c r="L891" s="130"/>
      <c r="M891" s="130"/>
      <c r="N891" s="140"/>
      <c r="O891" s="150"/>
      <c r="P891" s="150"/>
      <c r="Q891" s="134"/>
      <c r="R891" s="134"/>
      <c r="S891" s="134"/>
      <c r="T891" s="134"/>
      <c r="U891" s="134"/>
      <c r="V891" s="134"/>
      <c r="W891" s="134"/>
      <c r="X891" s="134"/>
      <c r="Y891" s="134"/>
    </row>
    <row r="892">
      <c r="A892" s="126"/>
      <c r="B892" s="127"/>
      <c r="C892" s="135"/>
      <c r="D892" s="144"/>
      <c r="E892" s="74" t="s">
        <v>56</v>
      </c>
      <c r="F892" s="63" t="s">
        <v>56</v>
      </c>
      <c r="G892" s="129"/>
      <c r="H892" s="133"/>
      <c r="I892" s="129"/>
      <c r="J892" s="130"/>
      <c r="K892" s="130"/>
      <c r="L892" s="130"/>
      <c r="M892" s="130"/>
      <c r="N892" s="140"/>
      <c r="O892" s="150"/>
      <c r="P892" s="150"/>
      <c r="Q892" s="134"/>
      <c r="R892" s="134"/>
      <c r="S892" s="134"/>
      <c r="T892" s="134"/>
      <c r="U892" s="134"/>
      <c r="V892" s="134"/>
      <c r="W892" s="134"/>
      <c r="X892" s="134"/>
      <c r="Y892" s="134"/>
    </row>
    <row r="893">
      <c r="A893" s="126"/>
      <c r="B893" s="127"/>
      <c r="C893" s="135"/>
      <c r="D893" s="144"/>
      <c r="E893" s="74" t="s">
        <v>56</v>
      </c>
      <c r="F893" s="63" t="s">
        <v>56</v>
      </c>
      <c r="G893" s="129"/>
      <c r="H893" s="133"/>
      <c r="I893" s="129"/>
      <c r="J893" s="130"/>
      <c r="K893" s="130"/>
      <c r="L893" s="130"/>
      <c r="M893" s="130"/>
      <c r="N893" s="140"/>
      <c r="O893" s="150"/>
      <c r="P893" s="150"/>
      <c r="Q893" s="134"/>
      <c r="R893" s="134"/>
      <c r="S893" s="134"/>
      <c r="T893" s="134"/>
      <c r="U893" s="134"/>
      <c r="V893" s="134"/>
      <c r="W893" s="134"/>
      <c r="X893" s="134"/>
      <c r="Y893" s="134"/>
    </row>
    <row r="894">
      <c r="A894" s="126"/>
      <c r="B894" s="127"/>
      <c r="C894" s="135"/>
      <c r="D894" s="144"/>
      <c r="E894" s="74" t="s">
        <v>56</v>
      </c>
      <c r="F894" s="63" t="s">
        <v>56</v>
      </c>
      <c r="G894" s="129"/>
      <c r="H894" s="133"/>
      <c r="I894" s="129"/>
      <c r="J894" s="130"/>
      <c r="K894" s="130"/>
      <c r="L894" s="130"/>
      <c r="M894" s="130"/>
      <c r="N894" s="140"/>
      <c r="O894" s="150"/>
      <c r="P894" s="150"/>
      <c r="Q894" s="134"/>
      <c r="R894" s="134"/>
      <c r="S894" s="134"/>
      <c r="T894" s="134"/>
      <c r="U894" s="134"/>
      <c r="V894" s="134"/>
      <c r="W894" s="134"/>
      <c r="X894" s="134"/>
      <c r="Y894" s="134"/>
    </row>
    <row r="895">
      <c r="A895" s="126"/>
      <c r="B895" s="127"/>
      <c r="C895" s="135"/>
      <c r="D895" s="144"/>
      <c r="E895" s="74" t="s">
        <v>56</v>
      </c>
      <c r="F895" s="63" t="s">
        <v>56</v>
      </c>
      <c r="G895" s="129"/>
      <c r="H895" s="133"/>
      <c r="I895" s="129"/>
      <c r="J895" s="130"/>
      <c r="K895" s="130"/>
      <c r="L895" s="130"/>
      <c r="M895" s="130"/>
      <c r="N895" s="140"/>
      <c r="O895" s="150"/>
      <c r="P895" s="150"/>
      <c r="Q895" s="134"/>
      <c r="R895" s="134"/>
      <c r="S895" s="134"/>
      <c r="T895" s="134"/>
      <c r="U895" s="134"/>
      <c r="V895" s="134"/>
      <c r="W895" s="134"/>
      <c r="X895" s="134"/>
      <c r="Y895" s="134"/>
    </row>
    <row r="896">
      <c r="A896" s="126"/>
      <c r="B896" s="127"/>
      <c r="C896" s="135"/>
      <c r="D896" s="144"/>
      <c r="E896" s="74" t="s">
        <v>56</v>
      </c>
      <c r="F896" s="63" t="s">
        <v>56</v>
      </c>
      <c r="G896" s="129"/>
      <c r="H896" s="133"/>
      <c r="I896" s="129"/>
      <c r="J896" s="130"/>
      <c r="K896" s="130"/>
      <c r="L896" s="130"/>
      <c r="M896" s="130"/>
      <c r="N896" s="140"/>
      <c r="O896" s="150"/>
      <c r="P896" s="150"/>
      <c r="Q896" s="134"/>
      <c r="R896" s="134"/>
      <c r="S896" s="134"/>
      <c r="T896" s="134"/>
      <c r="U896" s="134"/>
      <c r="V896" s="134"/>
      <c r="W896" s="134"/>
      <c r="X896" s="134"/>
      <c r="Y896" s="134"/>
    </row>
    <row r="897">
      <c r="A897" s="126"/>
      <c r="B897" s="127"/>
      <c r="C897" s="135"/>
      <c r="D897" s="144"/>
      <c r="E897" s="74" t="s">
        <v>56</v>
      </c>
      <c r="F897" s="63" t="s">
        <v>56</v>
      </c>
      <c r="G897" s="129"/>
      <c r="H897" s="133"/>
      <c r="I897" s="129"/>
      <c r="J897" s="130"/>
      <c r="K897" s="130"/>
      <c r="L897" s="130"/>
      <c r="M897" s="130"/>
      <c r="N897" s="140"/>
      <c r="O897" s="150"/>
      <c r="P897" s="150"/>
      <c r="Q897" s="134"/>
      <c r="R897" s="134"/>
      <c r="S897" s="134"/>
      <c r="T897" s="134"/>
      <c r="U897" s="134"/>
      <c r="V897" s="134"/>
      <c r="W897" s="134"/>
      <c r="X897" s="134"/>
      <c r="Y897" s="134"/>
    </row>
    <row r="898">
      <c r="A898" s="126"/>
      <c r="B898" s="127"/>
      <c r="C898" s="135"/>
      <c r="D898" s="144"/>
      <c r="E898" s="74" t="s">
        <v>56</v>
      </c>
      <c r="F898" s="63" t="s">
        <v>56</v>
      </c>
      <c r="G898" s="129"/>
      <c r="H898" s="133"/>
      <c r="I898" s="129"/>
      <c r="J898" s="130"/>
      <c r="K898" s="130"/>
      <c r="L898" s="130"/>
      <c r="M898" s="130"/>
      <c r="N898" s="140"/>
      <c r="O898" s="150"/>
      <c r="P898" s="150"/>
      <c r="Q898" s="134"/>
      <c r="R898" s="134"/>
      <c r="S898" s="134"/>
      <c r="T898" s="134"/>
      <c r="U898" s="134"/>
      <c r="V898" s="134"/>
      <c r="W898" s="134"/>
      <c r="X898" s="134"/>
      <c r="Y898" s="134"/>
    </row>
    <row r="899">
      <c r="A899" s="126"/>
      <c r="B899" s="127"/>
      <c r="C899" s="135"/>
      <c r="D899" s="144"/>
      <c r="E899" s="74" t="s">
        <v>56</v>
      </c>
      <c r="F899" s="63" t="s">
        <v>56</v>
      </c>
      <c r="G899" s="129"/>
      <c r="H899" s="133"/>
      <c r="I899" s="129"/>
      <c r="J899" s="130"/>
      <c r="K899" s="130"/>
      <c r="L899" s="130"/>
      <c r="M899" s="130"/>
      <c r="N899" s="140"/>
      <c r="O899" s="150"/>
      <c r="P899" s="150"/>
      <c r="Q899" s="134"/>
      <c r="R899" s="134"/>
      <c r="S899" s="134"/>
      <c r="T899" s="134"/>
      <c r="U899" s="134"/>
      <c r="V899" s="134"/>
      <c r="W899" s="134"/>
      <c r="X899" s="134"/>
      <c r="Y899" s="134"/>
    </row>
    <row r="900">
      <c r="A900" s="126"/>
      <c r="B900" s="127"/>
      <c r="C900" s="135"/>
      <c r="D900" s="144"/>
      <c r="E900" s="74" t="s">
        <v>56</v>
      </c>
      <c r="F900" s="63" t="s">
        <v>56</v>
      </c>
      <c r="G900" s="129"/>
      <c r="H900" s="133"/>
      <c r="I900" s="129"/>
      <c r="J900" s="130"/>
      <c r="K900" s="130"/>
      <c r="L900" s="130"/>
      <c r="M900" s="130"/>
      <c r="N900" s="140"/>
      <c r="O900" s="150"/>
      <c r="P900" s="150"/>
      <c r="Q900" s="134"/>
      <c r="R900" s="134"/>
      <c r="S900" s="134"/>
      <c r="T900" s="134"/>
      <c r="U900" s="134"/>
      <c r="V900" s="134"/>
      <c r="W900" s="134"/>
      <c r="X900" s="134"/>
      <c r="Y900" s="134"/>
    </row>
    <row r="901">
      <c r="A901" s="126"/>
      <c r="B901" s="127"/>
      <c r="C901" s="135"/>
      <c r="D901" s="144"/>
      <c r="E901" s="74" t="s">
        <v>56</v>
      </c>
      <c r="F901" s="63" t="s">
        <v>56</v>
      </c>
      <c r="G901" s="129"/>
      <c r="H901" s="133"/>
      <c r="I901" s="129"/>
      <c r="J901" s="130"/>
      <c r="K901" s="130"/>
      <c r="L901" s="130"/>
      <c r="M901" s="130"/>
      <c r="N901" s="140"/>
      <c r="O901" s="150"/>
      <c r="P901" s="150"/>
      <c r="Q901" s="134"/>
      <c r="R901" s="134"/>
      <c r="S901" s="134"/>
      <c r="T901" s="134"/>
      <c r="U901" s="134"/>
      <c r="V901" s="134"/>
      <c r="W901" s="134"/>
      <c r="X901" s="134"/>
      <c r="Y901" s="134"/>
    </row>
    <row r="902">
      <c r="A902" s="126"/>
      <c r="B902" s="127"/>
      <c r="C902" s="135"/>
      <c r="D902" s="144"/>
      <c r="E902" s="74" t="s">
        <v>56</v>
      </c>
      <c r="F902" s="63" t="s">
        <v>56</v>
      </c>
      <c r="G902" s="129"/>
      <c r="H902" s="133"/>
      <c r="I902" s="129"/>
      <c r="J902" s="130"/>
      <c r="K902" s="130"/>
      <c r="L902" s="130"/>
      <c r="M902" s="130"/>
      <c r="N902" s="140"/>
      <c r="O902" s="150"/>
      <c r="P902" s="150"/>
      <c r="Q902" s="134"/>
      <c r="R902" s="134"/>
      <c r="S902" s="134"/>
      <c r="T902" s="134"/>
      <c r="U902" s="134"/>
      <c r="V902" s="134"/>
      <c r="W902" s="134"/>
      <c r="X902" s="134"/>
      <c r="Y902" s="134"/>
    </row>
    <row r="903">
      <c r="A903" s="126"/>
      <c r="B903" s="127"/>
      <c r="C903" s="135"/>
      <c r="D903" s="144"/>
      <c r="E903" s="74" t="s">
        <v>56</v>
      </c>
      <c r="F903" s="63" t="s">
        <v>56</v>
      </c>
      <c r="G903" s="129"/>
      <c r="H903" s="133"/>
      <c r="I903" s="129"/>
      <c r="J903" s="130"/>
      <c r="K903" s="130"/>
      <c r="L903" s="130"/>
      <c r="M903" s="130"/>
      <c r="N903" s="140"/>
      <c r="O903" s="150"/>
      <c r="P903" s="150"/>
      <c r="Q903" s="134"/>
      <c r="R903" s="134"/>
      <c r="S903" s="134"/>
      <c r="T903" s="134"/>
      <c r="U903" s="134"/>
      <c r="V903" s="134"/>
      <c r="W903" s="134"/>
      <c r="X903" s="134"/>
      <c r="Y903" s="134"/>
    </row>
    <row r="904">
      <c r="A904" s="126"/>
      <c r="B904" s="127"/>
      <c r="C904" s="135"/>
      <c r="D904" s="144"/>
      <c r="E904" s="74" t="s">
        <v>56</v>
      </c>
      <c r="F904" s="63" t="s">
        <v>56</v>
      </c>
      <c r="G904" s="129"/>
      <c r="H904" s="133"/>
      <c r="I904" s="129"/>
      <c r="J904" s="130"/>
      <c r="K904" s="130"/>
      <c r="L904" s="130"/>
      <c r="M904" s="130"/>
      <c r="N904" s="140"/>
      <c r="O904" s="150"/>
      <c r="P904" s="150"/>
      <c r="Q904" s="134"/>
      <c r="R904" s="134"/>
      <c r="S904" s="134"/>
      <c r="T904" s="134"/>
      <c r="U904" s="134"/>
      <c r="V904" s="134"/>
      <c r="W904" s="134"/>
      <c r="X904" s="134"/>
      <c r="Y904" s="134"/>
    </row>
    <row r="905">
      <c r="A905" s="126"/>
      <c r="B905" s="127"/>
      <c r="C905" s="135"/>
      <c r="D905" s="144"/>
      <c r="E905" s="74" t="s">
        <v>56</v>
      </c>
      <c r="F905" s="63" t="s">
        <v>56</v>
      </c>
      <c r="G905" s="129"/>
      <c r="H905" s="133"/>
      <c r="I905" s="129"/>
      <c r="J905" s="130"/>
      <c r="K905" s="130"/>
      <c r="L905" s="130"/>
      <c r="M905" s="130"/>
      <c r="N905" s="140"/>
      <c r="O905" s="150"/>
      <c r="P905" s="150"/>
      <c r="Q905" s="134"/>
      <c r="R905" s="134"/>
      <c r="S905" s="134"/>
      <c r="T905" s="134"/>
      <c r="U905" s="134"/>
      <c r="V905" s="134"/>
      <c r="W905" s="134"/>
      <c r="X905" s="134"/>
      <c r="Y905" s="134"/>
    </row>
    <row r="906">
      <c r="A906" s="126"/>
      <c r="B906" s="127"/>
      <c r="C906" s="135"/>
      <c r="D906" s="144"/>
      <c r="E906" s="74" t="s">
        <v>56</v>
      </c>
      <c r="F906" s="63" t="s">
        <v>56</v>
      </c>
      <c r="G906" s="129"/>
      <c r="H906" s="133"/>
      <c r="I906" s="129"/>
      <c r="J906" s="130"/>
      <c r="K906" s="130"/>
      <c r="L906" s="130"/>
      <c r="M906" s="130"/>
      <c r="N906" s="140"/>
      <c r="O906" s="150"/>
      <c r="P906" s="150"/>
      <c r="Q906" s="134"/>
      <c r="R906" s="134"/>
      <c r="S906" s="134"/>
      <c r="T906" s="134"/>
      <c r="U906" s="134"/>
      <c r="V906" s="134"/>
      <c r="W906" s="134"/>
      <c r="X906" s="134"/>
      <c r="Y906" s="134"/>
    </row>
    <row r="907">
      <c r="A907" s="126"/>
      <c r="B907" s="127"/>
      <c r="C907" s="135"/>
      <c r="D907" s="144"/>
      <c r="E907" s="74" t="s">
        <v>56</v>
      </c>
      <c r="F907" s="63" t="s">
        <v>56</v>
      </c>
      <c r="G907" s="129"/>
      <c r="H907" s="133"/>
      <c r="I907" s="129"/>
      <c r="J907" s="130"/>
      <c r="K907" s="130"/>
      <c r="L907" s="130"/>
      <c r="M907" s="130"/>
      <c r="N907" s="140"/>
      <c r="O907" s="150"/>
      <c r="P907" s="150"/>
      <c r="Q907" s="134"/>
      <c r="R907" s="134"/>
      <c r="S907" s="134"/>
      <c r="T907" s="134"/>
      <c r="U907" s="134"/>
      <c r="V907" s="134"/>
      <c r="W907" s="134"/>
      <c r="X907" s="134"/>
      <c r="Y907" s="134"/>
    </row>
    <row r="908">
      <c r="A908" s="126"/>
      <c r="B908" s="127"/>
      <c r="C908" s="135"/>
      <c r="D908" s="144"/>
      <c r="E908" s="74" t="s">
        <v>56</v>
      </c>
      <c r="F908" s="63" t="s">
        <v>56</v>
      </c>
      <c r="G908" s="129"/>
      <c r="H908" s="133"/>
      <c r="I908" s="129"/>
      <c r="J908" s="130"/>
      <c r="K908" s="130"/>
      <c r="L908" s="130"/>
      <c r="M908" s="130"/>
      <c r="N908" s="140"/>
      <c r="O908" s="150"/>
      <c r="P908" s="150"/>
      <c r="Q908" s="134"/>
      <c r="R908" s="134"/>
      <c r="S908" s="134"/>
      <c r="T908" s="134"/>
      <c r="U908" s="134"/>
      <c r="V908" s="134"/>
      <c r="W908" s="134"/>
      <c r="X908" s="134"/>
      <c r="Y908" s="134"/>
    </row>
    <row r="909">
      <c r="A909" s="126"/>
      <c r="B909" s="127"/>
      <c r="C909" s="135"/>
      <c r="D909" s="144"/>
      <c r="E909" s="74" t="s">
        <v>56</v>
      </c>
      <c r="F909" s="63" t="s">
        <v>56</v>
      </c>
      <c r="G909" s="129"/>
      <c r="H909" s="133"/>
      <c r="I909" s="129"/>
      <c r="J909" s="130"/>
      <c r="K909" s="130"/>
      <c r="L909" s="130"/>
      <c r="M909" s="130"/>
      <c r="N909" s="140"/>
      <c r="O909" s="150"/>
      <c r="P909" s="150"/>
      <c r="Q909" s="134"/>
      <c r="R909" s="134"/>
      <c r="S909" s="134"/>
      <c r="T909" s="134"/>
      <c r="U909" s="134"/>
      <c r="V909" s="134"/>
      <c r="W909" s="134"/>
      <c r="X909" s="134"/>
      <c r="Y909" s="134"/>
    </row>
    <row r="910">
      <c r="A910" s="126"/>
      <c r="B910" s="127"/>
      <c r="C910" s="135"/>
      <c r="D910" s="144"/>
      <c r="E910" s="74" t="s">
        <v>56</v>
      </c>
      <c r="F910" s="63" t="s">
        <v>56</v>
      </c>
      <c r="G910" s="129"/>
      <c r="H910" s="133"/>
      <c r="I910" s="129"/>
      <c r="J910" s="130"/>
      <c r="K910" s="130"/>
      <c r="L910" s="130"/>
      <c r="M910" s="130"/>
      <c r="N910" s="140"/>
      <c r="O910" s="150"/>
      <c r="P910" s="150"/>
      <c r="Q910" s="134"/>
      <c r="R910" s="134"/>
      <c r="S910" s="134"/>
      <c r="T910" s="134"/>
      <c r="U910" s="134"/>
      <c r="V910" s="134"/>
      <c r="W910" s="134"/>
      <c r="X910" s="134"/>
      <c r="Y910" s="134"/>
    </row>
    <row r="911">
      <c r="A911" s="126"/>
      <c r="B911" s="127"/>
      <c r="C911" s="135"/>
      <c r="D911" s="144"/>
      <c r="E911" s="74" t="s">
        <v>56</v>
      </c>
      <c r="F911" s="63" t="s">
        <v>56</v>
      </c>
      <c r="G911" s="129"/>
      <c r="H911" s="133"/>
      <c r="I911" s="129"/>
      <c r="J911" s="130"/>
      <c r="K911" s="130"/>
      <c r="L911" s="130"/>
      <c r="M911" s="130"/>
      <c r="N911" s="140"/>
      <c r="O911" s="150"/>
      <c r="P911" s="150"/>
      <c r="Q911" s="134"/>
      <c r="R911" s="134"/>
      <c r="S911" s="134"/>
      <c r="T911" s="134"/>
      <c r="U911" s="134"/>
      <c r="V911" s="134"/>
      <c r="W911" s="134"/>
      <c r="X911" s="134"/>
      <c r="Y911" s="134"/>
    </row>
    <row r="912">
      <c r="A912" s="126"/>
      <c r="B912" s="127"/>
      <c r="C912" s="135"/>
      <c r="D912" s="144"/>
      <c r="E912" s="74" t="s">
        <v>56</v>
      </c>
      <c r="F912" s="63" t="s">
        <v>56</v>
      </c>
      <c r="G912" s="129"/>
      <c r="H912" s="133"/>
      <c r="I912" s="129"/>
      <c r="J912" s="130"/>
      <c r="K912" s="130"/>
      <c r="L912" s="130"/>
      <c r="M912" s="130"/>
      <c r="N912" s="140"/>
      <c r="O912" s="150"/>
      <c r="P912" s="150"/>
      <c r="Q912" s="134"/>
      <c r="R912" s="134"/>
      <c r="S912" s="134"/>
      <c r="T912" s="134"/>
      <c r="U912" s="134"/>
      <c r="V912" s="134"/>
      <c r="W912" s="134"/>
      <c r="X912" s="134"/>
      <c r="Y912" s="134"/>
    </row>
    <row r="913">
      <c r="A913" s="126"/>
      <c r="B913" s="127"/>
      <c r="C913" s="135"/>
      <c r="D913" s="144"/>
      <c r="E913" s="74" t="s">
        <v>56</v>
      </c>
      <c r="F913" s="63" t="s">
        <v>56</v>
      </c>
      <c r="G913" s="129"/>
      <c r="H913" s="133"/>
      <c r="I913" s="129"/>
      <c r="J913" s="130"/>
      <c r="K913" s="130"/>
      <c r="L913" s="130"/>
      <c r="M913" s="130"/>
      <c r="N913" s="140"/>
      <c r="O913" s="150"/>
      <c r="P913" s="150"/>
      <c r="Q913" s="134"/>
      <c r="R913" s="134"/>
      <c r="S913" s="134"/>
      <c r="T913" s="134"/>
      <c r="U913" s="134"/>
      <c r="V913" s="134"/>
      <c r="W913" s="134"/>
      <c r="X913" s="134"/>
      <c r="Y913" s="134"/>
    </row>
    <row r="914">
      <c r="A914" s="126"/>
      <c r="B914" s="127"/>
      <c r="C914" s="135"/>
      <c r="D914" s="144"/>
      <c r="E914" s="74" t="s">
        <v>56</v>
      </c>
      <c r="F914" s="63" t="s">
        <v>56</v>
      </c>
      <c r="G914" s="129"/>
      <c r="H914" s="133"/>
      <c r="I914" s="129"/>
      <c r="J914" s="130"/>
      <c r="K914" s="130"/>
      <c r="L914" s="130"/>
      <c r="M914" s="130"/>
      <c r="N914" s="140"/>
      <c r="O914" s="150"/>
      <c r="P914" s="150"/>
      <c r="Q914" s="134"/>
      <c r="R914" s="134"/>
      <c r="S914" s="134"/>
      <c r="T914" s="134"/>
      <c r="U914" s="134"/>
      <c r="V914" s="134"/>
      <c r="W914" s="134"/>
      <c r="X914" s="134"/>
      <c r="Y914" s="134"/>
    </row>
    <row r="915">
      <c r="A915" s="126"/>
      <c r="B915" s="127"/>
      <c r="C915" s="135"/>
      <c r="D915" s="144"/>
      <c r="E915" s="74" t="s">
        <v>56</v>
      </c>
      <c r="F915" s="63" t="s">
        <v>56</v>
      </c>
      <c r="G915" s="129"/>
      <c r="H915" s="133"/>
      <c r="I915" s="129"/>
      <c r="J915" s="130"/>
      <c r="K915" s="130"/>
      <c r="L915" s="130"/>
      <c r="M915" s="130"/>
      <c r="N915" s="140"/>
      <c r="O915" s="150"/>
      <c r="P915" s="150"/>
      <c r="Q915" s="134"/>
      <c r="R915" s="134"/>
      <c r="S915" s="134"/>
      <c r="T915" s="134"/>
      <c r="U915" s="134"/>
      <c r="V915" s="134"/>
      <c r="W915" s="134"/>
      <c r="X915" s="134"/>
      <c r="Y915" s="134"/>
    </row>
    <row r="916">
      <c r="A916" s="126"/>
      <c r="B916" s="127"/>
      <c r="C916" s="135"/>
      <c r="D916" s="144"/>
      <c r="E916" s="74" t="s">
        <v>56</v>
      </c>
      <c r="F916" s="63" t="s">
        <v>56</v>
      </c>
      <c r="G916" s="129"/>
      <c r="H916" s="133"/>
      <c r="I916" s="129"/>
      <c r="J916" s="130"/>
      <c r="K916" s="130"/>
      <c r="L916" s="130"/>
      <c r="M916" s="130"/>
      <c r="N916" s="140"/>
      <c r="O916" s="150"/>
      <c r="P916" s="150"/>
      <c r="Q916" s="134"/>
      <c r="R916" s="134"/>
      <c r="S916" s="134"/>
      <c r="T916" s="134"/>
      <c r="U916" s="134"/>
      <c r="V916" s="134"/>
      <c r="W916" s="134"/>
      <c r="X916" s="134"/>
      <c r="Y916" s="134"/>
    </row>
    <row r="917">
      <c r="A917" s="126"/>
      <c r="B917" s="127"/>
      <c r="C917" s="135"/>
      <c r="D917" s="144"/>
      <c r="E917" s="74" t="s">
        <v>56</v>
      </c>
      <c r="F917" s="63" t="s">
        <v>56</v>
      </c>
      <c r="G917" s="129"/>
      <c r="H917" s="133"/>
      <c r="I917" s="129"/>
      <c r="J917" s="130"/>
      <c r="K917" s="130"/>
      <c r="L917" s="130"/>
      <c r="M917" s="130"/>
      <c r="N917" s="140"/>
      <c r="O917" s="150"/>
      <c r="P917" s="150"/>
      <c r="Q917" s="134"/>
      <c r="R917" s="134"/>
      <c r="S917" s="134"/>
      <c r="T917" s="134"/>
      <c r="U917" s="134"/>
      <c r="V917" s="134"/>
      <c r="W917" s="134"/>
      <c r="X917" s="134"/>
      <c r="Y917" s="134"/>
    </row>
    <row r="918">
      <c r="A918" s="126"/>
      <c r="B918" s="127"/>
      <c r="C918" s="135"/>
      <c r="D918" s="144"/>
      <c r="E918" s="74" t="s">
        <v>56</v>
      </c>
      <c r="F918" s="63" t="s">
        <v>56</v>
      </c>
      <c r="G918" s="129"/>
      <c r="H918" s="133"/>
      <c r="I918" s="129"/>
      <c r="J918" s="130"/>
      <c r="K918" s="130"/>
      <c r="L918" s="130"/>
      <c r="M918" s="130"/>
      <c r="N918" s="140"/>
      <c r="O918" s="150"/>
      <c r="P918" s="150"/>
      <c r="Q918" s="134"/>
      <c r="R918" s="134"/>
      <c r="S918" s="134"/>
      <c r="T918" s="134"/>
      <c r="U918" s="134"/>
      <c r="V918" s="134"/>
      <c r="W918" s="134"/>
      <c r="X918" s="134"/>
      <c r="Y918" s="134"/>
    </row>
    <row r="919">
      <c r="A919" s="126"/>
      <c r="B919" s="127"/>
      <c r="C919" s="135"/>
      <c r="D919" s="144"/>
      <c r="E919" s="74" t="s">
        <v>56</v>
      </c>
      <c r="F919" s="63" t="s">
        <v>56</v>
      </c>
      <c r="G919" s="129"/>
      <c r="H919" s="133"/>
      <c r="I919" s="129"/>
      <c r="J919" s="130"/>
      <c r="K919" s="130"/>
      <c r="L919" s="130"/>
      <c r="M919" s="130"/>
      <c r="N919" s="140"/>
      <c r="O919" s="150"/>
      <c r="P919" s="150"/>
      <c r="Q919" s="134"/>
      <c r="R919" s="134"/>
      <c r="S919" s="134"/>
      <c r="T919" s="134"/>
      <c r="U919" s="134"/>
      <c r="V919" s="134"/>
      <c r="W919" s="134"/>
      <c r="X919" s="134"/>
      <c r="Y919" s="134"/>
    </row>
    <row r="920">
      <c r="A920" s="126"/>
      <c r="B920" s="127"/>
      <c r="C920" s="135"/>
      <c r="D920" s="144"/>
      <c r="E920" s="74" t="s">
        <v>56</v>
      </c>
      <c r="F920" s="63" t="s">
        <v>56</v>
      </c>
      <c r="G920" s="129"/>
      <c r="H920" s="133"/>
      <c r="I920" s="129"/>
      <c r="J920" s="130"/>
      <c r="K920" s="130"/>
      <c r="L920" s="130"/>
      <c r="M920" s="130"/>
      <c r="N920" s="140"/>
      <c r="O920" s="150"/>
      <c r="P920" s="150"/>
      <c r="Q920" s="134"/>
      <c r="R920" s="134"/>
      <c r="S920" s="134"/>
      <c r="T920" s="134"/>
      <c r="U920" s="134"/>
      <c r="V920" s="134"/>
      <c r="W920" s="134"/>
      <c r="X920" s="134"/>
      <c r="Y920" s="134"/>
    </row>
    <row r="921">
      <c r="A921" s="126"/>
      <c r="B921" s="127"/>
      <c r="C921" s="135"/>
      <c r="D921" s="144"/>
      <c r="E921" s="74" t="s">
        <v>56</v>
      </c>
      <c r="F921" s="63" t="s">
        <v>56</v>
      </c>
      <c r="G921" s="129"/>
      <c r="H921" s="133"/>
      <c r="I921" s="129"/>
      <c r="J921" s="130"/>
      <c r="K921" s="130"/>
      <c r="L921" s="130"/>
      <c r="M921" s="130"/>
      <c r="N921" s="140"/>
      <c r="O921" s="150"/>
      <c r="P921" s="150"/>
      <c r="Q921" s="134"/>
      <c r="R921" s="134"/>
      <c r="S921" s="134"/>
      <c r="T921" s="134"/>
      <c r="U921" s="134"/>
      <c r="V921" s="134"/>
      <c r="W921" s="134"/>
      <c r="X921" s="134"/>
      <c r="Y921" s="134"/>
    </row>
    <row r="922">
      <c r="A922" s="126"/>
      <c r="B922" s="127"/>
      <c r="C922" s="135"/>
      <c r="D922" s="144"/>
      <c r="E922" s="74" t="s">
        <v>56</v>
      </c>
      <c r="F922" s="63" t="s">
        <v>56</v>
      </c>
      <c r="G922" s="129"/>
      <c r="H922" s="133"/>
      <c r="I922" s="129"/>
      <c r="J922" s="130"/>
      <c r="K922" s="130"/>
      <c r="L922" s="130"/>
      <c r="M922" s="130"/>
      <c r="N922" s="140"/>
      <c r="O922" s="150"/>
      <c r="P922" s="150"/>
      <c r="Q922" s="134"/>
      <c r="R922" s="134"/>
      <c r="S922" s="134"/>
      <c r="T922" s="134"/>
      <c r="U922" s="134"/>
      <c r="V922" s="134"/>
      <c r="W922" s="134"/>
      <c r="X922" s="134"/>
      <c r="Y922" s="134"/>
    </row>
    <row r="923">
      <c r="A923" s="126"/>
      <c r="B923" s="127"/>
      <c r="C923" s="135"/>
      <c r="D923" s="144"/>
      <c r="E923" s="74" t="s">
        <v>56</v>
      </c>
      <c r="F923" s="63" t="s">
        <v>56</v>
      </c>
      <c r="G923" s="129"/>
      <c r="H923" s="133"/>
      <c r="I923" s="129"/>
      <c r="J923" s="130"/>
      <c r="K923" s="130"/>
      <c r="L923" s="130"/>
      <c r="M923" s="130"/>
      <c r="N923" s="140"/>
      <c r="O923" s="150"/>
      <c r="P923" s="150"/>
      <c r="Q923" s="134"/>
      <c r="R923" s="134"/>
      <c r="S923" s="134"/>
      <c r="T923" s="134"/>
      <c r="U923" s="134"/>
      <c r="V923" s="134"/>
      <c r="W923" s="134"/>
      <c r="X923" s="134"/>
      <c r="Y923" s="134"/>
    </row>
    <row r="924">
      <c r="A924" s="126"/>
      <c r="B924" s="127"/>
      <c r="C924" s="135"/>
      <c r="D924" s="144"/>
      <c r="E924" s="74" t="s">
        <v>56</v>
      </c>
      <c r="F924" s="63" t="s">
        <v>56</v>
      </c>
      <c r="G924" s="129"/>
      <c r="H924" s="133"/>
      <c r="I924" s="129"/>
      <c r="J924" s="130"/>
      <c r="K924" s="130"/>
      <c r="L924" s="130"/>
      <c r="M924" s="130"/>
      <c r="N924" s="140"/>
      <c r="O924" s="150"/>
      <c r="P924" s="150"/>
      <c r="Q924" s="134"/>
      <c r="R924" s="134"/>
      <c r="S924" s="134"/>
      <c r="T924" s="134"/>
      <c r="U924" s="134"/>
      <c r="V924" s="134"/>
      <c r="W924" s="134"/>
      <c r="X924" s="134"/>
      <c r="Y924" s="134"/>
    </row>
    <row r="925">
      <c r="A925" s="126"/>
      <c r="B925" s="127"/>
      <c r="C925" s="135"/>
      <c r="D925" s="144"/>
      <c r="E925" s="74" t="s">
        <v>56</v>
      </c>
      <c r="F925" s="63" t="s">
        <v>56</v>
      </c>
      <c r="G925" s="129"/>
      <c r="H925" s="133"/>
      <c r="I925" s="129"/>
      <c r="J925" s="130"/>
      <c r="K925" s="130"/>
      <c r="L925" s="130"/>
      <c r="M925" s="130"/>
      <c r="N925" s="140"/>
      <c r="O925" s="150"/>
      <c r="P925" s="150"/>
      <c r="Q925" s="134"/>
      <c r="R925" s="134"/>
      <c r="S925" s="134"/>
      <c r="T925" s="134"/>
      <c r="U925" s="134"/>
      <c r="V925" s="134"/>
      <c r="W925" s="134"/>
      <c r="X925" s="134"/>
      <c r="Y925" s="134"/>
    </row>
    <row r="926">
      <c r="A926" s="126"/>
      <c r="B926" s="127"/>
      <c r="C926" s="135"/>
      <c r="D926" s="144"/>
      <c r="E926" s="74" t="s">
        <v>56</v>
      </c>
      <c r="F926" s="63" t="s">
        <v>56</v>
      </c>
      <c r="G926" s="129"/>
      <c r="H926" s="133"/>
      <c r="I926" s="129"/>
      <c r="J926" s="130"/>
      <c r="K926" s="130"/>
      <c r="L926" s="130"/>
      <c r="M926" s="130"/>
      <c r="N926" s="140"/>
      <c r="O926" s="150"/>
      <c r="P926" s="150"/>
      <c r="Q926" s="134"/>
      <c r="R926" s="134"/>
      <c r="S926" s="134"/>
      <c r="T926" s="134"/>
      <c r="U926" s="134"/>
      <c r="V926" s="134"/>
      <c r="W926" s="134"/>
      <c r="X926" s="134"/>
      <c r="Y926" s="134"/>
    </row>
    <row r="927">
      <c r="A927" s="126"/>
      <c r="B927" s="127"/>
      <c r="C927" s="135"/>
      <c r="D927" s="144"/>
      <c r="E927" s="74" t="s">
        <v>56</v>
      </c>
      <c r="F927" s="63" t="s">
        <v>56</v>
      </c>
      <c r="G927" s="129"/>
      <c r="H927" s="133"/>
      <c r="I927" s="129"/>
      <c r="J927" s="130"/>
      <c r="K927" s="130"/>
      <c r="L927" s="130"/>
      <c r="M927" s="130"/>
      <c r="N927" s="140"/>
      <c r="O927" s="150"/>
      <c r="P927" s="150"/>
      <c r="Q927" s="134"/>
      <c r="R927" s="134"/>
      <c r="S927" s="134"/>
      <c r="T927" s="134"/>
      <c r="U927" s="134"/>
      <c r="V927" s="134"/>
      <c r="W927" s="134"/>
      <c r="X927" s="134"/>
      <c r="Y927" s="134"/>
    </row>
    <row r="928">
      <c r="A928" s="126"/>
      <c r="B928" s="127"/>
      <c r="C928" s="135"/>
      <c r="D928" s="144"/>
      <c r="E928" s="74" t="s">
        <v>56</v>
      </c>
      <c r="F928" s="63" t="s">
        <v>56</v>
      </c>
      <c r="G928" s="129"/>
      <c r="H928" s="133"/>
      <c r="I928" s="129"/>
      <c r="J928" s="130"/>
      <c r="K928" s="130"/>
      <c r="L928" s="130"/>
      <c r="M928" s="130"/>
      <c r="N928" s="140"/>
      <c r="O928" s="150"/>
      <c r="P928" s="150"/>
      <c r="Q928" s="134"/>
      <c r="R928" s="134"/>
      <c r="S928" s="134"/>
      <c r="T928" s="134"/>
      <c r="U928" s="134"/>
      <c r="V928" s="134"/>
      <c r="W928" s="134"/>
      <c r="X928" s="134"/>
      <c r="Y928" s="134"/>
    </row>
    <row r="929">
      <c r="A929" s="126"/>
      <c r="B929" s="127"/>
      <c r="C929" s="135"/>
      <c r="D929" s="144"/>
      <c r="E929" s="74" t="s">
        <v>56</v>
      </c>
      <c r="F929" s="63" t="s">
        <v>56</v>
      </c>
      <c r="G929" s="129"/>
      <c r="H929" s="133"/>
      <c r="I929" s="129"/>
      <c r="J929" s="130"/>
      <c r="K929" s="130"/>
      <c r="L929" s="130"/>
      <c r="M929" s="130"/>
      <c r="N929" s="140"/>
      <c r="O929" s="150"/>
      <c r="P929" s="150"/>
      <c r="Q929" s="134"/>
      <c r="R929" s="134"/>
      <c r="S929" s="134"/>
      <c r="T929" s="134"/>
      <c r="U929" s="134"/>
      <c r="V929" s="134"/>
      <c r="W929" s="134"/>
      <c r="X929" s="134"/>
      <c r="Y929" s="134"/>
    </row>
    <row r="930">
      <c r="A930" s="126"/>
      <c r="B930" s="127"/>
      <c r="C930" s="135"/>
      <c r="D930" s="144"/>
      <c r="E930" s="74" t="s">
        <v>56</v>
      </c>
      <c r="F930" s="63" t="s">
        <v>56</v>
      </c>
      <c r="G930" s="129"/>
      <c r="H930" s="133"/>
      <c r="I930" s="129"/>
      <c r="J930" s="130"/>
      <c r="K930" s="130"/>
      <c r="L930" s="130"/>
      <c r="M930" s="130"/>
      <c r="N930" s="140"/>
      <c r="O930" s="150"/>
      <c r="P930" s="150"/>
      <c r="Q930" s="134"/>
      <c r="R930" s="134"/>
      <c r="S930" s="134"/>
      <c r="T930" s="134"/>
      <c r="U930" s="134"/>
      <c r="V930" s="134"/>
      <c r="W930" s="134"/>
      <c r="X930" s="134"/>
      <c r="Y930" s="134"/>
    </row>
    <row r="931">
      <c r="A931" s="126"/>
      <c r="B931" s="127"/>
      <c r="C931" s="135"/>
      <c r="D931" s="144"/>
      <c r="E931" s="74" t="s">
        <v>56</v>
      </c>
      <c r="F931" s="63" t="s">
        <v>56</v>
      </c>
      <c r="G931" s="129"/>
      <c r="H931" s="133"/>
      <c r="I931" s="129"/>
      <c r="J931" s="130"/>
      <c r="K931" s="130"/>
      <c r="L931" s="130"/>
      <c r="M931" s="130"/>
      <c r="N931" s="140"/>
      <c r="O931" s="150"/>
      <c r="P931" s="150"/>
      <c r="Q931" s="134"/>
      <c r="R931" s="134"/>
      <c r="S931" s="134"/>
      <c r="T931" s="134"/>
      <c r="U931" s="134"/>
      <c r="V931" s="134"/>
      <c r="W931" s="134"/>
      <c r="X931" s="134"/>
      <c r="Y931" s="134"/>
    </row>
    <row r="932">
      <c r="A932" s="126"/>
      <c r="B932" s="127"/>
      <c r="C932" s="135"/>
      <c r="D932" s="144"/>
      <c r="E932" s="74" t="s">
        <v>56</v>
      </c>
      <c r="F932" s="63" t="s">
        <v>56</v>
      </c>
      <c r="G932" s="129"/>
      <c r="H932" s="133"/>
      <c r="I932" s="129"/>
      <c r="J932" s="130"/>
      <c r="K932" s="130"/>
      <c r="L932" s="130"/>
      <c r="M932" s="130"/>
      <c r="N932" s="140"/>
      <c r="O932" s="150"/>
      <c r="P932" s="150"/>
      <c r="Q932" s="134"/>
      <c r="R932" s="134"/>
      <c r="S932" s="134"/>
      <c r="T932" s="134"/>
      <c r="U932" s="134"/>
      <c r="V932" s="134"/>
      <c r="W932" s="134"/>
      <c r="X932" s="134"/>
      <c r="Y932" s="134"/>
    </row>
    <row r="933">
      <c r="A933" s="126"/>
      <c r="B933" s="127"/>
      <c r="C933" s="135"/>
      <c r="D933" s="144"/>
      <c r="E933" s="74" t="s">
        <v>56</v>
      </c>
      <c r="F933" s="63" t="s">
        <v>56</v>
      </c>
      <c r="G933" s="129"/>
      <c r="H933" s="133"/>
      <c r="I933" s="129"/>
      <c r="J933" s="130"/>
      <c r="K933" s="130"/>
      <c r="L933" s="130"/>
      <c r="M933" s="130"/>
      <c r="N933" s="140"/>
      <c r="O933" s="150"/>
      <c r="P933" s="150"/>
      <c r="Q933" s="134"/>
      <c r="R933" s="134"/>
      <c r="S933" s="134"/>
      <c r="T933" s="134"/>
      <c r="U933" s="134"/>
      <c r="V933" s="134"/>
      <c r="W933" s="134"/>
      <c r="X933" s="134"/>
      <c r="Y933" s="134"/>
    </row>
    <row r="934">
      <c r="A934" s="126"/>
      <c r="B934" s="127"/>
      <c r="C934" s="135"/>
      <c r="D934" s="144"/>
      <c r="E934" s="74" t="s">
        <v>56</v>
      </c>
      <c r="F934" s="63" t="s">
        <v>56</v>
      </c>
      <c r="G934" s="129"/>
      <c r="H934" s="133"/>
      <c r="I934" s="129"/>
      <c r="J934" s="130"/>
      <c r="K934" s="130"/>
      <c r="L934" s="130"/>
      <c r="M934" s="130"/>
      <c r="N934" s="140"/>
      <c r="O934" s="150"/>
      <c r="P934" s="150"/>
      <c r="Q934" s="134"/>
      <c r="R934" s="134"/>
      <c r="S934" s="134"/>
      <c r="T934" s="134"/>
      <c r="U934" s="134"/>
      <c r="V934" s="134"/>
      <c r="W934" s="134"/>
      <c r="X934" s="134"/>
      <c r="Y934" s="134"/>
    </row>
    <row r="935">
      <c r="A935" s="126"/>
      <c r="B935" s="127"/>
      <c r="C935" s="135"/>
      <c r="D935" s="144"/>
      <c r="E935" s="74" t="s">
        <v>56</v>
      </c>
      <c r="F935" s="63" t="s">
        <v>56</v>
      </c>
      <c r="G935" s="129"/>
      <c r="H935" s="133"/>
      <c r="I935" s="129"/>
      <c r="J935" s="130"/>
      <c r="K935" s="130"/>
      <c r="L935" s="130"/>
      <c r="M935" s="130"/>
      <c r="N935" s="140"/>
      <c r="O935" s="150"/>
      <c r="P935" s="150"/>
      <c r="Q935" s="134"/>
      <c r="R935" s="134"/>
      <c r="S935" s="134"/>
      <c r="T935" s="134"/>
      <c r="U935" s="134"/>
      <c r="V935" s="134"/>
      <c r="W935" s="134"/>
      <c r="X935" s="134"/>
      <c r="Y935" s="134"/>
    </row>
    <row r="936">
      <c r="A936" s="126"/>
      <c r="B936" s="127"/>
      <c r="C936" s="135"/>
      <c r="D936" s="144"/>
      <c r="E936" s="74" t="s">
        <v>56</v>
      </c>
      <c r="F936" s="63" t="s">
        <v>56</v>
      </c>
      <c r="G936" s="129"/>
      <c r="H936" s="133"/>
      <c r="I936" s="129"/>
      <c r="J936" s="130"/>
      <c r="K936" s="130"/>
      <c r="L936" s="130"/>
      <c r="M936" s="130"/>
      <c r="N936" s="140"/>
      <c r="O936" s="150"/>
      <c r="P936" s="150"/>
      <c r="Q936" s="134"/>
      <c r="R936" s="134"/>
      <c r="S936" s="134"/>
      <c r="T936" s="134"/>
      <c r="U936" s="134"/>
      <c r="V936" s="134"/>
      <c r="W936" s="134"/>
      <c r="X936" s="134"/>
      <c r="Y936" s="134"/>
    </row>
    <row r="937">
      <c r="A937" s="126"/>
      <c r="B937" s="127"/>
      <c r="C937" s="135"/>
      <c r="D937" s="144"/>
      <c r="E937" s="74" t="s">
        <v>56</v>
      </c>
      <c r="F937" s="63" t="s">
        <v>56</v>
      </c>
      <c r="G937" s="129"/>
      <c r="H937" s="133"/>
      <c r="I937" s="129"/>
      <c r="J937" s="130"/>
      <c r="K937" s="130"/>
      <c r="L937" s="130"/>
      <c r="M937" s="130"/>
      <c r="N937" s="140"/>
      <c r="O937" s="150"/>
      <c r="P937" s="150"/>
      <c r="Q937" s="134"/>
      <c r="R937" s="134"/>
      <c r="S937" s="134"/>
      <c r="T937" s="134"/>
      <c r="U937" s="134"/>
      <c r="V937" s="134"/>
      <c r="W937" s="134"/>
      <c r="X937" s="134"/>
      <c r="Y937" s="134"/>
    </row>
    <row r="938">
      <c r="A938" s="126"/>
      <c r="B938" s="127"/>
      <c r="C938" s="135"/>
      <c r="D938" s="144"/>
      <c r="E938" s="74" t="s">
        <v>56</v>
      </c>
      <c r="F938" s="63" t="s">
        <v>56</v>
      </c>
      <c r="G938" s="129"/>
      <c r="H938" s="133"/>
      <c r="I938" s="129"/>
      <c r="J938" s="130"/>
      <c r="K938" s="130"/>
      <c r="L938" s="130"/>
      <c r="M938" s="130"/>
      <c r="N938" s="140"/>
      <c r="O938" s="150"/>
      <c r="P938" s="150"/>
      <c r="Q938" s="134"/>
      <c r="R938" s="134"/>
      <c r="S938" s="134"/>
      <c r="T938" s="134"/>
      <c r="U938" s="134"/>
      <c r="V938" s="134"/>
      <c r="W938" s="134"/>
      <c r="X938" s="134"/>
      <c r="Y938" s="134"/>
    </row>
    <row r="939">
      <c r="A939" s="126"/>
      <c r="B939" s="127"/>
      <c r="C939" s="135"/>
      <c r="D939" s="144"/>
      <c r="E939" s="74" t="s">
        <v>56</v>
      </c>
      <c r="F939" s="63" t="s">
        <v>56</v>
      </c>
      <c r="G939" s="129"/>
      <c r="H939" s="133"/>
      <c r="I939" s="129"/>
      <c r="J939" s="130"/>
      <c r="K939" s="130"/>
      <c r="L939" s="130"/>
      <c r="M939" s="130"/>
      <c r="N939" s="140"/>
      <c r="O939" s="150"/>
      <c r="P939" s="150"/>
      <c r="Q939" s="134"/>
      <c r="R939" s="134"/>
      <c r="S939" s="134"/>
      <c r="T939" s="134"/>
      <c r="U939" s="134"/>
      <c r="V939" s="134"/>
      <c r="W939" s="134"/>
      <c r="X939" s="134"/>
      <c r="Y939" s="134"/>
    </row>
    <row r="940">
      <c r="A940" s="126"/>
      <c r="B940" s="127"/>
      <c r="C940" s="135"/>
      <c r="D940" s="144"/>
      <c r="E940" s="74" t="s">
        <v>56</v>
      </c>
      <c r="F940" s="63" t="s">
        <v>56</v>
      </c>
      <c r="G940" s="129"/>
      <c r="H940" s="133"/>
      <c r="I940" s="129"/>
      <c r="J940" s="130"/>
      <c r="K940" s="130"/>
      <c r="L940" s="130"/>
      <c r="M940" s="130"/>
      <c r="N940" s="140"/>
      <c r="O940" s="150"/>
      <c r="P940" s="150"/>
      <c r="Q940" s="134"/>
      <c r="R940" s="134"/>
      <c r="S940" s="134"/>
      <c r="T940" s="134"/>
      <c r="U940" s="134"/>
      <c r="V940" s="134"/>
      <c r="W940" s="134"/>
      <c r="X940" s="134"/>
      <c r="Y940" s="134"/>
    </row>
    <row r="941">
      <c r="A941" s="126"/>
      <c r="B941" s="127"/>
      <c r="C941" s="135"/>
      <c r="D941" s="144"/>
      <c r="E941" s="74" t="s">
        <v>56</v>
      </c>
      <c r="F941" s="63" t="s">
        <v>56</v>
      </c>
      <c r="G941" s="129"/>
      <c r="H941" s="133"/>
      <c r="I941" s="129"/>
      <c r="J941" s="130"/>
      <c r="K941" s="130"/>
      <c r="L941" s="130"/>
      <c r="M941" s="130"/>
      <c r="N941" s="140"/>
      <c r="O941" s="150"/>
      <c r="P941" s="150"/>
      <c r="Q941" s="134"/>
      <c r="R941" s="134"/>
      <c r="S941" s="134"/>
      <c r="T941" s="134"/>
      <c r="U941" s="134"/>
      <c r="V941" s="134"/>
      <c r="W941" s="134"/>
      <c r="X941" s="134"/>
      <c r="Y941" s="134"/>
    </row>
    <row r="942">
      <c r="A942" s="126"/>
      <c r="B942" s="127"/>
      <c r="C942" s="135"/>
      <c r="D942" s="144"/>
      <c r="E942" s="74" t="s">
        <v>56</v>
      </c>
      <c r="F942" s="63" t="s">
        <v>56</v>
      </c>
      <c r="G942" s="129"/>
      <c r="H942" s="133"/>
      <c r="I942" s="129"/>
      <c r="J942" s="130"/>
      <c r="K942" s="130"/>
      <c r="L942" s="130"/>
      <c r="M942" s="130"/>
      <c r="N942" s="140"/>
      <c r="O942" s="150"/>
      <c r="P942" s="150"/>
      <c r="Q942" s="134"/>
      <c r="R942" s="134"/>
      <c r="S942" s="134"/>
      <c r="T942" s="134"/>
      <c r="U942" s="134"/>
      <c r="V942" s="134"/>
      <c r="W942" s="134"/>
      <c r="X942" s="134"/>
      <c r="Y942" s="134"/>
    </row>
    <row r="943">
      <c r="A943" s="126"/>
      <c r="B943" s="127"/>
      <c r="C943" s="135"/>
      <c r="D943" s="144"/>
      <c r="E943" s="74" t="s">
        <v>56</v>
      </c>
      <c r="F943" s="63" t="s">
        <v>56</v>
      </c>
      <c r="G943" s="129"/>
      <c r="H943" s="133"/>
      <c r="I943" s="129"/>
      <c r="J943" s="130"/>
      <c r="K943" s="130"/>
      <c r="L943" s="130"/>
      <c r="M943" s="130"/>
      <c r="N943" s="140"/>
      <c r="O943" s="150"/>
      <c r="P943" s="150"/>
      <c r="Q943" s="134"/>
      <c r="R943" s="134"/>
      <c r="S943" s="134"/>
      <c r="T943" s="134"/>
      <c r="U943" s="134"/>
      <c r="V943" s="134"/>
      <c r="W943" s="134"/>
      <c r="X943" s="134"/>
      <c r="Y943" s="134"/>
    </row>
    <row r="944">
      <c r="A944" s="126"/>
      <c r="B944" s="127"/>
      <c r="C944" s="135"/>
      <c r="D944" s="144"/>
      <c r="E944" s="74" t="s">
        <v>56</v>
      </c>
      <c r="F944" s="63" t="s">
        <v>56</v>
      </c>
      <c r="G944" s="129"/>
      <c r="H944" s="133"/>
      <c r="I944" s="129"/>
      <c r="J944" s="130"/>
      <c r="K944" s="130"/>
      <c r="L944" s="130"/>
      <c r="M944" s="130"/>
      <c r="N944" s="140"/>
      <c r="O944" s="150"/>
      <c r="P944" s="150"/>
      <c r="Q944" s="134"/>
      <c r="R944" s="134"/>
      <c r="S944" s="134"/>
      <c r="T944" s="134"/>
      <c r="U944" s="134"/>
      <c r="V944" s="134"/>
      <c r="W944" s="134"/>
      <c r="X944" s="134"/>
      <c r="Y944" s="134"/>
    </row>
    <row r="945">
      <c r="A945" s="126"/>
      <c r="B945" s="127"/>
      <c r="C945" s="135"/>
      <c r="D945" s="144"/>
      <c r="E945" s="74" t="s">
        <v>56</v>
      </c>
      <c r="F945" s="63" t="s">
        <v>56</v>
      </c>
      <c r="G945" s="129"/>
      <c r="H945" s="133"/>
      <c r="I945" s="129"/>
      <c r="J945" s="130"/>
      <c r="K945" s="130"/>
      <c r="L945" s="130"/>
      <c r="M945" s="130"/>
      <c r="N945" s="140"/>
      <c r="O945" s="150"/>
      <c r="P945" s="150"/>
      <c r="Q945" s="134"/>
      <c r="R945" s="134"/>
      <c r="S945" s="134"/>
      <c r="T945" s="134"/>
      <c r="U945" s="134"/>
      <c r="V945" s="134"/>
      <c r="W945" s="134"/>
      <c r="X945" s="134"/>
      <c r="Y945" s="134"/>
    </row>
    <row r="946">
      <c r="A946" s="126"/>
      <c r="B946" s="127"/>
      <c r="C946" s="135"/>
      <c r="D946" s="144"/>
      <c r="E946" s="74" t="s">
        <v>56</v>
      </c>
      <c r="F946" s="63" t="s">
        <v>56</v>
      </c>
      <c r="G946" s="129"/>
      <c r="H946" s="133"/>
      <c r="I946" s="129"/>
      <c r="J946" s="130"/>
      <c r="K946" s="130"/>
      <c r="L946" s="130"/>
      <c r="M946" s="130"/>
      <c r="N946" s="140"/>
      <c r="O946" s="150"/>
      <c r="P946" s="150"/>
      <c r="Q946" s="134"/>
      <c r="R946" s="134"/>
      <c r="S946" s="134"/>
      <c r="T946" s="134"/>
      <c r="U946" s="134"/>
      <c r="V946" s="134"/>
      <c r="W946" s="134"/>
      <c r="X946" s="134"/>
      <c r="Y946" s="134"/>
    </row>
    <row r="947">
      <c r="A947" s="126"/>
      <c r="B947" s="127"/>
      <c r="C947" s="135"/>
      <c r="D947" s="144"/>
      <c r="E947" s="74" t="s">
        <v>56</v>
      </c>
      <c r="F947" s="63" t="s">
        <v>56</v>
      </c>
      <c r="G947" s="129"/>
      <c r="H947" s="133"/>
      <c r="I947" s="129"/>
      <c r="J947" s="130"/>
      <c r="K947" s="130"/>
      <c r="L947" s="130"/>
      <c r="M947" s="130"/>
      <c r="N947" s="140"/>
      <c r="O947" s="150"/>
      <c r="P947" s="150"/>
      <c r="Q947" s="134"/>
      <c r="R947" s="134"/>
      <c r="S947" s="134"/>
      <c r="T947" s="134"/>
      <c r="U947" s="134"/>
      <c r="V947" s="134"/>
      <c r="W947" s="134"/>
      <c r="X947" s="134"/>
      <c r="Y947" s="134"/>
    </row>
    <row r="948">
      <c r="A948" s="126"/>
      <c r="B948" s="127"/>
      <c r="C948" s="135"/>
      <c r="D948" s="144"/>
      <c r="E948" s="74" t="s">
        <v>56</v>
      </c>
      <c r="F948" s="63" t="s">
        <v>56</v>
      </c>
      <c r="G948" s="129"/>
      <c r="H948" s="133"/>
      <c r="I948" s="129"/>
      <c r="J948" s="130"/>
      <c r="K948" s="130"/>
      <c r="L948" s="130"/>
      <c r="M948" s="130"/>
      <c r="N948" s="140"/>
      <c r="O948" s="150"/>
      <c r="P948" s="150"/>
      <c r="Q948" s="134"/>
      <c r="R948" s="134"/>
      <c r="S948" s="134"/>
      <c r="T948" s="134"/>
      <c r="U948" s="134"/>
      <c r="V948" s="134"/>
      <c r="W948" s="134"/>
      <c r="X948" s="134"/>
      <c r="Y948" s="134"/>
    </row>
    <row r="949">
      <c r="A949" s="126"/>
      <c r="B949" s="127"/>
      <c r="C949" s="135"/>
      <c r="D949" s="144"/>
      <c r="E949" s="74" t="s">
        <v>56</v>
      </c>
      <c r="F949" s="63" t="s">
        <v>56</v>
      </c>
      <c r="G949" s="129"/>
      <c r="H949" s="133"/>
      <c r="I949" s="129"/>
      <c r="J949" s="130"/>
      <c r="K949" s="130"/>
      <c r="L949" s="130"/>
      <c r="M949" s="130"/>
      <c r="N949" s="140"/>
      <c r="O949" s="150"/>
      <c r="P949" s="150"/>
      <c r="Q949" s="134"/>
      <c r="R949" s="134"/>
      <c r="S949" s="134"/>
      <c r="T949" s="134"/>
      <c r="U949" s="134"/>
      <c r="V949" s="134"/>
      <c r="W949" s="134"/>
      <c r="X949" s="134"/>
      <c r="Y949" s="134"/>
    </row>
    <row r="950">
      <c r="A950" s="126"/>
      <c r="B950" s="127"/>
      <c r="C950" s="135"/>
      <c r="D950" s="144"/>
      <c r="E950" s="74" t="s">
        <v>56</v>
      </c>
      <c r="F950" s="63" t="s">
        <v>56</v>
      </c>
      <c r="G950" s="129"/>
      <c r="H950" s="133"/>
      <c r="I950" s="129"/>
      <c r="J950" s="130"/>
      <c r="K950" s="130"/>
      <c r="L950" s="130"/>
      <c r="M950" s="130"/>
      <c r="N950" s="140"/>
      <c r="O950" s="150"/>
      <c r="P950" s="150"/>
      <c r="Q950" s="134"/>
      <c r="R950" s="134"/>
      <c r="S950" s="134"/>
      <c r="T950" s="134"/>
      <c r="U950" s="134"/>
      <c r="V950" s="134"/>
      <c r="W950" s="134"/>
      <c r="X950" s="134"/>
      <c r="Y950" s="134"/>
    </row>
    <row r="951">
      <c r="A951" s="126"/>
      <c r="B951" s="127"/>
      <c r="C951" s="135"/>
      <c r="D951" s="144"/>
      <c r="E951" s="74" t="s">
        <v>56</v>
      </c>
      <c r="F951" s="63" t="s">
        <v>56</v>
      </c>
      <c r="G951" s="129"/>
      <c r="H951" s="133"/>
      <c r="I951" s="129"/>
      <c r="J951" s="130"/>
      <c r="K951" s="130"/>
      <c r="L951" s="130"/>
      <c r="M951" s="130"/>
      <c r="N951" s="140"/>
      <c r="O951" s="150"/>
      <c r="P951" s="150"/>
      <c r="Q951" s="134"/>
      <c r="R951" s="134"/>
      <c r="S951" s="134"/>
      <c r="T951" s="134"/>
      <c r="U951" s="134"/>
      <c r="V951" s="134"/>
      <c r="W951" s="134"/>
      <c r="X951" s="134"/>
      <c r="Y951" s="134"/>
    </row>
    <row r="952">
      <c r="A952" s="126"/>
      <c r="B952" s="127"/>
      <c r="C952" s="135"/>
      <c r="D952" s="144"/>
      <c r="E952" s="74" t="s">
        <v>56</v>
      </c>
      <c r="F952" s="63" t="s">
        <v>56</v>
      </c>
      <c r="G952" s="129"/>
      <c r="H952" s="133"/>
      <c r="I952" s="129"/>
      <c r="J952" s="130"/>
      <c r="K952" s="130"/>
      <c r="L952" s="130"/>
      <c r="M952" s="130"/>
      <c r="N952" s="140"/>
      <c r="O952" s="150"/>
      <c r="P952" s="150"/>
      <c r="Q952" s="134"/>
      <c r="R952" s="134"/>
      <c r="S952" s="134"/>
      <c r="T952" s="134"/>
      <c r="U952" s="134"/>
      <c r="V952" s="134"/>
      <c r="W952" s="134"/>
      <c r="X952" s="134"/>
      <c r="Y952" s="134"/>
    </row>
  </sheetData>
  <hyperlinks>
    <hyperlink r:id="rId1" ref="E3"/>
    <hyperlink r:id="rId2" ref="E4"/>
    <hyperlink r:id="rId3" ref="D5"/>
    <hyperlink r:id="rId4" ref="E5"/>
    <hyperlink r:id="rId5" ref="N5"/>
    <hyperlink r:id="rId6" ref="E6"/>
    <hyperlink r:id="rId7" ref="E7"/>
    <hyperlink r:id="rId8" ref="E8"/>
    <hyperlink r:id="rId9" ref="E9"/>
    <hyperlink r:id="rId10" ref="E10"/>
    <hyperlink r:id="rId11" ref="E11"/>
    <hyperlink r:id="rId12" ref="E12"/>
    <hyperlink r:id="rId13" ref="E13"/>
    <hyperlink r:id="rId14" ref="E14"/>
    <hyperlink r:id="rId15" ref="E15"/>
    <hyperlink r:id="rId16" ref="E16"/>
    <hyperlink r:id="rId17" ref="E17"/>
    <hyperlink r:id="rId18" ref="E18"/>
    <hyperlink r:id="rId19" ref="E19"/>
    <hyperlink r:id="rId20" ref="E20"/>
    <hyperlink r:id="rId21" ref="E21"/>
    <hyperlink r:id="rId22" ref="E22"/>
    <hyperlink r:id="rId23" ref="E23"/>
    <hyperlink r:id="rId24" ref="E24"/>
    <hyperlink r:id="rId25" ref="E25"/>
    <hyperlink r:id="rId26" ref="E26"/>
    <hyperlink r:id="rId27" ref="N26"/>
    <hyperlink r:id="rId28" ref="E27"/>
    <hyperlink r:id="rId29" ref="E28"/>
    <hyperlink r:id="rId30" ref="E29"/>
    <hyperlink r:id="rId31" ref="E30"/>
    <hyperlink r:id="rId32" ref="E31"/>
    <hyperlink r:id="rId33" ref="E32"/>
    <hyperlink r:id="rId34" ref="E33"/>
    <hyperlink r:id="rId35" ref="E34"/>
    <hyperlink r:id="rId36" ref="E35"/>
    <hyperlink r:id="rId37" ref="E36"/>
    <hyperlink r:id="rId38" ref="E37"/>
    <hyperlink r:id="rId39" ref="E38"/>
    <hyperlink r:id="rId40" ref="E39"/>
    <hyperlink r:id="rId41" ref="E40"/>
    <hyperlink r:id="rId42" ref="E41"/>
    <hyperlink r:id="rId43" ref="E42"/>
    <hyperlink r:id="rId44" ref="E43"/>
    <hyperlink r:id="rId45" ref="E44"/>
    <hyperlink r:id="rId46" ref="E45"/>
    <hyperlink r:id="rId47" ref="E46"/>
    <hyperlink r:id="rId48" ref="E47"/>
    <hyperlink r:id="rId49" ref="E48"/>
    <hyperlink r:id="rId50" ref="E49"/>
    <hyperlink r:id="rId51" ref="L49"/>
    <hyperlink r:id="rId52" ref="E50"/>
    <hyperlink r:id="rId53" ref="E51"/>
    <hyperlink r:id="rId54" ref="E52"/>
    <hyperlink r:id="rId55" ref="E53"/>
    <hyperlink r:id="rId56" ref="E54"/>
    <hyperlink r:id="rId57" ref="E55"/>
    <hyperlink r:id="rId58" ref="E56"/>
    <hyperlink r:id="rId59" ref="E57"/>
    <hyperlink r:id="rId60" ref="E58"/>
    <hyperlink r:id="rId61" ref="E59"/>
    <hyperlink r:id="rId62" ref="E60"/>
    <hyperlink r:id="rId63" ref="E61"/>
    <hyperlink r:id="rId64" ref="E62"/>
    <hyperlink r:id="rId65" ref="E63"/>
    <hyperlink r:id="rId66" ref="E64"/>
    <hyperlink r:id="rId67" ref="E65"/>
    <hyperlink r:id="rId68" ref="E66"/>
    <hyperlink r:id="rId69" ref="E67"/>
    <hyperlink r:id="rId70" ref="E68"/>
    <hyperlink r:id="rId71" ref="E69"/>
    <hyperlink r:id="rId72" ref="E70"/>
    <hyperlink r:id="rId73" ref="E71"/>
    <hyperlink r:id="rId74" ref="E72"/>
    <hyperlink r:id="rId75" ref="E73"/>
    <hyperlink r:id="rId76" ref="E74"/>
    <hyperlink r:id="rId77" ref="E75"/>
    <hyperlink r:id="rId78" ref="E76"/>
    <hyperlink r:id="rId79" ref="E77"/>
    <hyperlink r:id="rId80" ref="E78"/>
    <hyperlink r:id="rId81" ref="E79"/>
    <hyperlink r:id="rId82" ref="E80"/>
    <hyperlink r:id="rId83" ref="E81"/>
    <hyperlink r:id="rId84" ref="E82"/>
    <hyperlink r:id="rId85" ref="E83"/>
    <hyperlink r:id="rId86" ref="E84"/>
    <hyperlink r:id="rId87" ref="E85"/>
    <hyperlink r:id="rId88" ref="E86"/>
    <hyperlink r:id="rId89" ref="E87"/>
    <hyperlink r:id="rId90" ref="E88"/>
    <hyperlink r:id="rId91" ref="E89"/>
    <hyperlink r:id="rId92" ref="E90"/>
    <hyperlink r:id="rId93" ref="E91"/>
    <hyperlink r:id="rId94" ref="E92"/>
    <hyperlink r:id="rId95" ref="E93"/>
    <hyperlink r:id="rId96" ref="E94"/>
    <hyperlink r:id="rId97" ref="E95"/>
    <hyperlink r:id="rId98" ref="E96"/>
    <hyperlink r:id="rId99" ref="E97"/>
    <hyperlink r:id="rId100" ref="E98"/>
    <hyperlink r:id="rId101" ref="E99"/>
    <hyperlink r:id="rId102" ref="E100"/>
    <hyperlink r:id="rId103" ref="E101"/>
    <hyperlink r:id="rId104" ref="E102"/>
    <hyperlink r:id="rId105" ref="E103"/>
    <hyperlink r:id="rId106" ref="E104"/>
    <hyperlink r:id="rId107" ref="E105"/>
    <hyperlink r:id="rId108" ref="E106"/>
    <hyperlink r:id="rId109" ref="E107"/>
    <hyperlink r:id="rId110" ref="E108"/>
    <hyperlink r:id="rId111" ref="E109"/>
    <hyperlink r:id="rId112" ref="E110"/>
    <hyperlink r:id="rId113" ref="E111"/>
    <hyperlink r:id="rId114" ref="E112"/>
    <hyperlink r:id="rId115" ref="E113"/>
    <hyperlink r:id="rId116" ref="E114"/>
    <hyperlink r:id="rId117" ref="E115"/>
    <hyperlink r:id="rId118" ref="E116"/>
    <hyperlink r:id="rId119" ref="E117"/>
    <hyperlink r:id="rId120" ref="E118"/>
    <hyperlink r:id="rId121" ref="E119"/>
    <hyperlink r:id="rId122" ref="E120"/>
    <hyperlink r:id="rId123" ref="E121"/>
    <hyperlink r:id="rId124" ref="E122"/>
    <hyperlink r:id="rId125" ref="E123"/>
    <hyperlink r:id="rId126" ref="E124"/>
    <hyperlink r:id="rId127" ref="E125"/>
    <hyperlink r:id="rId128" ref="E126"/>
    <hyperlink r:id="rId129" ref="E127"/>
    <hyperlink r:id="rId130" ref="E128"/>
    <hyperlink r:id="rId131" ref="E129"/>
    <hyperlink r:id="rId132" ref="E130"/>
    <hyperlink r:id="rId133" ref="E131"/>
    <hyperlink r:id="rId134" ref="E132"/>
    <hyperlink r:id="rId135" ref="E133"/>
    <hyperlink r:id="rId136" ref="E134"/>
    <hyperlink r:id="rId137" ref="E135"/>
    <hyperlink r:id="rId138" ref="E136"/>
    <hyperlink r:id="rId139" ref="E137"/>
    <hyperlink r:id="rId140" ref="E138"/>
    <hyperlink r:id="rId141" ref="E139"/>
    <hyperlink r:id="rId142" ref="E140"/>
    <hyperlink r:id="rId143" ref="E141"/>
    <hyperlink r:id="rId144" ref="E142"/>
    <hyperlink r:id="rId145" ref="E143"/>
    <hyperlink r:id="rId146" ref="E144"/>
    <hyperlink r:id="rId147" ref="E145"/>
    <hyperlink r:id="rId148" ref="E146"/>
    <hyperlink r:id="rId149" ref="E147"/>
    <hyperlink r:id="rId150" ref="E148"/>
    <hyperlink r:id="rId151" ref="E149"/>
    <hyperlink r:id="rId152" ref="E150"/>
    <hyperlink r:id="rId153" ref="E151"/>
    <hyperlink r:id="rId154" ref="E152"/>
    <hyperlink r:id="rId155" ref="E153"/>
    <hyperlink r:id="rId156" ref="E154"/>
    <hyperlink r:id="rId157" ref="E155"/>
    <hyperlink r:id="rId158" ref="E156"/>
    <hyperlink r:id="rId159" ref="E157"/>
    <hyperlink r:id="rId160" ref="E158"/>
    <hyperlink r:id="rId161" ref="E159"/>
    <hyperlink r:id="rId162" ref="E160"/>
    <hyperlink r:id="rId163" ref="E161"/>
    <hyperlink r:id="rId164" ref="E162"/>
    <hyperlink r:id="rId165" ref="E163"/>
    <hyperlink r:id="rId166" ref="E164"/>
    <hyperlink r:id="rId167" ref="E165"/>
    <hyperlink r:id="rId168" ref="E166"/>
    <hyperlink r:id="rId169" ref="E167"/>
    <hyperlink r:id="rId170" ref="E168"/>
    <hyperlink r:id="rId171" ref="E169"/>
    <hyperlink r:id="rId172" ref="E170"/>
    <hyperlink r:id="rId173" ref="E171"/>
    <hyperlink r:id="rId174" ref="E172"/>
    <hyperlink r:id="rId175" ref="E173"/>
    <hyperlink r:id="rId176" ref="E174"/>
    <hyperlink r:id="rId177" ref="E175"/>
    <hyperlink r:id="rId178" ref="E176"/>
    <hyperlink r:id="rId179" ref="E177"/>
    <hyperlink r:id="rId180" ref="E178"/>
    <hyperlink r:id="rId181" ref="E179"/>
    <hyperlink r:id="rId182" ref="E180"/>
    <hyperlink r:id="rId183" ref="E181"/>
    <hyperlink r:id="rId184" ref="E182"/>
    <hyperlink r:id="rId185" ref="E183"/>
    <hyperlink r:id="rId186" ref="E184"/>
    <hyperlink r:id="rId187" ref="E185"/>
    <hyperlink r:id="rId188" ref="E186"/>
    <hyperlink r:id="rId189" ref="E187"/>
    <hyperlink r:id="rId190" ref="E188"/>
    <hyperlink r:id="rId191" ref="E189"/>
    <hyperlink r:id="rId192" ref="E190"/>
    <hyperlink r:id="rId193" ref="E191"/>
    <hyperlink r:id="rId194" ref="E192"/>
    <hyperlink r:id="rId195" ref="E193"/>
    <hyperlink r:id="rId196" ref="E194"/>
    <hyperlink r:id="rId197" ref="E195"/>
    <hyperlink r:id="rId198" ref="E196"/>
    <hyperlink r:id="rId199" ref="E197"/>
    <hyperlink r:id="rId200" ref="E198"/>
    <hyperlink r:id="rId201" ref="E199"/>
    <hyperlink r:id="rId202" ref="E200"/>
    <hyperlink r:id="rId203" ref="E201"/>
    <hyperlink r:id="rId204" ref="E202"/>
    <hyperlink r:id="rId205" ref="E203"/>
    <hyperlink r:id="rId206" ref="E204"/>
    <hyperlink r:id="rId207" ref="E205"/>
    <hyperlink r:id="rId208" ref="E206"/>
    <hyperlink r:id="rId209" ref="E207"/>
    <hyperlink r:id="rId210" ref="E208"/>
    <hyperlink r:id="rId211" ref="E209"/>
    <hyperlink r:id="rId212" ref="E210"/>
    <hyperlink r:id="rId213" ref="E211"/>
    <hyperlink r:id="rId214" ref="E212"/>
    <hyperlink r:id="rId215" ref="E213"/>
    <hyperlink r:id="rId216" ref="E214"/>
    <hyperlink r:id="rId217" ref="E215"/>
    <hyperlink r:id="rId218" ref="E216"/>
    <hyperlink r:id="rId219" ref="E217"/>
    <hyperlink r:id="rId220" ref="E218"/>
    <hyperlink r:id="rId221" ref="E219"/>
    <hyperlink r:id="rId222" ref="E220"/>
    <hyperlink r:id="rId223" ref="E221"/>
    <hyperlink r:id="rId224" ref="E222"/>
    <hyperlink r:id="rId225" ref="E223"/>
    <hyperlink r:id="rId226" ref="E224"/>
    <hyperlink r:id="rId227" ref="E225"/>
    <hyperlink r:id="rId228" ref="E226"/>
    <hyperlink r:id="rId229" ref="E227"/>
    <hyperlink r:id="rId230" ref="E228"/>
    <hyperlink r:id="rId231" ref="E229"/>
    <hyperlink r:id="rId232" ref="E230"/>
    <hyperlink r:id="rId233" ref="E231"/>
    <hyperlink r:id="rId234" ref="E232"/>
    <hyperlink r:id="rId235" ref="E233"/>
    <hyperlink r:id="rId236" ref="E234"/>
    <hyperlink r:id="rId237" ref="E235"/>
    <hyperlink r:id="rId238" ref="E236"/>
    <hyperlink r:id="rId239" ref="E237"/>
    <hyperlink r:id="rId240" ref="E238"/>
    <hyperlink r:id="rId241" ref="E239"/>
    <hyperlink r:id="rId242" ref="E240"/>
    <hyperlink r:id="rId243" ref="E241"/>
    <hyperlink r:id="rId244" ref="E242"/>
    <hyperlink r:id="rId245" ref="E243"/>
    <hyperlink r:id="rId246" ref="E244"/>
    <hyperlink r:id="rId247" ref="E245"/>
    <hyperlink r:id="rId248" ref="E246"/>
    <hyperlink r:id="rId249" ref="E247"/>
    <hyperlink r:id="rId250" ref="E248"/>
    <hyperlink r:id="rId251" ref="E249"/>
    <hyperlink r:id="rId252" ref="E250"/>
    <hyperlink r:id="rId253" ref="E251"/>
    <hyperlink r:id="rId254" ref="E252"/>
    <hyperlink r:id="rId255" ref="D253"/>
    <hyperlink r:id="rId256" ref="E253"/>
    <hyperlink r:id="rId257" ref="D254"/>
    <hyperlink r:id="rId258" ref="E254"/>
    <hyperlink r:id="rId259" ref="D255"/>
    <hyperlink r:id="rId260" ref="E255"/>
    <hyperlink r:id="rId261" ref="E256"/>
    <hyperlink r:id="rId262" ref="E257"/>
    <hyperlink r:id="rId263" ref="E258"/>
    <hyperlink r:id="rId264" ref="E259"/>
    <hyperlink r:id="rId265" ref="E260"/>
    <hyperlink r:id="rId266" ref="E261"/>
    <hyperlink r:id="rId267" ref="N261"/>
    <hyperlink r:id="rId268" ref="E262"/>
    <hyperlink r:id="rId269" ref="E263"/>
    <hyperlink r:id="rId270" ref="E264"/>
    <hyperlink r:id="rId271" ref="E265"/>
    <hyperlink r:id="rId272" ref="E266"/>
    <hyperlink r:id="rId273" ref="E267"/>
    <hyperlink r:id="rId274" ref="E268"/>
    <hyperlink r:id="rId275" ref="E269"/>
    <hyperlink r:id="rId276" ref="E270"/>
    <hyperlink r:id="rId277" ref="E271"/>
    <hyperlink r:id="rId278" ref="E272"/>
    <hyperlink r:id="rId279" ref="E273"/>
    <hyperlink r:id="rId280" ref="E274"/>
    <hyperlink r:id="rId281" ref="E275"/>
    <hyperlink r:id="rId282" ref="E276"/>
    <hyperlink r:id="rId283" ref="E277"/>
    <hyperlink r:id="rId284" ref="E278"/>
    <hyperlink r:id="rId285" ref="E279"/>
    <hyperlink r:id="rId286" ref="E280"/>
    <hyperlink r:id="rId287" ref="E281"/>
    <hyperlink r:id="rId288" ref="E282"/>
    <hyperlink r:id="rId289" ref="E283"/>
    <hyperlink r:id="rId290" ref="E284"/>
    <hyperlink r:id="rId291" ref="E285"/>
    <hyperlink r:id="rId292" ref="E286"/>
    <hyperlink r:id="rId293" ref="E287"/>
    <hyperlink r:id="rId294" ref="E288"/>
    <hyperlink r:id="rId295" ref="E289"/>
    <hyperlink r:id="rId296" ref="E290"/>
    <hyperlink r:id="rId297" ref="E291"/>
    <hyperlink r:id="rId298" ref="E292"/>
    <hyperlink r:id="rId299" ref="E293"/>
    <hyperlink r:id="rId300" ref="E294"/>
    <hyperlink r:id="rId301" ref="E295"/>
    <hyperlink r:id="rId302" ref="E296"/>
    <hyperlink r:id="rId303" ref="E297"/>
    <hyperlink r:id="rId304" ref="E298"/>
    <hyperlink r:id="rId305" ref="E299"/>
    <hyperlink r:id="rId306" ref="E300"/>
    <hyperlink r:id="rId307" ref="E301"/>
    <hyperlink r:id="rId308" ref="E302"/>
    <hyperlink r:id="rId309" ref="E303"/>
    <hyperlink r:id="rId310" ref="E304"/>
    <hyperlink r:id="rId311" ref="E305"/>
    <hyperlink r:id="rId312" ref="E306"/>
    <hyperlink r:id="rId313" ref="E307"/>
    <hyperlink r:id="rId314" ref="E308"/>
    <hyperlink r:id="rId315" ref="E309"/>
    <hyperlink r:id="rId316" ref="E310"/>
    <hyperlink r:id="rId317" ref="E311"/>
    <hyperlink r:id="rId318" ref="E312"/>
    <hyperlink r:id="rId319" ref="E313"/>
    <hyperlink r:id="rId320" ref="E314"/>
    <hyperlink r:id="rId321" ref="E315"/>
    <hyperlink r:id="rId322" ref="E316"/>
    <hyperlink r:id="rId323" ref="E317"/>
    <hyperlink r:id="rId324" ref="E318"/>
    <hyperlink r:id="rId325" ref="E319"/>
    <hyperlink r:id="rId326" ref="E320"/>
    <hyperlink r:id="rId327" ref="E321"/>
    <hyperlink r:id="rId328" ref="E322"/>
    <hyperlink r:id="rId329" ref="E323"/>
    <hyperlink r:id="rId330" ref="E324"/>
    <hyperlink r:id="rId331" ref="E325"/>
    <hyperlink r:id="rId332" ref="E326"/>
    <hyperlink r:id="rId333" ref="E327"/>
    <hyperlink r:id="rId334" ref="E328"/>
    <hyperlink r:id="rId335" ref="E329"/>
    <hyperlink r:id="rId336" ref="E330"/>
    <hyperlink r:id="rId337" ref="E331"/>
    <hyperlink r:id="rId338" ref="E332"/>
    <hyperlink r:id="rId339" ref="E333"/>
    <hyperlink r:id="rId340" ref="N333"/>
    <hyperlink r:id="rId341" ref="E334"/>
  </hyperlinks>
  <drawing r:id="rId34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8">IF($A$3:$A88&lt;&gt;"", XLOOKUP($A$3:$A88, Sourcepull!$B$3:$B88, Sourcepull!$A$3:$A88, ""), "")</f>
        <v/>
      </c>
      <c r="C3" s="57" t="str">
        <f t="array" ref="C3:C88">if($A$3:$A88&lt;&gt;"","SP-"&amp;$B$3:$B88&amp;"-"&amp;$A$3:$A88&amp;".pdf", "")</f>
        <v>SP--Keep this row hidden / do not edit!.pdf</v>
      </c>
      <c r="D3" s="57" t="str">
        <f t="array" ref="D3:D88">if($J$3:$J88&lt;&gt;"","R1-"&amp;$J$3:$J88&amp;"-"&amp;$K$3:$K88&amp;"-"&amp;$B$3:$B88&amp;"-"&amp;$A$3:$A88&amp;".pdf", "")</f>
        <v/>
      </c>
      <c r="E3" s="57" t="str">
        <f t="array" ref="E3:E88">if($R$3:$R88&lt;&gt;"","R2-"&amp;$R$3:$R88&amp;"-"&amp;$S$3:$S88&amp;"-"&amp;$B$3:$B88&amp;"-"&amp;$A$3:$A88&amp;".pdf", "")</f>
        <v/>
      </c>
      <c r="F3" s="107" t="str">
        <f t="array" ref="F3:F88">if($C$3:$C88 &lt;&gt; "", hyperlink("https://drive.google.com/drive/search?q=parent:" &amp; Properties!$C$8 &amp; "%20" &amp; char(34) &amp; $C$3:$C88 &amp; char(34), "➔"), "")</f>
        <v>➔</v>
      </c>
      <c r="G3" s="107" t="str">
        <f t="array" ref="G3:G88">if($D$3:$D88 &lt;&gt; "", hyperlink("https://drive.google.com/drive/search?q=parent:" &amp; Properties!$C$9 &amp; "%20" &amp; char(34) &amp; $D$3:$D88 &amp; char(34), "➔"), "")</f>
        <v/>
      </c>
      <c r="H3" s="107" t="str">
        <f t="array" ref="H3:H88">if($E$3:$E88 &lt;&gt; "", hyperlink("https://drive.google.com/drive/search?q=parent:" &amp; Properties!$C$10 &amp; "%20" &amp; char(34) &amp; $E$3:$E88 &amp; char(34), "➔"), "")</f>
        <v/>
      </c>
      <c r="I3" s="57"/>
      <c r="J3" s="57"/>
      <c r="K3" s="57"/>
      <c r="L3" s="57"/>
      <c r="M3" s="57"/>
      <c r="N3" s="57"/>
      <c r="O3" s="57"/>
      <c r="P3" s="108"/>
      <c r="Q3" s="109"/>
      <c r="R3" s="57"/>
      <c r="S3" s="57"/>
      <c r="T3" s="57"/>
      <c r="U3" s="57"/>
      <c r="V3" s="57"/>
      <c r="W3" s="57"/>
      <c r="X3" s="57"/>
    </row>
    <row r="4">
      <c r="A4" s="110" t="s">
        <v>34</v>
      </c>
      <c r="B4" s="111" t="s">
        <v>1987</v>
      </c>
      <c r="C4" s="111" t="s">
        <v>1988</v>
      </c>
      <c r="D4" s="111" t="s">
        <v>2000</v>
      </c>
      <c r="E4" s="111" t="s">
        <v>56</v>
      </c>
      <c r="F4" s="112" t="s">
        <v>1233</v>
      </c>
      <c r="G4" s="113" t="s">
        <v>1233</v>
      </c>
      <c r="H4" s="113" t="s">
        <v>56</v>
      </c>
      <c r="I4" s="114" t="s">
        <v>1316</v>
      </c>
      <c r="J4" s="115" t="s">
        <v>1232</v>
      </c>
      <c r="K4" s="114" t="s">
        <v>2001</v>
      </c>
      <c r="L4" s="114"/>
      <c r="M4" s="114"/>
      <c r="N4" s="114"/>
      <c r="O4" s="114"/>
      <c r="P4" s="116"/>
      <c r="Q4" s="117"/>
      <c r="R4" s="114"/>
      <c r="S4" s="114"/>
      <c r="T4" s="114"/>
      <c r="U4" s="114"/>
      <c r="V4" s="114"/>
      <c r="W4" s="114"/>
      <c r="X4" s="118"/>
    </row>
    <row r="5">
      <c r="A5" s="115" t="s">
        <v>36</v>
      </c>
      <c r="B5" s="111" t="s">
        <v>1990</v>
      </c>
      <c r="C5" s="111" t="s">
        <v>1991</v>
      </c>
      <c r="D5" s="111" t="s">
        <v>2002</v>
      </c>
      <c r="E5" s="111" t="s">
        <v>56</v>
      </c>
      <c r="F5" s="113" t="s">
        <v>1233</v>
      </c>
      <c r="G5" s="113" t="s">
        <v>1233</v>
      </c>
      <c r="H5" s="113" t="s">
        <v>56</v>
      </c>
      <c r="I5" s="114" t="s">
        <v>1316</v>
      </c>
      <c r="J5" s="115" t="s">
        <v>1232</v>
      </c>
      <c r="K5" s="114" t="s">
        <v>2003</v>
      </c>
      <c r="L5" s="114"/>
      <c r="M5" s="114"/>
      <c r="N5" s="119"/>
      <c r="O5" s="114"/>
      <c r="P5" s="120"/>
      <c r="Q5" s="117"/>
      <c r="R5" s="114"/>
      <c r="S5" s="114"/>
      <c r="T5" s="114"/>
      <c r="U5" s="114"/>
      <c r="V5" s="114"/>
      <c r="W5" s="114"/>
      <c r="X5" s="118"/>
    </row>
    <row r="6">
      <c r="A6" s="115" t="s">
        <v>38</v>
      </c>
      <c r="B6" s="111" t="s">
        <v>1992</v>
      </c>
      <c r="C6" s="111" t="s">
        <v>1993</v>
      </c>
      <c r="D6" s="111" t="s">
        <v>2004</v>
      </c>
      <c r="E6" s="111" t="s">
        <v>56</v>
      </c>
      <c r="F6" s="113" t="s">
        <v>1233</v>
      </c>
      <c r="G6" s="113" t="s">
        <v>1233</v>
      </c>
      <c r="H6" s="113" t="s">
        <v>56</v>
      </c>
      <c r="I6" s="114" t="s">
        <v>1316</v>
      </c>
      <c r="J6" s="115" t="s">
        <v>1232</v>
      </c>
      <c r="K6" s="114" t="s">
        <v>2005</v>
      </c>
      <c r="L6" s="114"/>
      <c r="M6" s="114"/>
      <c r="N6" s="114"/>
      <c r="O6" s="121"/>
      <c r="P6" s="116"/>
      <c r="Q6" s="117"/>
      <c r="R6" s="114"/>
      <c r="S6" s="114"/>
      <c r="T6" s="114"/>
      <c r="U6" s="114"/>
      <c r="V6" s="114"/>
      <c r="W6" s="114"/>
      <c r="X6" s="118"/>
    </row>
    <row r="7">
      <c r="A7" s="115" t="s">
        <v>40</v>
      </c>
      <c r="B7" s="111" t="s">
        <v>1994</v>
      </c>
      <c r="C7" s="111" t="s">
        <v>1995</v>
      </c>
      <c r="D7" s="111" t="s">
        <v>2006</v>
      </c>
      <c r="E7" s="111" t="s">
        <v>56</v>
      </c>
      <c r="F7" s="113" t="s">
        <v>1233</v>
      </c>
      <c r="G7" s="113" t="s">
        <v>1233</v>
      </c>
      <c r="H7" s="113" t="s">
        <v>56</v>
      </c>
      <c r="I7" s="114" t="s">
        <v>1316</v>
      </c>
      <c r="J7" s="115" t="s">
        <v>1232</v>
      </c>
      <c r="K7" s="114" t="s">
        <v>2007</v>
      </c>
      <c r="L7" s="114"/>
      <c r="M7" s="114"/>
      <c r="N7" s="114"/>
      <c r="O7" s="121"/>
      <c r="P7" s="122"/>
      <c r="Q7" s="123"/>
      <c r="R7" s="114"/>
      <c r="S7" s="114"/>
      <c r="T7" s="114"/>
      <c r="U7" s="114"/>
      <c r="V7" s="114"/>
      <c r="W7" s="114"/>
      <c r="X7" s="118"/>
    </row>
    <row r="8">
      <c r="A8" s="115" t="s">
        <v>42</v>
      </c>
      <c r="B8" s="111" t="s">
        <v>1998</v>
      </c>
      <c r="C8" s="111" t="s">
        <v>1999</v>
      </c>
      <c r="D8" s="111" t="s">
        <v>2008</v>
      </c>
      <c r="E8" s="111" t="s">
        <v>56</v>
      </c>
      <c r="F8" s="113" t="s">
        <v>1233</v>
      </c>
      <c r="G8" s="113" t="s">
        <v>1233</v>
      </c>
      <c r="H8" s="113" t="s">
        <v>56</v>
      </c>
      <c r="I8" s="114" t="s">
        <v>1316</v>
      </c>
      <c r="J8" s="115" t="s">
        <v>1232</v>
      </c>
      <c r="K8" s="114" t="s">
        <v>2009</v>
      </c>
      <c r="L8" s="114"/>
      <c r="M8" s="114"/>
      <c r="N8" s="114"/>
      <c r="O8" s="121"/>
      <c r="P8" s="122"/>
      <c r="Q8" s="123"/>
      <c r="R8" s="114"/>
      <c r="S8" s="114"/>
      <c r="T8" s="114"/>
      <c r="U8" s="114"/>
      <c r="V8" s="114"/>
      <c r="W8" s="114"/>
      <c r="X8" s="118"/>
    </row>
    <row r="9">
      <c r="A9" s="115" t="s">
        <v>45</v>
      </c>
      <c r="B9" s="111" t="s">
        <v>1232</v>
      </c>
      <c r="C9" s="111" t="s">
        <v>1234</v>
      </c>
      <c r="D9" s="111" t="s">
        <v>2010</v>
      </c>
      <c r="E9" s="111" t="s">
        <v>56</v>
      </c>
      <c r="F9" s="113" t="s">
        <v>1233</v>
      </c>
      <c r="G9" s="113" t="s">
        <v>1233</v>
      </c>
      <c r="H9" s="113" t="s">
        <v>56</v>
      </c>
      <c r="I9" s="114" t="s">
        <v>1316</v>
      </c>
      <c r="J9" s="115" t="s">
        <v>1236</v>
      </c>
      <c r="K9" s="114" t="s">
        <v>2001</v>
      </c>
      <c r="L9" s="114"/>
      <c r="M9" s="114"/>
      <c r="N9" s="114"/>
      <c r="O9" s="121"/>
      <c r="P9" s="122"/>
      <c r="Q9" s="123"/>
      <c r="R9" s="114"/>
      <c r="S9" s="114"/>
      <c r="T9" s="114"/>
      <c r="U9" s="114"/>
      <c r="V9" s="114"/>
      <c r="W9" s="114"/>
      <c r="X9" s="118"/>
    </row>
    <row r="10">
      <c r="A10" s="115" t="s">
        <v>47</v>
      </c>
      <c r="B10" s="111" t="s">
        <v>1236</v>
      </c>
      <c r="C10" s="111" t="s">
        <v>1237</v>
      </c>
      <c r="D10" s="111" t="s">
        <v>2011</v>
      </c>
      <c r="E10" s="111" t="s">
        <v>56</v>
      </c>
      <c r="F10" s="113" t="s">
        <v>1233</v>
      </c>
      <c r="G10" s="113" t="s">
        <v>1233</v>
      </c>
      <c r="H10" s="113" t="s">
        <v>56</v>
      </c>
      <c r="I10" s="114" t="s">
        <v>1316</v>
      </c>
      <c r="J10" s="115" t="s">
        <v>1236</v>
      </c>
      <c r="K10" s="114" t="s">
        <v>2003</v>
      </c>
      <c r="L10" s="114"/>
      <c r="M10" s="114"/>
      <c r="N10" s="114"/>
      <c r="O10" s="121"/>
      <c r="P10" s="122"/>
      <c r="Q10" s="123"/>
      <c r="R10" s="114"/>
      <c r="S10" s="114"/>
      <c r="T10" s="114"/>
      <c r="U10" s="114"/>
      <c r="V10" s="114"/>
      <c r="W10" s="114"/>
      <c r="X10" s="118"/>
    </row>
    <row r="11">
      <c r="A11" s="115" t="s">
        <v>50</v>
      </c>
      <c r="B11" s="111" t="s">
        <v>1238</v>
      </c>
      <c r="C11" s="111" t="s">
        <v>1239</v>
      </c>
      <c r="D11" s="111" t="s">
        <v>2012</v>
      </c>
      <c r="E11" s="111" t="s">
        <v>56</v>
      </c>
      <c r="F11" s="113" t="s">
        <v>1233</v>
      </c>
      <c r="G11" s="113" t="s">
        <v>1233</v>
      </c>
      <c r="H11" s="113" t="s">
        <v>56</v>
      </c>
      <c r="I11" s="114" t="s">
        <v>1316</v>
      </c>
      <c r="J11" s="115" t="s">
        <v>1238</v>
      </c>
      <c r="K11" s="114" t="s">
        <v>2001</v>
      </c>
      <c r="L11" s="114"/>
      <c r="M11" s="114"/>
      <c r="N11" s="114"/>
      <c r="O11" s="121"/>
      <c r="P11" s="122"/>
      <c r="Q11" s="123"/>
      <c r="R11" s="114"/>
      <c r="S11" s="114"/>
      <c r="T11" s="114"/>
      <c r="U11" s="114"/>
      <c r="V11" s="114"/>
      <c r="W11" s="114"/>
      <c r="X11" s="118"/>
    </row>
    <row r="12">
      <c r="A12" s="115" t="s">
        <v>53</v>
      </c>
      <c r="B12" s="111" t="s">
        <v>1240</v>
      </c>
      <c r="C12" s="111" t="s">
        <v>1241</v>
      </c>
      <c r="D12" s="111" t="s">
        <v>2013</v>
      </c>
      <c r="E12" s="111" t="s">
        <v>56</v>
      </c>
      <c r="F12" s="113" t="s">
        <v>1233</v>
      </c>
      <c r="G12" s="113" t="s">
        <v>1233</v>
      </c>
      <c r="H12" s="113" t="s">
        <v>56</v>
      </c>
      <c r="I12" s="114" t="s">
        <v>1316</v>
      </c>
      <c r="J12" s="115" t="s">
        <v>1240</v>
      </c>
      <c r="K12" s="114" t="s">
        <v>2001</v>
      </c>
      <c r="L12" s="114"/>
      <c r="M12" s="114"/>
      <c r="N12" s="114"/>
      <c r="O12" s="121"/>
      <c r="P12" s="123"/>
      <c r="Q12" s="123"/>
      <c r="R12" s="114"/>
      <c r="S12" s="114"/>
      <c r="T12" s="114"/>
      <c r="U12" s="114"/>
      <c r="V12" s="114"/>
      <c r="W12" s="114"/>
      <c r="X12" s="118"/>
    </row>
    <row r="13">
      <c r="A13" s="115" t="s">
        <v>53</v>
      </c>
      <c r="B13" s="111" t="s">
        <v>1240</v>
      </c>
      <c r="C13" s="111" t="s">
        <v>1241</v>
      </c>
      <c r="D13" s="111" t="s">
        <v>2014</v>
      </c>
      <c r="E13" s="111" t="s">
        <v>56</v>
      </c>
      <c r="F13" s="113" t="s">
        <v>1233</v>
      </c>
      <c r="G13" s="113" t="s">
        <v>1233</v>
      </c>
      <c r="H13" s="113" t="s">
        <v>56</v>
      </c>
      <c r="I13" s="114" t="s">
        <v>1316</v>
      </c>
      <c r="J13" s="115" t="s">
        <v>1242</v>
      </c>
      <c r="K13" s="114" t="s">
        <v>2001</v>
      </c>
      <c r="L13" s="114"/>
      <c r="M13" s="114"/>
      <c r="N13" s="114"/>
      <c r="O13" s="121"/>
      <c r="P13" s="123"/>
      <c r="Q13" s="123"/>
      <c r="R13" s="114"/>
      <c r="S13" s="114"/>
      <c r="T13" s="114"/>
      <c r="U13" s="114"/>
      <c r="V13" s="114"/>
      <c r="W13" s="114"/>
      <c r="X13" s="118"/>
    </row>
    <row r="14">
      <c r="A14" s="115" t="s">
        <v>59</v>
      </c>
      <c r="B14" s="111" t="s">
        <v>1242</v>
      </c>
      <c r="C14" s="111" t="s">
        <v>1243</v>
      </c>
      <c r="D14" s="111" t="s">
        <v>2015</v>
      </c>
      <c r="E14" s="111" t="s">
        <v>56</v>
      </c>
      <c r="F14" s="113" t="s">
        <v>1233</v>
      </c>
      <c r="G14" s="113" t="s">
        <v>1233</v>
      </c>
      <c r="H14" s="113" t="s">
        <v>56</v>
      </c>
      <c r="I14" s="114" t="s">
        <v>1316</v>
      </c>
      <c r="J14" s="115" t="s">
        <v>1244</v>
      </c>
      <c r="K14" s="114" t="s">
        <v>2001</v>
      </c>
      <c r="L14" s="114"/>
      <c r="M14" s="114"/>
      <c r="N14" s="114"/>
      <c r="O14" s="121"/>
      <c r="P14" s="123"/>
      <c r="Q14" s="123"/>
      <c r="R14" s="114"/>
      <c r="S14" s="114"/>
      <c r="T14" s="114"/>
      <c r="U14" s="114"/>
      <c r="V14" s="114"/>
      <c r="W14" s="114"/>
      <c r="X14" s="118"/>
    </row>
    <row r="15">
      <c r="A15" s="115" t="s">
        <v>59</v>
      </c>
      <c r="B15" s="111" t="s">
        <v>1242</v>
      </c>
      <c r="C15" s="111" t="s">
        <v>1243</v>
      </c>
      <c r="D15" s="111" t="s">
        <v>2016</v>
      </c>
      <c r="E15" s="111" t="s">
        <v>56</v>
      </c>
      <c r="F15" s="113" t="s">
        <v>1233</v>
      </c>
      <c r="G15" s="113" t="s">
        <v>1233</v>
      </c>
      <c r="H15" s="113" t="s">
        <v>56</v>
      </c>
      <c r="I15" s="114" t="s">
        <v>1316</v>
      </c>
      <c r="J15" s="115" t="s">
        <v>1246</v>
      </c>
      <c r="K15" s="114" t="s">
        <v>2001</v>
      </c>
      <c r="L15" s="114"/>
      <c r="M15" s="114"/>
      <c r="N15" s="114"/>
      <c r="O15" s="121"/>
      <c r="P15" s="123"/>
      <c r="Q15" s="123"/>
      <c r="R15" s="114"/>
      <c r="S15" s="114"/>
      <c r="T15" s="114"/>
      <c r="U15" s="114"/>
      <c r="V15" s="114"/>
      <c r="W15" s="114"/>
      <c r="X15" s="118"/>
    </row>
    <row r="16">
      <c r="A16" s="115" t="s">
        <v>63</v>
      </c>
      <c r="B16" s="111" t="s">
        <v>1244</v>
      </c>
      <c r="C16" s="111" t="s">
        <v>1245</v>
      </c>
      <c r="D16" s="111" t="s">
        <v>2017</v>
      </c>
      <c r="E16" s="111" t="s">
        <v>56</v>
      </c>
      <c r="F16" s="113" t="s">
        <v>1233</v>
      </c>
      <c r="G16" s="113" t="s">
        <v>1233</v>
      </c>
      <c r="H16" s="113" t="s">
        <v>56</v>
      </c>
      <c r="I16" s="114" t="s">
        <v>1316</v>
      </c>
      <c r="J16" s="115" t="s">
        <v>1246</v>
      </c>
      <c r="K16" s="114" t="s">
        <v>2003</v>
      </c>
      <c r="L16" s="114"/>
      <c r="M16" s="114"/>
      <c r="N16" s="114"/>
      <c r="O16" s="121"/>
      <c r="P16" s="123"/>
      <c r="Q16" s="123"/>
      <c r="R16" s="114"/>
      <c r="S16" s="114"/>
      <c r="T16" s="114"/>
      <c r="U16" s="114"/>
      <c r="V16" s="114"/>
      <c r="W16" s="114"/>
      <c r="X16" s="118"/>
    </row>
    <row r="17">
      <c r="A17" s="115" t="s">
        <v>65</v>
      </c>
      <c r="B17" s="111" t="s">
        <v>1246</v>
      </c>
      <c r="C17" s="111" t="s">
        <v>1247</v>
      </c>
      <c r="D17" s="111" t="s">
        <v>2018</v>
      </c>
      <c r="E17" s="111" t="s">
        <v>56</v>
      </c>
      <c r="F17" s="113" t="s">
        <v>1233</v>
      </c>
      <c r="G17" s="113" t="s">
        <v>1233</v>
      </c>
      <c r="H17" s="113" t="s">
        <v>56</v>
      </c>
      <c r="I17" s="114" t="s">
        <v>1316</v>
      </c>
      <c r="J17" s="115" t="s">
        <v>1246</v>
      </c>
      <c r="K17" s="114" t="s">
        <v>2005</v>
      </c>
      <c r="L17" s="114"/>
      <c r="M17" s="114"/>
      <c r="N17" s="114"/>
      <c r="O17" s="121"/>
      <c r="P17" s="123"/>
      <c r="Q17" s="123"/>
      <c r="R17" s="114"/>
      <c r="S17" s="114"/>
      <c r="T17" s="114"/>
      <c r="U17" s="114"/>
      <c r="V17" s="114"/>
      <c r="W17" s="114"/>
      <c r="X17" s="118"/>
    </row>
    <row r="18">
      <c r="A18" s="115" t="s">
        <v>59</v>
      </c>
      <c r="B18" s="111" t="s">
        <v>1242</v>
      </c>
      <c r="C18" s="111" t="s">
        <v>1243</v>
      </c>
      <c r="D18" s="111" t="s">
        <v>2019</v>
      </c>
      <c r="E18" s="111" t="s">
        <v>56</v>
      </c>
      <c r="F18" s="113" t="s">
        <v>1233</v>
      </c>
      <c r="G18" s="113" t="s">
        <v>1233</v>
      </c>
      <c r="H18" s="113" t="s">
        <v>56</v>
      </c>
      <c r="I18" s="114" t="s">
        <v>1316</v>
      </c>
      <c r="J18" s="115" t="s">
        <v>1248</v>
      </c>
      <c r="K18" s="114" t="s">
        <v>2001</v>
      </c>
      <c r="L18" s="114"/>
      <c r="M18" s="114"/>
      <c r="N18" s="114"/>
      <c r="O18" s="121"/>
      <c r="P18" s="123"/>
      <c r="Q18" s="123"/>
      <c r="R18" s="114"/>
      <c r="S18" s="114"/>
      <c r="T18" s="114"/>
      <c r="U18" s="114"/>
      <c r="V18" s="114"/>
      <c r="W18" s="114"/>
      <c r="X18" s="118"/>
    </row>
    <row r="19">
      <c r="A19" s="115" t="s">
        <v>69</v>
      </c>
      <c r="B19" s="111" t="s">
        <v>1248</v>
      </c>
      <c r="C19" s="111" t="s">
        <v>1249</v>
      </c>
      <c r="D19" s="111" t="s">
        <v>2020</v>
      </c>
      <c r="E19" s="111" t="s">
        <v>56</v>
      </c>
      <c r="F19" s="113" t="s">
        <v>1233</v>
      </c>
      <c r="G19" s="113" t="s">
        <v>1233</v>
      </c>
      <c r="H19" s="113" t="s">
        <v>56</v>
      </c>
      <c r="I19" s="114" t="s">
        <v>1316</v>
      </c>
      <c r="J19" s="115" t="s">
        <v>1248</v>
      </c>
      <c r="K19" s="114" t="s">
        <v>2003</v>
      </c>
      <c r="L19" s="114"/>
      <c r="M19" s="114"/>
      <c r="N19" s="114"/>
      <c r="O19" s="121"/>
      <c r="P19" s="123"/>
      <c r="Q19" s="123"/>
      <c r="R19" s="114"/>
      <c r="S19" s="114"/>
      <c r="T19" s="114"/>
      <c r="U19" s="114"/>
      <c r="V19" s="114"/>
      <c r="W19" s="114"/>
      <c r="X19" s="118"/>
    </row>
    <row r="20">
      <c r="A20" s="115" t="s">
        <v>69</v>
      </c>
      <c r="B20" s="111" t="s">
        <v>1248</v>
      </c>
      <c r="C20" s="111" t="s">
        <v>1249</v>
      </c>
      <c r="D20" s="111" t="s">
        <v>2021</v>
      </c>
      <c r="E20" s="111" t="s">
        <v>56</v>
      </c>
      <c r="F20" s="113" t="s">
        <v>1233</v>
      </c>
      <c r="G20" s="113" t="s">
        <v>1233</v>
      </c>
      <c r="H20" s="113" t="s">
        <v>56</v>
      </c>
      <c r="I20" s="114" t="s">
        <v>1316</v>
      </c>
      <c r="J20" s="115" t="s">
        <v>1250</v>
      </c>
      <c r="K20" s="114" t="s">
        <v>2001</v>
      </c>
      <c r="L20" s="114"/>
      <c r="M20" s="114"/>
      <c r="N20" s="114"/>
      <c r="O20" s="121"/>
      <c r="P20" s="123"/>
      <c r="Q20" s="123"/>
      <c r="R20" s="114"/>
      <c r="S20" s="114"/>
      <c r="T20" s="114"/>
      <c r="U20" s="114"/>
      <c r="V20" s="114"/>
      <c r="W20" s="114"/>
      <c r="X20" s="118"/>
    </row>
    <row r="21">
      <c r="A21" s="115" t="s">
        <v>73</v>
      </c>
      <c r="B21" s="111" t="s">
        <v>1250</v>
      </c>
      <c r="C21" s="111" t="s">
        <v>1251</v>
      </c>
      <c r="D21" s="111" t="s">
        <v>2022</v>
      </c>
      <c r="E21" s="111" t="s">
        <v>56</v>
      </c>
      <c r="F21" s="113" t="s">
        <v>1233</v>
      </c>
      <c r="G21" s="113" t="s">
        <v>1233</v>
      </c>
      <c r="H21" s="113" t="s">
        <v>56</v>
      </c>
      <c r="I21" s="114" t="s">
        <v>1316</v>
      </c>
      <c r="J21" s="115" t="s">
        <v>1250</v>
      </c>
      <c r="K21" s="114" t="s">
        <v>2003</v>
      </c>
      <c r="L21" s="114"/>
      <c r="M21" s="114"/>
      <c r="N21" s="114"/>
      <c r="O21" s="121"/>
      <c r="P21" s="123"/>
      <c r="Q21" s="123"/>
      <c r="R21" s="114"/>
      <c r="S21" s="114"/>
      <c r="T21" s="114"/>
      <c r="U21" s="114"/>
      <c r="V21" s="114"/>
      <c r="W21" s="114"/>
      <c r="X21" s="118"/>
    </row>
    <row r="22">
      <c r="A22" s="115" t="s">
        <v>75</v>
      </c>
      <c r="B22" s="111" t="s">
        <v>1252</v>
      </c>
      <c r="C22" s="111" t="s">
        <v>1253</v>
      </c>
      <c r="D22" s="111" t="s">
        <v>2023</v>
      </c>
      <c r="E22" s="111" t="s">
        <v>56</v>
      </c>
      <c r="F22" s="113" t="s">
        <v>1233</v>
      </c>
      <c r="G22" s="113" t="s">
        <v>1233</v>
      </c>
      <c r="H22" s="113" t="s">
        <v>56</v>
      </c>
      <c r="I22" s="114" t="s">
        <v>1316</v>
      </c>
      <c r="J22" s="115" t="s">
        <v>1250</v>
      </c>
      <c r="K22" s="114" t="s">
        <v>2005</v>
      </c>
      <c r="L22" s="114"/>
      <c r="M22" s="114"/>
      <c r="N22" s="114"/>
      <c r="O22" s="121"/>
      <c r="P22" s="123"/>
      <c r="Q22" s="123"/>
      <c r="R22" s="114"/>
      <c r="S22" s="114"/>
      <c r="T22" s="114"/>
      <c r="U22" s="114"/>
      <c r="V22" s="114"/>
      <c r="W22" s="114"/>
      <c r="X22" s="118"/>
    </row>
    <row r="23">
      <c r="A23" s="115" t="s">
        <v>78</v>
      </c>
      <c r="B23" s="111" t="s">
        <v>1254</v>
      </c>
      <c r="C23" s="111" t="s">
        <v>1255</v>
      </c>
      <c r="D23" s="111" t="s">
        <v>2024</v>
      </c>
      <c r="E23" s="111" t="s">
        <v>56</v>
      </c>
      <c r="F23" s="113" t="s">
        <v>1233</v>
      </c>
      <c r="G23" s="113" t="s">
        <v>1233</v>
      </c>
      <c r="H23" s="113" t="s">
        <v>56</v>
      </c>
      <c r="I23" s="114" t="s">
        <v>1316</v>
      </c>
      <c r="J23" s="115" t="s">
        <v>1252</v>
      </c>
      <c r="K23" s="114" t="s">
        <v>2001</v>
      </c>
      <c r="L23" s="114"/>
      <c r="M23" s="114"/>
      <c r="N23" s="114"/>
      <c r="O23" s="121"/>
      <c r="P23" s="123"/>
      <c r="Q23" s="123"/>
      <c r="R23" s="114"/>
      <c r="S23" s="114"/>
      <c r="T23" s="114"/>
      <c r="U23" s="114"/>
      <c r="V23" s="114"/>
      <c r="W23" s="114"/>
      <c r="X23" s="118"/>
    </row>
    <row r="24">
      <c r="A24" s="115" t="s">
        <v>80</v>
      </c>
      <c r="B24" s="111" t="s">
        <v>1256</v>
      </c>
      <c r="C24" s="111" t="s">
        <v>1257</v>
      </c>
      <c r="D24" s="111" t="s">
        <v>2025</v>
      </c>
      <c r="E24" s="111" t="s">
        <v>56</v>
      </c>
      <c r="F24" s="113" t="s">
        <v>1233</v>
      </c>
      <c r="G24" s="113" t="s">
        <v>1233</v>
      </c>
      <c r="H24" s="113" t="s">
        <v>56</v>
      </c>
      <c r="I24" s="114" t="s">
        <v>1316</v>
      </c>
      <c r="J24" s="115" t="s">
        <v>1252</v>
      </c>
      <c r="K24" s="114" t="s">
        <v>2003</v>
      </c>
      <c r="L24" s="114"/>
      <c r="M24" s="114"/>
      <c r="N24" s="114"/>
      <c r="O24" s="121"/>
      <c r="P24" s="123"/>
      <c r="Q24" s="123"/>
      <c r="R24" s="114"/>
      <c r="S24" s="114"/>
      <c r="T24" s="114"/>
      <c r="U24" s="114"/>
      <c r="V24" s="114"/>
      <c r="W24" s="114"/>
      <c r="X24" s="118"/>
    </row>
    <row r="25">
      <c r="A25" s="115" t="s">
        <v>82</v>
      </c>
      <c r="B25" s="111" t="s">
        <v>1258</v>
      </c>
      <c r="C25" s="111" t="s">
        <v>1259</v>
      </c>
      <c r="D25" s="111" t="s">
        <v>2026</v>
      </c>
      <c r="E25" s="111" t="s">
        <v>56</v>
      </c>
      <c r="F25" s="113" t="s">
        <v>1233</v>
      </c>
      <c r="G25" s="113" t="s">
        <v>1233</v>
      </c>
      <c r="H25" s="113" t="s">
        <v>56</v>
      </c>
      <c r="I25" s="114" t="s">
        <v>1316</v>
      </c>
      <c r="J25" s="115" t="s">
        <v>1252</v>
      </c>
      <c r="K25" s="114" t="s">
        <v>2005</v>
      </c>
      <c r="L25" s="114"/>
      <c r="M25" s="114"/>
      <c r="N25" s="114"/>
      <c r="O25" s="121"/>
      <c r="P25" s="123"/>
      <c r="Q25" s="123"/>
      <c r="R25" s="114"/>
      <c r="S25" s="114"/>
      <c r="T25" s="114"/>
      <c r="U25" s="114"/>
      <c r="V25" s="114"/>
      <c r="W25" s="114"/>
      <c r="X25" s="118"/>
    </row>
    <row r="26">
      <c r="A26" s="115" t="s">
        <v>85</v>
      </c>
      <c r="B26" s="111" t="s">
        <v>1260</v>
      </c>
      <c r="C26" s="111" t="s">
        <v>1261</v>
      </c>
      <c r="D26" s="111" t="s">
        <v>2027</v>
      </c>
      <c r="E26" s="111" t="s">
        <v>56</v>
      </c>
      <c r="F26" s="113" t="s">
        <v>1233</v>
      </c>
      <c r="G26" s="113" t="s">
        <v>1233</v>
      </c>
      <c r="H26" s="113" t="s">
        <v>56</v>
      </c>
      <c r="I26" s="114" t="s">
        <v>1316</v>
      </c>
      <c r="J26" s="115" t="s">
        <v>1254</v>
      </c>
      <c r="K26" s="114" t="s">
        <v>2001</v>
      </c>
      <c r="L26" s="114"/>
      <c r="M26" s="114"/>
      <c r="N26" s="114"/>
      <c r="O26" s="121"/>
      <c r="P26" s="123"/>
      <c r="Q26" s="123"/>
      <c r="R26" s="114"/>
      <c r="S26" s="114"/>
      <c r="T26" s="114"/>
      <c r="U26" s="114"/>
      <c r="V26" s="114"/>
      <c r="W26" s="114"/>
      <c r="X26" s="118"/>
    </row>
    <row r="27">
      <c r="A27" s="115" t="s">
        <v>87</v>
      </c>
      <c r="B27" s="111" t="s">
        <v>1262</v>
      </c>
      <c r="C27" s="111" t="s">
        <v>1263</v>
      </c>
      <c r="D27" s="111" t="s">
        <v>2028</v>
      </c>
      <c r="E27" s="111" t="s">
        <v>56</v>
      </c>
      <c r="F27" s="113" t="s">
        <v>1233</v>
      </c>
      <c r="G27" s="113" t="s">
        <v>1233</v>
      </c>
      <c r="H27" s="113" t="s">
        <v>56</v>
      </c>
      <c r="I27" s="114" t="s">
        <v>1316</v>
      </c>
      <c r="J27" s="115" t="s">
        <v>1232</v>
      </c>
      <c r="K27" s="114" t="s">
        <v>2029</v>
      </c>
      <c r="L27" s="114"/>
      <c r="M27" s="114"/>
      <c r="N27" s="114"/>
      <c r="O27" s="121"/>
      <c r="P27" s="123"/>
      <c r="Q27" s="123"/>
      <c r="R27" s="114"/>
      <c r="S27" s="114"/>
      <c r="T27" s="114"/>
      <c r="U27" s="114"/>
      <c r="V27" s="114"/>
      <c r="W27" s="114"/>
      <c r="X27" s="118"/>
    </row>
    <row r="28">
      <c r="A28" s="115" t="s">
        <v>89</v>
      </c>
      <c r="B28" s="111" t="s">
        <v>1264</v>
      </c>
      <c r="C28" s="111" t="s">
        <v>1265</v>
      </c>
      <c r="D28" s="111" t="s">
        <v>2030</v>
      </c>
      <c r="E28" s="111" t="s">
        <v>56</v>
      </c>
      <c r="F28" s="113" t="s">
        <v>1233</v>
      </c>
      <c r="G28" s="113" t="s">
        <v>1233</v>
      </c>
      <c r="H28" s="113" t="s">
        <v>56</v>
      </c>
      <c r="I28" s="114" t="s">
        <v>1316</v>
      </c>
      <c r="J28" s="115" t="s">
        <v>1254</v>
      </c>
      <c r="K28" s="114" t="s">
        <v>2003</v>
      </c>
      <c r="L28" s="114"/>
      <c r="M28" s="114"/>
      <c r="N28" s="114"/>
      <c r="O28" s="121"/>
      <c r="P28" s="123"/>
      <c r="Q28" s="123"/>
      <c r="R28" s="114"/>
      <c r="S28" s="114"/>
      <c r="T28" s="114"/>
      <c r="U28" s="114"/>
      <c r="V28" s="114"/>
      <c r="W28" s="114"/>
      <c r="X28" s="118"/>
    </row>
    <row r="29">
      <c r="A29" s="115" t="s">
        <v>91</v>
      </c>
      <c r="B29" s="111" t="s">
        <v>1266</v>
      </c>
      <c r="C29" s="111" t="s">
        <v>1267</v>
      </c>
      <c r="D29" s="111" t="s">
        <v>2031</v>
      </c>
      <c r="E29" s="111" t="s">
        <v>56</v>
      </c>
      <c r="F29" s="113" t="s">
        <v>1233</v>
      </c>
      <c r="G29" s="113" t="s">
        <v>1233</v>
      </c>
      <c r="H29" s="113" t="s">
        <v>56</v>
      </c>
      <c r="I29" s="114" t="s">
        <v>1316</v>
      </c>
      <c r="J29" s="115" t="s">
        <v>1254</v>
      </c>
      <c r="K29" s="114" t="s">
        <v>2005</v>
      </c>
      <c r="L29" s="114"/>
      <c r="M29" s="114"/>
      <c r="N29" s="114"/>
      <c r="O29" s="121"/>
      <c r="P29" s="123"/>
      <c r="Q29" s="123"/>
      <c r="R29" s="114"/>
      <c r="S29" s="114"/>
      <c r="T29" s="114"/>
      <c r="U29" s="114"/>
      <c r="V29" s="114"/>
      <c r="W29" s="114"/>
      <c r="X29" s="118"/>
    </row>
    <row r="30">
      <c r="A30" s="115" t="s">
        <v>93</v>
      </c>
      <c r="B30" s="111" t="s">
        <v>1268</v>
      </c>
      <c r="C30" s="111" t="s">
        <v>1269</v>
      </c>
      <c r="D30" s="111" t="s">
        <v>2032</v>
      </c>
      <c r="E30" s="111" t="s">
        <v>56</v>
      </c>
      <c r="F30" s="113" t="s">
        <v>1233</v>
      </c>
      <c r="G30" s="113" t="s">
        <v>1233</v>
      </c>
      <c r="H30" s="113" t="s">
        <v>56</v>
      </c>
      <c r="I30" s="114" t="s">
        <v>1316</v>
      </c>
      <c r="J30" s="115" t="s">
        <v>1254</v>
      </c>
      <c r="K30" s="114" t="s">
        <v>2007</v>
      </c>
      <c r="L30" s="114"/>
      <c r="M30" s="114"/>
      <c r="N30" s="114"/>
      <c r="O30" s="121"/>
      <c r="P30" s="123"/>
      <c r="Q30" s="123"/>
      <c r="R30" s="114"/>
      <c r="S30" s="114"/>
      <c r="T30" s="114"/>
      <c r="U30" s="114"/>
      <c r="V30" s="114"/>
      <c r="W30" s="114"/>
      <c r="X30" s="118"/>
    </row>
    <row r="31">
      <c r="A31" s="115" t="s">
        <v>96</v>
      </c>
      <c r="B31" s="111" t="s">
        <v>1270</v>
      </c>
      <c r="C31" s="111" t="s">
        <v>1271</v>
      </c>
      <c r="D31" s="111" t="s">
        <v>2033</v>
      </c>
      <c r="E31" s="111" t="s">
        <v>56</v>
      </c>
      <c r="F31" s="113" t="s">
        <v>1233</v>
      </c>
      <c r="G31" s="113" t="s">
        <v>1233</v>
      </c>
      <c r="H31" s="113" t="s">
        <v>56</v>
      </c>
      <c r="I31" s="114" t="s">
        <v>1316</v>
      </c>
      <c r="J31" s="115" t="s">
        <v>1256</v>
      </c>
      <c r="K31" s="114" t="s">
        <v>2001</v>
      </c>
      <c r="L31" s="114"/>
      <c r="M31" s="114"/>
      <c r="N31" s="114"/>
      <c r="O31" s="121"/>
      <c r="P31" s="123"/>
      <c r="Q31" s="123"/>
      <c r="R31" s="114"/>
      <c r="S31" s="114"/>
      <c r="T31" s="114"/>
      <c r="U31" s="114"/>
      <c r="V31" s="114"/>
      <c r="W31" s="114"/>
      <c r="X31" s="118"/>
    </row>
    <row r="32">
      <c r="A32" s="115" t="s">
        <v>98</v>
      </c>
      <c r="B32" s="111" t="s">
        <v>1272</v>
      </c>
      <c r="C32" s="111" t="s">
        <v>1273</v>
      </c>
      <c r="D32" s="111" t="s">
        <v>2034</v>
      </c>
      <c r="E32" s="111" t="s">
        <v>56</v>
      </c>
      <c r="F32" s="113" t="s">
        <v>1233</v>
      </c>
      <c r="G32" s="113" t="s">
        <v>1233</v>
      </c>
      <c r="H32" s="113" t="s">
        <v>56</v>
      </c>
      <c r="I32" s="114" t="s">
        <v>1316</v>
      </c>
      <c r="J32" s="115" t="s">
        <v>1256</v>
      </c>
      <c r="K32" s="114" t="s">
        <v>2003</v>
      </c>
      <c r="L32" s="114"/>
      <c r="M32" s="114"/>
      <c r="N32" s="114"/>
      <c r="O32" s="121"/>
      <c r="P32" s="123"/>
      <c r="Q32" s="123"/>
      <c r="R32" s="114"/>
      <c r="S32" s="114"/>
      <c r="T32" s="114"/>
      <c r="U32" s="114"/>
      <c r="V32" s="114"/>
      <c r="W32" s="114"/>
      <c r="X32" s="118"/>
    </row>
    <row r="33">
      <c r="A33" s="115" t="s">
        <v>101</v>
      </c>
      <c r="B33" s="111" t="s">
        <v>1274</v>
      </c>
      <c r="C33" s="111" t="s">
        <v>1275</v>
      </c>
      <c r="D33" s="111" t="s">
        <v>2035</v>
      </c>
      <c r="E33" s="111" t="s">
        <v>56</v>
      </c>
      <c r="F33" s="113" t="s">
        <v>1233</v>
      </c>
      <c r="G33" s="113" t="s">
        <v>1233</v>
      </c>
      <c r="H33" s="113" t="s">
        <v>56</v>
      </c>
      <c r="I33" s="114" t="s">
        <v>1316</v>
      </c>
      <c r="J33" s="115" t="s">
        <v>1258</v>
      </c>
      <c r="K33" s="114" t="s">
        <v>2001</v>
      </c>
      <c r="L33" s="114"/>
      <c r="M33" s="114"/>
      <c r="N33" s="114"/>
      <c r="O33" s="121"/>
      <c r="P33" s="123"/>
      <c r="Q33" s="123"/>
      <c r="R33" s="114"/>
      <c r="S33" s="114"/>
      <c r="T33" s="114"/>
      <c r="U33" s="114"/>
      <c r="V33" s="114"/>
      <c r="W33" s="114"/>
      <c r="X33" s="118"/>
    </row>
    <row r="34">
      <c r="A34" s="115" t="s">
        <v>103</v>
      </c>
      <c r="B34" s="111" t="s">
        <v>1276</v>
      </c>
      <c r="C34" s="111" t="s">
        <v>1277</v>
      </c>
      <c r="D34" s="111" t="s">
        <v>2036</v>
      </c>
      <c r="E34" s="111" t="s">
        <v>56</v>
      </c>
      <c r="F34" s="113" t="s">
        <v>1233</v>
      </c>
      <c r="G34" s="113" t="s">
        <v>1233</v>
      </c>
      <c r="H34" s="113" t="s">
        <v>56</v>
      </c>
      <c r="I34" s="114" t="s">
        <v>1316</v>
      </c>
      <c r="J34" s="115" t="s">
        <v>1258</v>
      </c>
      <c r="K34" s="114" t="s">
        <v>2003</v>
      </c>
      <c r="L34" s="114"/>
      <c r="M34" s="114"/>
      <c r="N34" s="114"/>
      <c r="O34" s="121"/>
      <c r="P34" s="123"/>
      <c r="Q34" s="123"/>
      <c r="R34" s="114"/>
      <c r="S34" s="114"/>
      <c r="T34" s="114"/>
      <c r="U34" s="114"/>
      <c r="V34" s="114"/>
      <c r="W34" s="114"/>
      <c r="X34" s="118"/>
    </row>
    <row r="35">
      <c r="A35" s="115" t="s">
        <v>105</v>
      </c>
      <c r="B35" s="111" t="s">
        <v>1278</v>
      </c>
      <c r="C35" s="111" t="s">
        <v>1279</v>
      </c>
      <c r="D35" s="111" t="s">
        <v>2037</v>
      </c>
      <c r="E35" s="111" t="s">
        <v>56</v>
      </c>
      <c r="F35" s="113" t="s">
        <v>1233</v>
      </c>
      <c r="G35" s="113" t="s">
        <v>1233</v>
      </c>
      <c r="H35" s="113" t="s">
        <v>56</v>
      </c>
      <c r="I35" s="114" t="s">
        <v>1316</v>
      </c>
      <c r="J35" s="115" t="s">
        <v>1258</v>
      </c>
      <c r="K35" s="114" t="s">
        <v>2005</v>
      </c>
      <c r="L35" s="114"/>
      <c r="M35" s="114"/>
      <c r="N35" s="114"/>
      <c r="O35" s="121"/>
      <c r="P35" s="123"/>
      <c r="Q35" s="123"/>
      <c r="R35" s="114"/>
      <c r="S35" s="114"/>
      <c r="T35" s="114"/>
      <c r="U35" s="114"/>
      <c r="V35" s="114"/>
      <c r="W35" s="114"/>
      <c r="X35" s="118"/>
    </row>
    <row r="36">
      <c r="A36" s="115" t="s">
        <v>107</v>
      </c>
      <c r="B36" s="111" t="s">
        <v>1280</v>
      </c>
      <c r="C36" s="111" t="s">
        <v>1281</v>
      </c>
      <c r="D36" s="111" t="s">
        <v>2038</v>
      </c>
      <c r="E36" s="111" t="s">
        <v>56</v>
      </c>
      <c r="F36" s="113" t="s">
        <v>1233</v>
      </c>
      <c r="G36" s="113" t="s">
        <v>1233</v>
      </c>
      <c r="H36" s="113" t="s">
        <v>56</v>
      </c>
      <c r="I36" s="114" t="s">
        <v>1316</v>
      </c>
      <c r="J36" s="115" t="s">
        <v>1258</v>
      </c>
      <c r="K36" s="114" t="s">
        <v>2007</v>
      </c>
      <c r="L36" s="114"/>
      <c r="M36" s="114"/>
      <c r="N36" s="114"/>
      <c r="O36" s="121"/>
      <c r="P36" s="123"/>
      <c r="Q36" s="123"/>
      <c r="R36" s="114"/>
      <c r="S36" s="114"/>
      <c r="T36" s="114"/>
      <c r="U36" s="114"/>
      <c r="V36" s="114"/>
      <c r="W36" s="114"/>
      <c r="X36" s="118"/>
    </row>
    <row r="37">
      <c r="A37" s="115" t="s">
        <v>109</v>
      </c>
      <c r="B37" s="111" t="s">
        <v>1282</v>
      </c>
      <c r="C37" s="111" t="s">
        <v>1283</v>
      </c>
      <c r="D37" s="111" t="s">
        <v>2039</v>
      </c>
      <c r="E37" s="111" t="s">
        <v>56</v>
      </c>
      <c r="F37" s="113" t="s">
        <v>1233</v>
      </c>
      <c r="G37" s="113" t="s">
        <v>1233</v>
      </c>
      <c r="H37" s="113" t="s">
        <v>56</v>
      </c>
      <c r="I37" s="114" t="s">
        <v>1316</v>
      </c>
      <c r="J37" s="115" t="s">
        <v>1258</v>
      </c>
      <c r="K37" s="114" t="s">
        <v>2009</v>
      </c>
      <c r="L37" s="114"/>
      <c r="M37" s="114"/>
      <c r="N37" s="114"/>
      <c r="O37" s="121"/>
      <c r="P37" s="123"/>
      <c r="Q37" s="123"/>
      <c r="R37" s="114"/>
      <c r="S37" s="114"/>
      <c r="T37" s="114"/>
      <c r="U37" s="114"/>
      <c r="V37" s="114"/>
      <c r="W37" s="114"/>
      <c r="X37" s="118"/>
    </row>
    <row r="38">
      <c r="A38" s="115" t="s">
        <v>111</v>
      </c>
      <c r="B38" s="111" t="s">
        <v>1284</v>
      </c>
      <c r="C38" s="111" t="s">
        <v>1285</v>
      </c>
      <c r="D38" s="111" t="s">
        <v>2040</v>
      </c>
      <c r="E38" s="111" t="s">
        <v>56</v>
      </c>
      <c r="F38" s="113" t="s">
        <v>1233</v>
      </c>
      <c r="G38" s="113" t="s">
        <v>1233</v>
      </c>
      <c r="H38" s="113" t="s">
        <v>56</v>
      </c>
      <c r="I38" s="114" t="s">
        <v>1316</v>
      </c>
      <c r="J38" s="115" t="s">
        <v>1258</v>
      </c>
      <c r="K38" s="114" t="s">
        <v>2041</v>
      </c>
      <c r="L38" s="114"/>
      <c r="M38" s="114"/>
      <c r="N38" s="114"/>
      <c r="O38" s="121"/>
      <c r="P38" s="123"/>
      <c r="Q38" s="123"/>
      <c r="R38" s="114"/>
      <c r="S38" s="114"/>
      <c r="T38" s="114"/>
      <c r="U38" s="114"/>
      <c r="V38" s="114"/>
      <c r="W38" s="114"/>
      <c r="X38" s="118"/>
    </row>
    <row r="39">
      <c r="A39" s="115" t="s">
        <v>113</v>
      </c>
      <c r="B39" s="111" t="s">
        <v>1286</v>
      </c>
      <c r="C39" s="111" t="s">
        <v>1287</v>
      </c>
      <c r="D39" s="111" t="s">
        <v>2042</v>
      </c>
      <c r="E39" s="111" t="s">
        <v>56</v>
      </c>
      <c r="F39" s="113" t="s">
        <v>1233</v>
      </c>
      <c r="G39" s="113" t="s">
        <v>1233</v>
      </c>
      <c r="H39" s="113" t="s">
        <v>56</v>
      </c>
      <c r="I39" s="114" t="s">
        <v>1316</v>
      </c>
      <c r="J39" s="115" t="s">
        <v>1258</v>
      </c>
      <c r="K39" s="114" t="s">
        <v>2043</v>
      </c>
      <c r="L39" s="114"/>
      <c r="M39" s="114"/>
      <c r="N39" s="114"/>
      <c r="O39" s="121"/>
      <c r="P39" s="123"/>
      <c r="Q39" s="123"/>
      <c r="R39" s="114"/>
      <c r="S39" s="114"/>
      <c r="T39" s="114"/>
      <c r="U39" s="114"/>
      <c r="V39" s="114"/>
      <c r="W39" s="114"/>
      <c r="X39" s="118"/>
    </row>
    <row r="40">
      <c r="A40" s="115" t="s">
        <v>115</v>
      </c>
      <c r="B40" s="111" t="s">
        <v>1288</v>
      </c>
      <c r="C40" s="111" t="s">
        <v>1289</v>
      </c>
      <c r="D40" s="111" t="s">
        <v>2044</v>
      </c>
      <c r="E40" s="111" t="s">
        <v>56</v>
      </c>
      <c r="F40" s="113" t="s">
        <v>1233</v>
      </c>
      <c r="G40" s="113" t="s">
        <v>1233</v>
      </c>
      <c r="H40" s="113" t="s">
        <v>56</v>
      </c>
      <c r="I40" s="114" t="s">
        <v>1316</v>
      </c>
      <c r="J40" s="115" t="s">
        <v>1258</v>
      </c>
      <c r="K40" s="114" t="s">
        <v>2045</v>
      </c>
      <c r="L40" s="114"/>
      <c r="M40" s="114"/>
      <c r="N40" s="114"/>
      <c r="O40" s="121"/>
      <c r="P40" s="123"/>
      <c r="Q40" s="123"/>
      <c r="R40" s="114"/>
      <c r="S40" s="114"/>
      <c r="T40" s="114"/>
      <c r="U40" s="114"/>
      <c r="V40" s="114"/>
      <c r="W40" s="114"/>
      <c r="X40" s="118"/>
    </row>
    <row r="41">
      <c r="A41" s="115" t="s">
        <v>117</v>
      </c>
      <c r="B41" s="111" t="s">
        <v>1290</v>
      </c>
      <c r="C41" s="111" t="s">
        <v>1291</v>
      </c>
      <c r="D41" s="111" t="s">
        <v>2046</v>
      </c>
      <c r="E41" s="111" t="s">
        <v>56</v>
      </c>
      <c r="F41" s="113" t="s">
        <v>1233</v>
      </c>
      <c r="G41" s="113" t="s">
        <v>1233</v>
      </c>
      <c r="H41" s="113" t="s">
        <v>56</v>
      </c>
      <c r="I41" s="114" t="s">
        <v>1316</v>
      </c>
      <c r="J41" s="115" t="s">
        <v>1258</v>
      </c>
      <c r="K41" s="114" t="s">
        <v>2047</v>
      </c>
      <c r="L41" s="114"/>
      <c r="M41" s="114"/>
      <c r="N41" s="114"/>
      <c r="O41" s="121"/>
      <c r="P41" s="123"/>
      <c r="Q41" s="123"/>
      <c r="R41" s="114"/>
      <c r="S41" s="114"/>
      <c r="T41" s="114"/>
      <c r="U41" s="114"/>
      <c r="V41" s="114"/>
      <c r="W41" s="114"/>
      <c r="X41" s="118"/>
    </row>
    <row r="42">
      <c r="A42" s="115" t="s">
        <v>120</v>
      </c>
      <c r="B42" s="111" t="s">
        <v>1292</v>
      </c>
      <c r="C42" s="111" t="s">
        <v>1293</v>
      </c>
      <c r="D42" s="111" t="s">
        <v>2048</v>
      </c>
      <c r="E42" s="111" t="s">
        <v>56</v>
      </c>
      <c r="F42" s="113" t="s">
        <v>1233</v>
      </c>
      <c r="G42" s="113" t="s">
        <v>1233</v>
      </c>
      <c r="H42" s="113" t="s">
        <v>56</v>
      </c>
      <c r="I42" s="114" t="s">
        <v>1316</v>
      </c>
      <c r="J42" s="115" t="s">
        <v>1260</v>
      </c>
      <c r="K42" s="114" t="s">
        <v>2001</v>
      </c>
      <c r="L42" s="114"/>
      <c r="M42" s="114"/>
      <c r="N42" s="114"/>
      <c r="O42" s="121"/>
      <c r="P42" s="123"/>
      <c r="Q42" s="123"/>
      <c r="R42" s="114"/>
      <c r="S42" s="114"/>
      <c r="T42" s="114"/>
      <c r="U42" s="114"/>
      <c r="V42" s="114"/>
      <c r="W42" s="114"/>
      <c r="X42" s="118"/>
    </row>
    <row r="43">
      <c r="A43" s="115" t="s">
        <v>123</v>
      </c>
      <c r="B43" s="111" t="s">
        <v>1294</v>
      </c>
      <c r="C43" s="111" t="s">
        <v>1295</v>
      </c>
      <c r="D43" s="111" t="s">
        <v>2049</v>
      </c>
      <c r="E43" s="111" t="s">
        <v>56</v>
      </c>
      <c r="F43" s="113" t="s">
        <v>1233</v>
      </c>
      <c r="G43" s="113" t="s">
        <v>1233</v>
      </c>
      <c r="H43" s="113" t="s">
        <v>56</v>
      </c>
      <c r="I43" s="114" t="s">
        <v>1316</v>
      </c>
      <c r="J43" s="115" t="s">
        <v>1262</v>
      </c>
      <c r="K43" s="114" t="s">
        <v>2001</v>
      </c>
      <c r="L43" s="114"/>
      <c r="M43" s="114"/>
      <c r="N43" s="114"/>
      <c r="O43" s="121"/>
      <c r="P43" s="123"/>
      <c r="Q43" s="123"/>
      <c r="R43" s="114"/>
      <c r="S43" s="114"/>
      <c r="T43" s="114"/>
      <c r="U43" s="114"/>
      <c r="V43" s="114"/>
      <c r="W43" s="114"/>
      <c r="X43" s="118"/>
    </row>
    <row r="44">
      <c r="A44" s="115" t="s">
        <v>126</v>
      </c>
      <c r="B44" s="111" t="s">
        <v>1296</v>
      </c>
      <c r="C44" s="111" t="s">
        <v>1297</v>
      </c>
      <c r="D44" s="111" t="s">
        <v>2050</v>
      </c>
      <c r="E44" s="111" t="s">
        <v>56</v>
      </c>
      <c r="F44" s="113" t="s">
        <v>1233</v>
      </c>
      <c r="G44" s="113" t="s">
        <v>1233</v>
      </c>
      <c r="H44" s="113" t="s">
        <v>56</v>
      </c>
      <c r="I44" s="114" t="s">
        <v>1316</v>
      </c>
      <c r="J44" s="115" t="s">
        <v>1264</v>
      </c>
      <c r="K44" s="114" t="s">
        <v>2001</v>
      </c>
      <c r="L44" s="114"/>
      <c r="M44" s="114"/>
      <c r="N44" s="114"/>
      <c r="O44" s="121"/>
      <c r="P44" s="123"/>
      <c r="Q44" s="123"/>
      <c r="R44" s="114"/>
      <c r="S44" s="114"/>
      <c r="T44" s="114"/>
      <c r="U44" s="114"/>
      <c r="V44" s="114"/>
      <c r="W44" s="114"/>
      <c r="X44" s="118"/>
    </row>
    <row r="45">
      <c r="A45" s="115" t="s">
        <v>129</v>
      </c>
      <c r="B45" s="111" t="s">
        <v>1298</v>
      </c>
      <c r="C45" s="111" t="s">
        <v>1299</v>
      </c>
      <c r="D45" s="111" t="s">
        <v>2051</v>
      </c>
      <c r="E45" s="111" t="s">
        <v>56</v>
      </c>
      <c r="F45" s="113" t="s">
        <v>1233</v>
      </c>
      <c r="G45" s="113" t="s">
        <v>1233</v>
      </c>
      <c r="H45" s="113" t="s">
        <v>56</v>
      </c>
      <c r="I45" s="114" t="s">
        <v>1316</v>
      </c>
      <c r="J45" s="115" t="s">
        <v>1266</v>
      </c>
      <c r="K45" s="114" t="s">
        <v>2001</v>
      </c>
      <c r="L45" s="114"/>
      <c r="M45" s="114"/>
      <c r="N45" s="114"/>
      <c r="O45" s="121"/>
      <c r="P45" s="123"/>
      <c r="Q45" s="123"/>
      <c r="R45" s="114"/>
      <c r="S45" s="114"/>
      <c r="T45" s="114"/>
      <c r="U45" s="114"/>
      <c r="V45" s="114"/>
      <c r="W45" s="114"/>
      <c r="X45" s="118"/>
    </row>
    <row r="46">
      <c r="A46" s="115" t="s">
        <v>131</v>
      </c>
      <c r="B46" s="111" t="s">
        <v>1300</v>
      </c>
      <c r="C46" s="111" t="s">
        <v>1301</v>
      </c>
      <c r="D46" s="111" t="s">
        <v>2052</v>
      </c>
      <c r="E46" s="111" t="s">
        <v>56</v>
      </c>
      <c r="F46" s="113" t="s">
        <v>1233</v>
      </c>
      <c r="G46" s="113" t="s">
        <v>1233</v>
      </c>
      <c r="H46" s="113" t="s">
        <v>56</v>
      </c>
      <c r="I46" s="114" t="s">
        <v>1316</v>
      </c>
      <c r="J46" s="115" t="s">
        <v>1266</v>
      </c>
      <c r="K46" s="114" t="s">
        <v>2003</v>
      </c>
      <c r="L46" s="114"/>
      <c r="M46" s="114"/>
      <c r="N46" s="114"/>
      <c r="O46" s="121"/>
      <c r="P46" s="123"/>
      <c r="Q46" s="123"/>
      <c r="R46" s="114"/>
      <c r="S46" s="114"/>
      <c r="T46" s="114"/>
      <c r="U46" s="114"/>
      <c r="V46" s="114"/>
      <c r="W46" s="114"/>
      <c r="X46" s="118"/>
    </row>
    <row r="47">
      <c r="A47" s="115" t="s">
        <v>134</v>
      </c>
      <c r="B47" s="111" t="s">
        <v>1302</v>
      </c>
      <c r="C47" s="111" t="s">
        <v>1303</v>
      </c>
      <c r="D47" s="111" t="s">
        <v>2053</v>
      </c>
      <c r="E47" s="111" t="s">
        <v>56</v>
      </c>
      <c r="F47" s="113" t="s">
        <v>1233</v>
      </c>
      <c r="G47" s="113" t="s">
        <v>1233</v>
      </c>
      <c r="H47" s="113" t="s">
        <v>56</v>
      </c>
      <c r="I47" s="114" t="s">
        <v>1316</v>
      </c>
      <c r="J47" s="115" t="s">
        <v>1268</v>
      </c>
      <c r="K47" s="114" t="s">
        <v>2001</v>
      </c>
      <c r="L47" s="114"/>
      <c r="M47" s="114"/>
      <c r="N47" s="114"/>
      <c r="O47" s="121"/>
      <c r="P47" s="123"/>
      <c r="Q47" s="123"/>
      <c r="R47" s="114"/>
      <c r="S47" s="114"/>
      <c r="T47" s="114"/>
      <c r="U47" s="114"/>
      <c r="V47" s="114"/>
      <c r="W47" s="114"/>
      <c r="X47" s="118"/>
    </row>
    <row r="48">
      <c r="A48" s="115" t="s">
        <v>137</v>
      </c>
      <c r="B48" s="111" t="s">
        <v>1304</v>
      </c>
      <c r="C48" s="111" t="s">
        <v>1305</v>
      </c>
      <c r="D48" s="111" t="s">
        <v>2054</v>
      </c>
      <c r="E48" s="111" t="s">
        <v>56</v>
      </c>
      <c r="F48" s="113" t="s">
        <v>1233</v>
      </c>
      <c r="G48" s="113" t="s">
        <v>1233</v>
      </c>
      <c r="H48" s="113" t="s">
        <v>56</v>
      </c>
      <c r="I48" s="114" t="s">
        <v>1316</v>
      </c>
      <c r="J48" s="115" t="s">
        <v>1270</v>
      </c>
      <c r="K48" s="114" t="s">
        <v>2001</v>
      </c>
      <c r="L48" s="114"/>
      <c r="M48" s="114"/>
      <c r="N48" s="114"/>
      <c r="O48" s="121"/>
      <c r="P48" s="123"/>
      <c r="Q48" s="123"/>
      <c r="R48" s="114"/>
      <c r="S48" s="114"/>
      <c r="T48" s="114"/>
      <c r="U48" s="114"/>
      <c r="V48" s="114"/>
      <c r="W48" s="114"/>
      <c r="X48" s="118"/>
    </row>
    <row r="49">
      <c r="A49" s="115" t="s">
        <v>140</v>
      </c>
      <c r="B49" s="111" t="s">
        <v>1306</v>
      </c>
      <c r="C49" s="111" t="s">
        <v>1307</v>
      </c>
      <c r="D49" s="111" t="s">
        <v>2055</v>
      </c>
      <c r="E49" s="111" t="s">
        <v>56</v>
      </c>
      <c r="F49" s="113" t="s">
        <v>1233</v>
      </c>
      <c r="G49" s="113" t="s">
        <v>1233</v>
      </c>
      <c r="H49" s="113" t="s">
        <v>56</v>
      </c>
      <c r="I49" s="114" t="s">
        <v>1316</v>
      </c>
      <c r="J49" s="115" t="s">
        <v>1272</v>
      </c>
      <c r="K49" s="114" t="s">
        <v>2001</v>
      </c>
      <c r="L49" s="114"/>
      <c r="M49" s="114"/>
      <c r="N49" s="114"/>
      <c r="O49" s="121"/>
      <c r="P49" s="123"/>
      <c r="Q49" s="123"/>
      <c r="R49" s="114"/>
      <c r="S49" s="114"/>
      <c r="T49" s="114"/>
      <c r="U49" s="114"/>
      <c r="V49" s="114"/>
      <c r="W49" s="114"/>
      <c r="X49" s="118"/>
    </row>
    <row r="50">
      <c r="A50" s="115" t="s">
        <v>143</v>
      </c>
      <c r="B50" s="111" t="s">
        <v>1308</v>
      </c>
      <c r="C50" s="111" t="s">
        <v>1309</v>
      </c>
      <c r="D50" s="111" t="s">
        <v>2056</v>
      </c>
      <c r="E50" s="111" t="s">
        <v>56</v>
      </c>
      <c r="F50" s="113" t="s">
        <v>1233</v>
      </c>
      <c r="G50" s="113" t="s">
        <v>1233</v>
      </c>
      <c r="H50" s="113" t="s">
        <v>56</v>
      </c>
      <c r="I50" s="114" t="s">
        <v>1316</v>
      </c>
      <c r="J50" s="115" t="s">
        <v>1274</v>
      </c>
      <c r="K50" s="114" t="s">
        <v>2001</v>
      </c>
      <c r="L50" s="114"/>
      <c r="M50" s="114"/>
      <c r="N50" s="114"/>
      <c r="O50" s="121"/>
      <c r="P50" s="123"/>
      <c r="Q50" s="123"/>
      <c r="R50" s="114"/>
      <c r="S50" s="114"/>
      <c r="T50" s="114"/>
      <c r="U50" s="114"/>
      <c r="V50" s="114"/>
      <c r="W50" s="114"/>
      <c r="X50" s="118"/>
    </row>
    <row r="51">
      <c r="A51" s="115" t="s">
        <v>145</v>
      </c>
      <c r="B51" s="111" t="s">
        <v>1310</v>
      </c>
      <c r="C51" s="111" t="s">
        <v>1311</v>
      </c>
      <c r="D51" s="111" t="s">
        <v>2057</v>
      </c>
      <c r="E51" s="111" t="s">
        <v>56</v>
      </c>
      <c r="F51" s="113" t="s">
        <v>1233</v>
      </c>
      <c r="G51" s="113" t="s">
        <v>1233</v>
      </c>
      <c r="H51" s="113" t="s">
        <v>56</v>
      </c>
      <c r="I51" s="114" t="s">
        <v>1316</v>
      </c>
      <c r="J51" s="115" t="s">
        <v>1274</v>
      </c>
      <c r="K51" s="114" t="s">
        <v>2003</v>
      </c>
      <c r="L51" s="114"/>
      <c r="M51" s="114"/>
      <c r="N51" s="114"/>
      <c r="O51" s="121"/>
      <c r="P51" s="123"/>
      <c r="Q51" s="123"/>
      <c r="R51" s="114"/>
      <c r="S51" s="114"/>
      <c r="T51" s="114"/>
      <c r="U51" s="114"/>
      <c r="V51" s="114"/>
      <c r="W51" s="114"/>
      <c r="X51" s="118"/>
    </row>
    <row r="52">
      <c r="A52" s="115" t="s">
        <v>147</v>
      </c>
      <c r="B52" s="111" t="s">
        <v>1312</v>
      </c>
      <c r="C52" s="111" t="s">
        <v>1313</v>
      </c>
      <c r="D52" s="111" t="s">
        <v>2058</v>
      </c>
      <c r="E52" s="111" t="s">
        <v>56</v>
      </c>
      <c r="F52" s="113" t="s">
        <v>1233</v>
      </c>
      <c r="G52" s="113" t="s">
        <v>1233</v>
      </c>
      <c r="H52" s="113" t="s">
        <v>56</v>
      </c>
      <c r="I52" s="114" t="s">
        <v>1316</v>
      </c>
      <c r="J52" s="115" t="s">
        <v>1274</v>
      </c>
      <c r="K52" s="114" t="s">
        <v>2005</v>
      </c>
      <c r="L52" s="114"/>
      <c r="M52" s="114"/>
      <c r="N52" s="114"/>
      <c r="O52" s="121"/>
      <c r="P52" s="123"/>
      <c r="Q52" s="123"/>
      <c r="R52" s="114"/>
      <c r="S52" s="114"/>
      <c r="T52" s="114"/>
      <c r="U52" s="114"/>
      <c r="V52" s="114"/>
      <c r="W52" s="114"/>
      <c r="X52" s="118"/>
    </row>
    <row r="53">
      <c r="A53" s="115" t="s">
        <v>149</v>
      </c>
      <c r="B53" s="111" t="s">
        <v>1314</v>
      </c>
      <c r="C53" s="111" t="s">
        <v>1315</v>
      </c>
      <c r="D53" s="111" t="s">
        <v>2059</v>
      </c>
      <c r="E53" s="111" t="s">
        <v>56</v>
      </c>
      <c r="F53" s="113" t="s">
        <v>1233</v>
      </c>
      <c r="G53" s="113" t="s">
        <v>1233</v>
      </c>
      <c r="H53" s="113" t="s">
        <v>56</v>
      </c>
      <c r="I53" s="114" t="s">
        <v>1316</v>
      </c>
      <c r="J53" s="115" t="s">
        <v>1274</v>
      </c>
      <c r="K53" s="114" t="s">
        <v>2007</v>
      </c>
      <c r="L53" s="114"/>
      <c r="M53" s="114"/>
      <c r="N53" s="114"/>
      <c r="O53" s="121"/>
      <c r="P53" s="123"/>
      <c r="Q53" s="123"/>
      <c r="R53" s="114"/>
      <c r="S53" s="114"/>
      <c r="T53" s="114"/>
      <c r="U53" s="114"/>
      <c r="V53" s="114"/>
      <c r="W53" s="114"/>
      <c r="X53" s="118"/>
    </row>
    <row r="54">
      <c r="A54" s="115" t="s">
        <v>151</v>
      </c>
      <c r="B54" s="111" t="s">
        <v>1317</v>
      </c>
      <c r="C54" s="111" t="s">
        <v>1318</v>
      </c>
      <c r="D54" s="111" t="s">
        <v>2060</v>
      </c>
      <c r="E54" s="111" t="s">
        <v>56</v>
      </c>
      <c r="F54" s="113" t="s">
        <v>1233</v>
      </c>
      <c r="G54" s="113" t="s">
        <v>1233</v>
      </c>
      <c r="H54" s="113" t="s">
        <v>56</v>
      </c>
      <c r="I54" s="114" t="s">
        <v>1316</v>
      </c>
      <c r="J54" s="115" t="s">
        <v>1274</v>
      </c>
      <c r="K54" s="114" t="s">
        <v>2009</v>
      </c>
      <c r="L54" s="114"/>
      <c r="M54" s="114"/>
      <c r="N54" s="114"/>
      <c r="O54" s="121"/>
      <c r="P54" s="123"/>
      <c r="Q54" s="123"/>
      <c r="R54" s="114"/>
      <c r="S54" s="114"/>
      <c r="T54" s="114"/>
      <c r="U54" s="114"/>
      <c r="V54" s="114"/>
      <c r="W54" s="114"/>
      <c r="X54" s="118"/>
    </row>
    <row r="55">
      <c r="A55" s="115" t="s">
        <v>154</v>
      </c>
      <c r="B55" s="111" t="s">
        <v>1319</v>
      </c>
      <c r="C55" s="111" t="s">
        <v>1320</v>
      </c>
      <c r="D55" s="111" t="s">
        <v>2061</v>
      </c>
      <c r="E55" s="111" t="s">
        <v>56</v>
      </c>
      <c r="F55" s="113" t="s">
        <v>1233</v>
      </c>
      <c r="G55" s="113" t="s">
        <v>1233</v>
      </c>
      <c r="H55" s="113" t="s">
        <v>56</v>
      </c>
      <c r="I55" s="114" t="s">
        <v>1316</v>
      </c>
      <c r="J55" s="115" t="s">
        <v>1276</v>
      </c>
      <c r="K55" s="114" t="s">
        <v>2001</v>
      </c>
      <c r="L55" s="114"/>
      <c r="M55" s="114"/>
      <c r="N55" s="114"/>
      <c r="O55" s="121"/>
      <c r="P55" s="123"/>
      <c r="Q55" s="123"/>
      <c r="R55" s="114"/>
      <c r="S55" s="114"/>
      <c r="T55" s="114"/>
      <c r="U55" s="114"/>
      <c r="V55" s="114"/>
      <c r="W55" s="114"/>
      <c r="X55" s="118"/>
    </row>
    <row r="56">
      <c r="A56" s="115" t="s">
        <v>157</v>
      </c>
      <c r="B56" s="111" t="s">
        <v>1321</v>
      </c>
      <c r="C56" s="111" t="s">
        <v>1322</v>
      </c>
      <c r="D56" s="111" t="s">
        <v>2062</v>
      </c>
      <c r="E56" s="111" t="s">
        <v>56</v>
      </c>
      <c r="F56" s="113" t="s">
        <v>1233</v>
      </c>
      <c r="G56" s="113" t="s">
        <v>1233</v>
      </c>
      <c r="H56" s="113" t="s">
        <v>56</v>
      </c>
      <c r="I56" s="114" t="s">
        <v>1316</v>
      </c>
      <c r="J56" s="115" t="s">
        <v>1278</v>
      </c>
      <c r="K56" s="114" t="s">
        <v>2001</v>
      </c>
      <c r="L56" s="114"/>
      <c r="M56" s="114"/>
      <c r="N56" s="114"/>
      <c r="O56" s="121"/>
      <c r="P56" s="123"/>
      <c r="Q56" s="123"/>
      <c r="R56" s="114"/>
      <c r="S56" s="114"/>
      <c r="T56" s="114"/>
      <c r="U56" s="114"/>
      <c r="V56" s="114"/>
      <c r="W56" s="114"/>
      <c r="X56" s="118"/>
    </row>
    <row r="57">
      <c r="A57" s="115">
        <v>1291.0</v>
      </c>
      <c r="B57" s="111" t="s">
        <v>1323</v>
      </c>
      <c r="C57" s="111" t="s">
        <v>1324</v>
      </c>
      <c r="D57" s="111" t="s">
        <v>2063</v>
      </c>
      <c r="E57" s="111" t="s">
        <v>56</v>
      </c>
      <c r="F57" s="113" t="s">
        <v>1233</v>
      </c>
      <c r="G57" s="113" t="s">
        <v>1233</v>
      </c>
      <c r="H57" s="113" t="s">
        <v>56</v>
      </c>
      <c r="I57" s="114" t="s">
        <v>1316</v>
      </c>
      <c r="J57" s="115" t="s">
        <v>1280</v>
      </c>
      <c r="K57" s="114" t="s">
        <v>2001</v>
      </c>
      <c r="L57" s="114"/>
      <c r="M57" s="114"/>
      <c r="N57" s="114"/>
      <c r="O57" s="121"/>
      <c r="P57" s="123"/>
      <c r="Q57" s="123"/>
      <c r="R57" s="114"/>
      <c r="S57" s="114"/>
      <c r="T57" s="114"/>
      <c r="U57" s="114"/>
      <c r="V57" s="114"/>
      <c r="W57" s="114"/>
      <c r="X57" s="118"/>
    </row>
    <row r="58">
      <c r="A58" s="115">
        <v>1292.0</v>
      </c>
      <c r="B58" s="111" t="s">
        <v>1325</v>
      </c>
      <c r="C58" s="111" t="s">
        <v>1326</v>
      </c>
      <c r="D58" s="111" t="s">
        <v>2064</v>
      </c>
      <c r="E58" s="111" t="s">
        <v>56</v>
      </c>
      <c r="F58" s="113" t="s">
        <v>1233</v>
      </c>
      <c r="G58" s="113" t="s">
        <v>1233</v>
      </c>
      <c r="H58" s="113" t="s">
        <v>56</v>
      </c>
      <c r="I58" s="114" t="s">
        <v>1316</v>
      </c>
      <c r="J58" s="115" t="s">
        <v>1282</v>
      </c>
      <c r="K58" s="114" t="s">
        <v>2001</v>
      </c>
      <c r="L58" s="114"/>
      <c r="M58" s="114"/>
      <c r="N58" s="114"/>
      <c r="O58" s="121"/>
      <c r="P58" s="123"/>
      <c r="Q58" s="123"/>
      <c r="R58" s="114"/>
      <c r="S58" s="114"/>
      <c r="T58" s="114"/>
      <c r="U58" s="114"/>
      <c r="V58" s="114"/>
      <c r="W58" s="114"/>
      <c r="X58" s="118"/>
    </row>
    <row r="59">
      <c r="A59" s="115" t="s">
        <v>164</v>
      </c>
      <c r="B59" s="111" t="s">
        <v>1327</v>
      </c>
      <c r="C59" s="111" t="s">
        <v>1328</v>
      </c>
      <c r="D59" s="111" t="s">
        <v>2065</v>
      </c>
      <c r="E59" s="111" t="s">
        <v>56</v>
      </c>
      <c r="F59" s="113" t="s">
        <v>1233</v>
      </c>
      <c r="G59" s="113" t="s">
        <v>1233</v>
      </c>
      <c r="H59" s="113" t="s">
        <v>56</v>
      </c>
      <c r="I59" s="114" t="s">
        <v>1316</v>
      </c>
      <c r="J59" s="115" t="s">
        <v>1284</v>
      </c>
      <c r="K59" s="114" t="s">
        <v>2001</v>
      </c>
      <c r="L59" s="114"/>
      <c r="M59" s="114"/>
      <c r="N59" s="114"/>
      <c r="O59" s="121"/>
      <c r="P59" s="123"/>
      <c r="Q59" s="123"/>
      <c r="R59" s="114"/>
      <c r="S59" s="114"/>
      <c r="T59" s="114"/>
      <c r="U59" s="114"/>
      <c r="V59" s="114"/>
      <c r="W59" s="114"/>
      <c r="X59" s="118"/>
    </row>
    <row r="60">
      <c r="A60" s="115">
        <v>1292.0</v>
      </c>
      <c r="B60" s="111" t="s">
        <v>1325</v>
      </c>
      <c r="C60" s="111" t="s">
        <v>1326</v>
      </c>
      <c r="D60" s="111" t="s">
        <v>2066</v>
      </c>
      <c r="E60" s="111" t="s">
        <v>56</v>
      </c>
      <c r="F60" s="113" t="s">
        <v>1233</v>
      </c>
      <c r="G60" s="113" t="s">
        <v>1233</v>
      </c>
      <c r="H60" s="113" t="s">
        <v>56</v>
      </c>
      <c r="I60" s="114" t="s">
        <v>1316</v>
      </c>
      <c r="J60" s="115" t="s">
        <v>1284</v>
      </c>
      <c r="K60" s="114" t="s">
        <v>2003</v>
      </c>
      <c r="L60" s="114"/>
      <c r="M60" s="114"/>
      <c r="N60" s="114"/>
      <c r="O60" s="121"/>
      <c r="P60" s="123"/>
      <c r="Q60" s="123"/>
      <c r="R60" s="114"/>
      <c r="S60" s="114"/>
      <c r="T60" s="114"/>
      <c r="U60" s="114"/>
      <c r="V60" s="114"/>
      <c r="W60" s="114"/>
      <c r="X60" s="118"/>
    </row>
    <row r="61">
      <c r="A61" s="115" t="s">
        <v>167</v>
      </c>
      <c r="B61" s="111" t="s">
        <v>1329</v>
      </c>
      <c r="C61" s="111" t="s">
        <v>1330</v>
      </c>
      <c r="D61" s="111" t="s">
        <v>2067</v>
      </c>
      <c r="E61" s="111" t="s">
        <v>56</v>
      </c>
      <c r="F61" s="113" t="s">
        <v>1233</v>
      </c>
      <c r="G61" s="113" t="s">
        <v>1233</v>
      </c>
      <c r="H61" s="113" t="s">
        <v>56</v>
      </c>
      <c r="I61" s="114" t="s">
        <v>1316</v>
      </c>
      <c r="J61" s="115" t="s">
        <v>1284</v>
      </c>
      <c r="K61" s="114" t="s">
        <v>2005</v>
      </c>
      <c r="L61" s="114"/>
      <c r="M61" s="114"/>
      <c r="N61" s="114"/>
      <c r="O61" s="121"/>
      <c r="P61" s="123"/>
      <c r="Q61" s="123"/>
      <c r="R61" s="114"/>
      <c r="S61" s="114"/>
      <c r="T61" s="114"/>
      <c r="U61" s="114"/>
      <c r="V61" s="114"/>
      <c r="W61" s="114"/>
      <c r="X61" s="118"/>
    </row>
    <row r="62">
      <c r="A62" s="115" t="s">
        <v>170</v>
      </c>
      <c r="B62" s="111" t="s">
        <v>1331</v>
      </c>
      <c r="C62" s="111" t="s">
        <v>1332</v>
      </c>
      <c r="D62" s="111" t="s">
        <v>2068</v>
      </c>
      <c r="E62" s="111" t="s">
        <v>56</v>
      </c>
      <c r="F62" s="113" t="s">
        <v>1233</v>
      </c>
      <c r="G62" s="113" t="s">
        <v>1233</v>
      </c>
      <c r="H62" s="113" t="s">
        <v>56</v>
      </c>
      <c r="I62" s="114" t="s">
        <v>1316</v>
      </c>
      <c r="J62" s="115" t="s">
        <v>1286</v>
      </c>
      <c r="K62" s="114" t="s">
        <v>2001</v>
      </c>
      <c r="L62" s="114"/>
      <c r="M62" s="114"/>
      <c r="N62" s="114"/>
      <c r="O62" s="121"/>
      <c r="P62" s="123"/>
      <c r="Q62" s="123"/>
      <c r="R62" s="114"/>
      <c r="S62" s="114"/>
      <c r="T62" s="114"/>
      <c r="U62" s="114"/>
      <c r="V62" s="114"/>
      <c r="W62" s="114"/>
      <c r="X62" s="118"/>
    </row>
    <row r="63">
      <c r="A63" s="115" t="s">
        <v>172</v>
      </c>
      <c r="B63" s="111" t="s">
        <v>1333</v>
      </c>
      <c r="C63" s="111" t="s">
        <v>1334</v>
      </c>
      <c r="D63" s="111" t="s">
        <v>2069</v>
      </c>
      <c r="E63" s="111" t="s">
        <v>56</v>
      </c>
      <c r="F63" s="113" t="s">
        <v>1233</v>
      </c>
      <c r="G63" s="113" t="s">
        <v>1233</v>
      </c>
      <c r="H63" s="113" t="s">
        <v>56</v>
      </c>
      <c r="I63" s="114" t="s">
        <v>1316</v>
      </c>
      <c r="J63" s="115" t="s">
        <v>1286</v>
      </c>
      <c r="K63" s="114" t="s">
        <v>2003</v>
      </c>
      <c r="L63" s="114"/>
      <c r="M63" s="114"/>
      <c r="N63" s="114"/>
      <c r="O63" s="121"/>
      <c r="P63" s="123"/>
      <c r="Q63" s="123"/>
      <c r="R63" s="114"/>
      <c r="S63" s="114"/>
      <c r="T63" s="114"/>
      <c r="U63" s="114"/>
      <c r="V63" s="114"/>
      <c r="W63" s="114"/>
      <c r="X63" s="118"/>
    </row>
    <row r="64">
      <c r="A64" s="115" t="s">
        <v>69</v>
      </c>
      <c r="B64" s="111" t="s">
        <v>1248</v>
      </c>
      <c r="C64" s="111" t="s">
        <v>1249</v>
      </c>
      <c r="D64" s="111" t="s">
        <v>2070</v>
      </c>
      <c r="E64" s="111" t="s">
        <v>56</v>
      </c>
      <c r="F64" s="113" t="s">
        <v>1233</v>
      </c>
      <c r="G64" s="113" t="s">
        <v>1233</v>
      </c>
      <c r="H64" s="113" t="s">
        <v>56</v>
      </c>
      <c r="I64" s="114" t="s">
        <v>1316</v>
      </c>
      <c r="J64" s="115" t="s">
        <v>1288</v>
      </c>
      <c r="K64" s="114" t="s">
        <v>2001</v>
      </c>
      <c r="L64" s="114"/>
      <c r="M64" s="114"/>
      <c r="N64" s="114"/>
      <c r="O64" s="121"/>
      <c r="P64" s="123"/>
      <c r="Q64" s="123"/>
      <c r="R64" s="114"/>
      <c r="S64" s="114"/>
      <c r="T64" s="114"/>
      <c r="U64" s="114"/>
      <c r="V64" s="114"/>
      <c r="W64" s="114"/>
      <c r="X64" s="118"/>
    </row>
    <row r="65">
      <c r="A65" s="115" t="s">
        <v>176</v>
      </c>
      <c r="B65" s="111" t="s">
        <v>1335</v>
      </c>
      <c r="C65" s="111" t="s">
        <v>1336</v>
      </c>
      <c r="D65" s="111" t="s">
        <v>2071</v>
      </c>
      <c r="E65" s="111" t="s">
        <v>56</v>
      </c>
      <c r="F65" s="113" t="s">
        <v>1233</v>
      </c>
      <c r="G65" s="113" t="s">
        <v>1233</v>
      </c>
      <c r="H65" s="113" t="s">
        <v>56</v>
      </c>
      <c r="I65" s="114" t="s">
        <v>1316</v>
      </c>
      <c r="J65" s="115" t="s">
        <v>1288</v>
      </c>
      <c r="K65" s="114" t="s">
        <v>2003</v>
      </c>
      <c r="L65" s="114"/>
      <c r="M65" s="114"/>
      <c r="N65" s="114"/>
      <c r="O65" s="121"/>
      <c r="P65" s="123"/>
      <c r="Q65" s="123"/>
      <c r="R65" s="114"/>
      <c r="S65" s="114"/>
      <c r="T65" s="114"/>
      <c r="U65" s="114"/>
      <c r="V65" s="114"/>
      <c r="W65" s="114"/>
      <c r="X65" s="118"/>
    </row>
    <row r="66">
      <c r="A66" s="115" t="s">
        <v>111</v>
      </c>
      <c r="B66" s="111" t="s">
        <v>1284</v>
      </c>
      <c r="C66" s="111" t="s">
        <v>1285</v>
      </c>
      <c r="D66" s="111" t="s">
        <v>2072</v>
      </c>
      <c r="E66" s="111" t="s">
        <v>56</v>
      </c>
      <c r="F66" s="113" t="s">
        <v>1233</v>
      </c>
      <c r="G66" s="113" t="s">
        <v>1233</v>
      </c>
      <c r="H66" s="113" t="s">
        <v>56</v>
      </c>
      <c r="I66" s="114" t="s">
        <v>1316</v>
      </c>
      <c r="J66" s="115" t="s">
        <v>1288</v>
      </c>
      <c r="K66" s="114" t="s">
        <v>2005</v>
      </c>
      <c r="L66" s="114"/>
      <c r="M66" s="114"/>
      <c r="N66" s="114"/>
      <c r="O66" s="121"/>
      <c r="P66" s="123"/>
      <c r="Q66" s="123"/>
      <c r="R66" s="114"/>
      <c r="S66" s="114"/>
      <c r="T66" s="114"/>
      <c r="U66" s="114"/>
      <c r="V66" s="114"/>
      <c r="W66" s="114"/>
      <c r="X66" s="118"/>
    </row>
    <row r="67">
      <c r="A67" s="115" t="s">
        <v>180</v>
      </c>
      <c r="B67" s="111" t="s">
        <v>1337</v>
      </c>
      <c r="C67" s="111" t="s">
        <v>1338</v>
      </c>
      <c r="D67" s="111" t="s">
        <v>2073</v>
      </c>
      <c r="E67" s="111" t="s">
        <v>56</v>
      </c>
      <c r="F67" s="113" t="s">
        <v>1233</v>
      </c>
      <c r="G67" s="113" t="s">
        <v>1233</v>
      </c>
      <c r="H67" s="113" t="s">
        <v>56</v>
      </c>
      <c r="I67" s="114" t="s">
        <v>1316</v>
      </c>
      <c r="J67" s="115" t="s">
        <v>1290</v>
      </c>
      <c r="K67" s="114" t="s">
        <v>2001</v>
      </c>
      <c r="L67" s="114"/>
      <c r="M67" s="114"/>
      <c r="N67" s="114"/>
      <c r="O67" s="121"/>
      <c r="P67" s="123"/>
      <c r="Q67" s="123"/>
      <c r="R67" s="114"/>
      <c r="S67" s="114"/>
      <c r="T67" s="114"/>
      <c r="U67" s="114"/>
      <c r="V67" s="114"/>
      <c r="W67" s="114"/>
      <c r="X67" s="118"/>
    </row>
    <row r="68">
      <c r="A68" s="115" t="s">
        <v>182</v>
      </c>
      <c r="B68" s="111" t="s">
        <v>1339</v>
      </c>
      <c r="C68" s="111" t="s">
        <v>1340</v>
      </c>
      <c r="D68" s="111" t="s">
        <v>2074</v>
      </c>
      <c r="E68" s="111" t="s">
        <v>56</v>
      </c>
      <c r="F68" s="113" t="s">
        <v>1233</v>
      </c>
      <c r="G68" s="113" t="s">
        <v>1233</v>
      </c>
      <c r="H68" s="113" t="s">
        <v>56</v>
      </c>
      <c r="I68" s="114" t="s">
        <v>1316</v>
      </c>
      <c r="J68" s="115" t="s">
        <v>1290</v>
      </c>
      <c r="K68" s="114" t="s">
        <v>2003</v>
      </c>
      <c r="L68" s="114"/>
      <c r="M68" s="114"/>
      <c r="N68" s="114"/>
      <c r="O68" s="121"/>
      <c r="P68" s="123"/>
      <c r="Q68" s="123"/>
      <c r="R68" s="114"/>
      <c r="S68" s="114"/>
      <c r="T68" s="114"/>
      <c r="U68" s="114"/>
      <c r="V68" s="114"/>
      <c r="W68" s="114"/>
      <c r="X68" s="118"/>
    </row>
    <row r="69">
      <c r="A69" s="115" t="s">
        <v>184</v>
      </c>
      <c r="B69" s="111" t="s">
        <v>1341</v>
      </c>
      <c r="C69" s="111" t="s">
        <v>1342</v>
      </c>
      <c r="D69" s="111" t="s">
        <v>2075</v>
      </c>
      <c r="E69" s="111" t="s">
        <v>56</v>
      </c>
      <c r="F69" s="113" t="s">
        <v>1233</v>
      </c>
      <c r="G69" s="113" t="s">
        <v>1233</v>
      </c>
      <c r="H69" s="113" t="s">
        <v>56</v>
      </c>
      <c r="I69" s="114" t="s">
        <v>1316</v>
      </c>
      <c r="J69" s="115" t="s">
        <v>1290</v>
      </c>
      <c r="K69" s="114" t="s">
        <v>2005</v>
      </c>
      <c r="L69" s="114"/>
      <c r="M69" s="114"/>
      <c r="N69" s="114"/>
      <c r="O69" s="121"/>
      <c r="P69" s="123"/>
      <c r="Q69" s="123"/>
      <c r="R69" s="114"/>
      <c r="S69" s="114"/>
      <c r="T69" s="114"/>
      <c r="U69" s="114"/>
      <c r="V69" s="114"/>
      <c r="W69" s="114"/>
      <c r="X69" s="118"/>
    </row>
    <row r="70">
      <c r="A70" s="115" t="s">
        <v>187</v>
      </c>
      <c r="B70" s="111" t="s">
        <v>1343</v>
      </c>
      <c r="C70" s="111" t="s">
        <v>1344</v>
      </c>
      <c r="D70" s="111" t="s">
        <v>2076</v>
      </c>
      <c r="E70" s="111" t="s">
        <v>56</v>
      </c>
      <c r="F70" s="113" t="s">
        <v>1233</v>
      </c>
      <c r="G70" s="113" t="s">
        <v>1233</v>
      </c>
      <c r="H70" s="113" t="s">
        <v>56</v>
      </c>
      <c r="I70" s="114" t="s">
        <v>1316</v>
      </c>
      <c r="J70" s="115" t="s">
        <v>1292</v>
      </c>
      <c r="K70" s="114" t="s">
        <v>2001</v>
      </c>
      <c r="L70" s="114"/>
      <c r="M70" s="114"/>
      <c r="N70" s="114"/>
      <c r="O70" s="121"/>
      <c r="P70" s="123"/>
      <c r="Q70" s="123"/>
      <c r="R70" s="114"/>
      <c r="S70" s="114"/>
      <c r="T70" s="114"/>
      <c r="U70" s="114"/>
      <c r="V70" s="114"/>
      <c r="W70" s="114"/>
      <c r="X70" s="118"/>
    </row>
    <row r="71">
      <c r="A71" s="115">
        <v>706.0</v>
      </c>
      <c r="B71" s="111" t="s">
        <v>1345</v>
      </c>
      <c r="C71" s="111" t="s">
        <v>1346</v>
      </c>
      <c r="D71" s="111" t="s">
        <v>2077</v>
      </c>
      <c r="E71" s="111" t="s">
        <v>56</v>
      </c>
      <c r="F71" s="113" t="s">
        <v>1233</v>
      </c>
      <c r="G71" s="113" t="s">
        <v>1233</v>
      </c>
      <c r="H71" s="113" t="s">
        <v>56</v>
      </c>
      <c r="I71" s="114" t="s">
        <v>1316</v>
      </c>
      <c r="J71" s="115" t="s">
        <v>1292</v>
      </c>
      <c r="K71" s="114" t="s">
        <v>2003</v>
      </c>
      <c r="L71" s="114"/>
      <c r="M71" s="114"/>
      <c r="N71" s="114"/>
      <c r="O71" s="121"/>
      <c r="P71" s="123"/>
      <c r="Q71" s="123"/>
      <c r="R71" s="114"/>
      <c r="S71" s="114"/>
      <c r="T71" s="114"/>
      <c r="U71" s="114"/>
      <c r="V71" s="114"/>
      <c r="W71" s="114"/>
      <c r="X71" s="118"/>
    </row>
    <row r="72">
      <c r="A72" s="115" t="s">
        <v>191</v>
      </c>
      <c r="B72" s="111" t="s">
        <v>1347</v>
      </c>
      <c r="C72" s="111" t="s">
        <v>1348</v>
      </c>
      <c r="D72" s="111" t="s">
        <v>2078</v>
      </c>
      <c r="E72" s="111" t="s">
        <v>56</v>
      </c>
      <c r="F72" s="113" t="s">
        <v>1233</v>
      </c>
      <c r="G72" s="113" t="s">
        <v>1233</v>
      </c>
      <c r="H72" s="113" t="s">
        <v>56</v>
      </c>
      <c r="I72" s="114" t="s">
        <v>1316</v>
      </c>
      <c r="J72" s="115" t="s">
        <v>1294</v>
      </c>
      <c r="K72" s="114" t="s">
        <v>2001</v>
      </c>
      <c r="L72" s="114"/>
      <c r="M72" s="114"/>
      <c r="N72" s="114"/>
      <c r="O72" s="121"/>
      <c r="P72" s="123"/>
      <c r="Q72" s="123"/>
      <c r="R72" s="114"/>
      <c r="S72" s="114"/>
      <c r="T72" s="114"/>
      <c r="U72" s="114"/>
      <c r="V72" s="114"/>
      <c r="W72" s="114"/>
      <c r="X72" s="118"/>
    </row>
    <row r="73">
      <c r="A73" s="115" t="s">
        <v>193</v>
      </c>
      <c r="B73" s="111" t="s">
        <v>1349</v>
      </c>
      <c r="C73" s="111" t="s">
        <v>1350</v>
      </c>
      <c r="D73" s="111" t="s">
        <v>2079</v>
      </c>
      <c r="E73" s="111" t="s">
        <v>56</v>
      </c>
      <c r="F73" s="113" t="s">
        <v>1233</v>
      </c>
      <c r="G73" s="113" t="s">
        <v>1233</v>
      </c>
      <c r="H73" s="113" t="s">
        <v>56</v>
      </c>
      <c r="I73" s="114" t="s">
        <v>1316</v>
      </c>
      <c r="J73" s="115" t="s">
        <v>1294</v>
      </c>
      <c r="K73" s="114" t="s">
        <v>2003</v>
      </c>
      <c r="L73" s="114"/>
      <c r="M73" s="114"/>
      <c r="N73" s="114"/>
      <c r="O73" s="121"/>
      <c r="P73" s="123"/>
      <c r="Q73" s="123"/>
      <c r="R73" s="114"/>
      <c r="S73" s="114"/>
      <c r="T73" s="114"/>
      <c r="U73" s="114"/>
      <c r="V73" s="114"/>
      <c r="W73" s="114"/>
      <c r="X73" s="118"/>
    </row>
    <row r="74">
      <c r="A74" s="115" t="s">
        <v>195</v>
      </c>
      <c r="B74" s="111" t="s">
        <v>1351</v>
      </c>
      <c r="C74" s="111" t="s">
        <v>1352</v>
      </c>
      <c r="D74" s="111" t="s">
        <v>2080</v>
      </c>
      <c r="E74" s="111" t="s">
        <v>56</v>
      </c>
      <c r="F74" s="113" t="s">
        <v>1233</v>
      </c>
      <c r="G74" s="113" t="s">
        <v>1233</v>
      </c>
      <c r="H74" s="113" t="s">
        <v>56</v>
      </c>
      <c r="I74" s="114" t="s">
        <v>1316</v>
      </c>
      <c r="J74" s="115" t="s">
        <v>1294</v>
      </c>
      <c r="K74" s="114" t="s">
        <v>2005</v>
      </c>
      <c r="L74" s="114"/>
      <c r="M74" s="114"/>
      <c r="N74" s="114"/>
      <c r="O74" s="121"/>
      <c r="P74" s="123"/>
      <c r="Q74" s="123"/>
      <c r="R74" s="114"/>
      <c r="S74" s="114"/>
      <c r="T74" s="114"/>
      <c r="U74" s="114"/>
      <c r="V74" s="114"/>
      <c r="W74" s="114"/>
      <c r="X74" s="118"/>
    </row>
    <row r="75">
      <c r="A75" s="115" t="s">
        <v>197</v>
      </c>
      <c r="B75" s="111" t="s">
        <v>1353</v>
      </c>
      <c r="C75" s="111" t="s">
        <v>1354</v>
      </c>
      <c r="D75" s="111" t="s">
        <v>2081</v>
      </c>
      <c r="E75" s="111" t="s">
        <v>56</v>
      </c>
      <c r="F75" s="113" t="s">
        <v>1233</v>
      </c>
      <c r="G75" s="113" t="s">
        <v>1233</v>
      </c>
      <c r="H75" s="113" t="s">
        <v>56</v>
      </c>
      <c r="I75" s="114" t="s">
        <v>1316</v>
      </c>
      <c r="J75" s="115" t="s">
        <v>1294</v>
      </c>
      <c r="K75" s="114" t="s">
        <v>2007</v>
      </c>
      <c r="L75" s="114"/>
      <c r="M75" s="114"/>
      <c r="N75" s="114"/>
      <c r="O75" s="121"/>
      <c r="P75" s="123"/>
      <c r="Q75" s="123"/>
      <c r="R75" s="114"/>
      <c r="S75" s="114"/>
      <c r="T75" s="114"/>
      <c r="U75" s="114"/>
      <c r="V75" s="114"/>
      <c r="W75" s="114"/>
      <c r="X75" s="118"/>
    </row>
    <row r="76">
      <c r="A76" s="115" t="s">
        <v>199</v>
      </c>
      <c r="B76" s="111" t="s">
        <v>1355</v>
      </c>
      <c r="C76" s="111" t="s">
        <v>1356</v>
      </c>
      <c r="D76" s="111" t="s">
        <v>2082</v>
      </c>
      <c r="E76" s="111" t="s">
        <v>56</v>
      </c>
      <c r="F76" s="113" t="s">
        <v>1233</v>
      </c>
      <c r="G76" s="113" t="s">
        <v>1233</v>
      </c>
      <c r="H76" s="113" t="s">
        <v>56</v>
      </c>
      <c r="I76" s="114" t="s">
        <v>1316</v>
      </c>
      <c r="J76" s="115" t="s">
        <v>1294</v>
      </c>
      <c r="K76" s="114" t="s">
        <v>2009</v>
      </c>
      <c r="L76" s="114"/>
      <c r="M76" s="114"/>
      <c r="N76" s="114"/>
      <c r="O76" s="121"/>
      <c r="P76" s="123"/>
      <c r="Q76" s="123"/>
      <c r="R76" s="114"/>
      <c r="S76" s="114"/>
      <c r="T76" s="114"/>
      <c r="U76" s="114"/>
      <c r="V76" s="114"/>
      <c r="W76" s="114"/>
      <c r="X76" s="118"/>
    </row>
    <row r="77">
      <c r="A77" s="115" t="s">
        <v>202</v>
      </c>
      <c r="B77" s="111" t="s">
        <v>1357</v>
      </c>
      <c r="C77" s="111" t="s">
        <v>1358</v>
      </c>
      <c r="D77" s="111" t="s">
        <v>2083</v>
      </c>
      <c r="E77" s="111" t="s">
        <v>56</v>
      </c>
      <c r="F77" s="113" t="s">
        <v>1233</v>
      </c>
      <c r="G77" s="113" t="s">
        <v>1233</v>
      </c>
      <c r="H77" s="113" t="s">
        <v>56</v>
      </c>
      <c r="I77" s="114" t="s">
        <v>1316</v>
      </c>
      <c r="J77" s="115" t="s">
        <v>1296</v>
      </c>
      <c r="K77" s="114" t="s">
        <v>2001</v>
      </c>
      <c r="L77" s="114"/>
      <c r="M77" s="114"/>
      <c r="N77" s="114"/>
      <c r="O77" s="121"/>
      <c r="P77" s="123"/>
      <c r="Q77" s="123"/>
      <c r="R77" s="114"/>
      <c r="S77" s="114"/>
      <c r="T77" s="114"/>
      <c r="U77" s="114"/>
      <c r="V77" s="114"/>
      <c r="W77" s="114"/>
      <c r="X77" s="118"/>
    </row>
    <row r="78">
      <c r="A78" s="115" t="s">
        <v>205</v>
      </c>
      <c r="B78" s="111" t="s">
        <v>1359</v>
      </c>
      <c r="C78" s="111" t="s">
        <v>1360</v>
      </c>
      <c r="D78" s="111" t="s">
        <v>2084</v>
      </c>
      <c r="E78" s="111" t="s">
        <v>56</v>
      </c>
      <c r="F78" s="113" t="s">
        <v>1233</v>
      </c>
      <c r="G78" s="113" t="s">
        <v>1233</v>
      </c>
      <c r="H78" s="113" t="s">
        <v>56</v>
      </c>
      <c r="I78" s="114" t="s">
        <v>1316</v>
      </c>
      <c r="J78" s="115" t="s">
        <v>1298</v>
      </c>
      <c r="K78" s="114" t="s">
        <v>2001</v>
      </c>
      <c r="L78" s="114"/>
      <c r="M78" s="114"/>
      <c r="N78" s="114"/>
      <c r="O78" s="121"/>
      <c r="P78" s="123"/>
      <c r="Q78" s="123"/>
      <c r="R78" s="114"/>
      <c r="S78" s="114"/>
      <c r="T78" s="114"/>
      <c r="U78" s="114"/>
      <c r="V78" s="114"/>
      <c r="W78" s="114"/>
      <c r="X78" s="118"/>
    </row>
    <row r="79">
      <c r="A79" s="115" t="s">
        <v>207</v>
      </c>
      <c r="B79" s="111" t="s">
        <v>1361</v>
      </c>
      <c r="C79" s="111" t="s">
        <v>1362</v>
      </c>
      <c r="D79" s="111" t="s">
        <v>2085</v>
      </c>
      <c r="E79" s="111" t="s">
        <v>56</v>
      </c>
      <c r="F79" s="113" t="s">
        <v>1233</v>
      </c>
      <c r="G79" s="113" t="s">
        <v>1233</v>
      </c>
      <c r="H79" s="113" t="s">
        <v>56</v>
      </c>
      <c r="I79" s="114" t="s">
        <v>1316</v>
      </c>
      <c r="J79" s="115" t="s">
        <v>1298</v>
      </c>
      <c r="K79" s="114" t="s">
        <v>2003</v>
      </c>
      <c r="L79" s="114"/>
      <c r="M79" s="114"/>
      <c r="N79" s="114"/>
      <c r="O79" s="121"/>
      <c r="P79" s="123"/>
      <c r="Q79" s="123"/>
      <c r="R79" s="114"/>
      <c r="S79" s="114"/>
      <c r="T79" s="114"/>
      <c r="U79" s="114"/>
      <c r="V79" s="114"/>
      <c r="W79" s="114"/>
      <c r="X79" s="118"/>
    </row>
    <row r="80">
      <c r="A80" s="115" t="s">
        <v>210</v>
      </c>
      <c r="B80" s="111" t="s">
        <v>1363</v>
      </c>
      <c r="C80" s="111" t="s">
        <v>1364</v>
      </c>
      <c r="D80" s="111" t="s">
        <v>2086</v>
      </c>
      <c r="E80" s="111" t="s">
        <v>56</v>
      </c>
      <c r="F80" s="113" t="s">
        <v>1233</v>
      </c>
      <c r="G80" s="113" t="s">
        <v>1233</v>
      </c>
      <c r="H80" s="113" t="s">
        <v>56</v>
      </c>
      <c r="I80" s="114" t="s">
        <v>1316</v>
      </c>
      <c r="J80" s="115" t="s">
        <v>1300</v>
      </c>
      <c r="K80" s="114" t="s">
        <v>2001</v>
      </c>
      <c r="L80" s="114"/>
      <c r="M80" s="114"/>
      <c r="N80" s="114"/>
      <c r="O80" s="121"/>
      <c r="P80" s="123"/>
      <c r="Q80" s="123"/>
      <c r="R80" s="114"/>
      <c r="S80" s="114"/>
      <c r="T80" s="114"/>
      <c r="U80" s="114"/>
      <c r="V80" s="114"/>
      <c r="W80" s="114"/>
      <c r="X80" s="118"/>
    </row>
    <row r="81">
      <c r="A81" s="115" t="s">
        <v>213</v>
      </c>
      <c r="B81" s="111" t="s">
        <v>1365</v>
      </c>
      <c r="C81" s="111" t="s">
        <v>1366</v>
      </c>
      <c r="D81" s="111" t="s">
        <v>2087</v>
      </c>
      <c r="E81" s="111" t="s">
        <v>56</v>
      </c>
      <c r="F81" s="113" t="s">
        <v>1233</v>
      </c>
      <c r="G81" s="113" t="s">
        <v>1233</v>
      </c>
      <c r="H81" s="113" t="s">
        <v>56</v>
      </c>
      <c r="I81" s="114" t="s">
        <v>1316</v>
      </c>
      <c r="J81" s="115" t="s">
        <v>1302</v>
      </c>
      <c r="K81" s="114" t="s">
        <v>2001</v>
      </c>
      <c r="L81" s="114"/>
      <c r="M81" s="114"/>
      <c r="N81" s="114"/>
      <c r="O81" s="121"/>
      <c r="P81" s="123"/>
      <c r="Q81" s="123"/>
      <c r="R81" s="114"/>
      <c r="S81" s="114"/>
      <c r="T81" s="114"/>
      <c r="U81" s="114"/>
      <c r="V81" s="114"/>
      <c r="W81" s="114"/>
      <c r="X81" s="118"/>
    </row>
    <row r="82">
      <c r="A82" s="115" t="s">
        <v>109</v>
      </c>
      <c r="B82" s="111" t="s">
        <v>1282</v>
      </c>
      <c r="C82" s="111" t="s">
        <v>1283</v>
      </c>
      <c r="D82" s="111" t="s">
        <v>2088</v>
      </c>
      <c r="E82" s="111" t="s">
        <v>56</v>
      </c>
      <c r="F82" s="113" t="s">
        <v>1233</v>
      </c>
      <c r="G82" s="113" t="s">
        <v>1233</v>
      </c>
      <c r="H82" s="113" t="s">
        <v>56</v>
      </c>
      <c r="I82" s="114" t="s">
        <v>1316</v>
      </c>
      <c r="J82" s="115" t="s">
        <v>1302</v>
      </c>
      <c r="K82" s="114" t="s">
        <v>2003</v>
      </c>
      <c r="L82" s="114"/>
      <c r="M82" s="114"/>
      <c r="N82" s="114"/>
      <c r="O82" s="121"/>
      <c r="P82" s="123"/>
      <c r="Q82" s="123"/>
      <c r="R82" s="114"/>
      <c r="S82" s="114"/>
      <c r="T82" s="114"/>
      <c r="U82" s="114"/>
      <c r="V82" s="114"/>
      <c r="W82" s="114"/>
      <c r="X82" s="118"/>
    </row>
    <row r="83">
      <c r="A83" s="115" t="s">
        <v>217</v>
      </c>
      <c r="B83" s="111" t="s">
        <v>1367</v>
      </c>
      <c r="C83" s="111" t="s">
        <v>1368</v>
      </c>
      <c r="D83" s="111" t="s">
        <v>2089</v>
      </c>
      <c r="E83" s="111" t="s">
        <v>56</v>
      </c>
      <c r="F83" s="113" t="s">
        <v>1233</v>
      </c>
      <c r="G83" s="113" t="s">
        <v>1233</v>
      </c>
      <c r="H83" s="113" t="s">
        <v>56</v>
      </c>
      <c r="I83" s="114" t="s">
        <v>1316</v>
      </c>
      <c r="J83" s="115" t="s">
        <v>1304</v>
      </c>
      <c r="K83" s="114" t="s">
        <v>2001</v>
      </c>
      <c r="L83" s="114"/>
      <c r="M83" s="114"/>
      <c r="N83" s="114"/>
      <c r="O83" s="121"/>
      <c r="P83" s="123"/>
      <c r="Q83" s="123"/>
      <c r="R83" s="114"/>
      <c r="S83" s="114"/>
      <c r="T83" s="114"/>
      <c r="U83" s="114"/>
      <c r="V83" s="114"/>
      <c r="W83" s="114"/>
      <c r="X83" s="118"/>
    </row>
    <row r="84">
      <c r="A84" s="115" t="s">
        <v>220</v>
      </c>
      <c r="B84" s="111" t="s">
        <v>1369</v>
      </c>
      <c r="C84" s="111" t="s">
        <v>1370</v>
      </c>
      <c r="D84" s="111" t="s">
        <v>2090</v>
      </c>
      <c r="E84" s="111" t="s">
        <v>56</v>
      </c>
      <c r="F84" s="113" t="s">
        <v>1233</v>
      </c>
      <c r="G84" s="113" t="s">
        <v>1233</v>
      </c>
      <c r="H84" s="113" t="s">
        <v>56</v>
      </c>
      <c r="I84" s="114" t="s">
        <v>1316</v>
      </c>
      <c r="J84" s="115" t="s">
        <v>1306</v>
      </c>
      <c r="K84" s="114" t="s">
        <v>2001</v>
      </c>
      <c r="L84" s="114"/>
      <c r="M84" s="114"/>
      <c r="N84" s="114"/>
      <c r="O84" s="121"/>
      <c r="P84" s="123"/>
      <c r="Q84" s="123"/>
      <c r="R84" s="114"/>
      <c r="S84" s="114"/>
      <c r="T84" s="114"/>
      <c r="U84" s="114"/>
      <c r="V84" s="114"/>
      <c r="W84" s="114"/>
      <c r="X84" s="118"/>
    </row>
    <row r="85">
      <c r="A85" s="115">
        <v>1292.0</v>
      </c>
      <c r="B85" s="111" t="s">
        <v>1325</v>
      </c>
      <c r="C85" s="111" t="s">
        <v>1326</v>
      </c>
      <c r="D85" s="111" t="s">
        <v>2091</v>
      </c>
      <c r="E85" s="111" t="s">
        <v>56</v>
      </c>
      <c r="F85" s="113" t="s">
        <v>1233</v>
      </c>
      <c r="G85" s="113" t="s">
        <v>1233</v>
      </c>
      <c r="H85" s="113" t="s">
        <v>56</v>
      </c>
      <c r="I85" s="114" t="s">
        <v>1316</v>
      </c>
      <c r="J85" s="115" t="s">
        <v>1232</v>
      </c>
      <c r="K85" s="114" t="s">
        <v>2029</v>
      </c>
      <c r="L85" s="114"/>
      <c r="M85" s="114"/>
      <c r="N85" s="114"/>
      <c r="O85" s="121"/>
      <c r="P85" s="123"/>
      <c r="Q85" s="123"/>
      <c r="R85" s="114"/>
      <c r="S85" s="114"/>
      <c r="T85" s="114"/>
      <c r="U85" s="114"/>
      <c r="V85" s="114"/>
      <c r="W85" s="114"/>
      <c r="X85" s="118"/>
    </row>
    <row r="86">
      <c r="A86" s="115">
        <v>1292.0</v>
      </c>
      <c r="B86" s="111" t="s">
        <v>1325</v>
      </c>
      <c r="C86" s="111" t="s">
        <v>1326</v>
      </c>
      <c r="D86" s="111" t="s">
        <v>2091</v>
      </c>
      <c r="E86" s="111" t="s">
        <v>56</v>
      </c>
      <c r="F86" s="113" t="s">
        <v>1233</v>
      </c>
      <c r="G86" s="113" t="s">
        <v>1233</v>
      </c>
      <c r="H86" s="113" t="s">
        <v>56</v>
      </c>
      <c r="I86" s="114" t="s">
        <v>1316</v>
      </c>
      <c r="J86" s="115" t="s">
        <v>1232</v>
      </c>
      <c r="K86" s="114" t="s">
        <v>2029</v>
      </c>
      <c r="L86" s="114"/>
      <c r="M86" s="114"/>
      <c r="N86" s="114"/>
      <c r="O86" s="121"/>
      <c r="P86" s="123"/>
      <c r="Q86" s="123"/>
      <c r="R86" s="114"/>
      <c r="S86" s="114"/>
      <c r="T86" s="114"/>
      <c r="U86" s="114"/>
      <c r="V86" s="114"/>
      <c r="W86" s="114"/>
      <c r="X86" s="118"/>
    </row>
    <row r="87">
      <c r="A87" s="115" t="s">
        <v>545</v>
      </c>
      <c r="B87" s="111" t="s">
        <v>1553</v>
      </c>
      <c r="C87" s="111" t="s">
        <v>1554</v>
      </c>
      <c r="D87" s="111" t="s">
        <v>2092</v>
      </c>
      <c r="E87" s="111" t="s">
        <v>56</v>
      </c>
      <c r="F87" s="113" t="s">
        <v>1233</v>
      </c>
      <c r="G87" s="113" t="s">
        <v>1233</v>
      </c>
      <c r="H87" s="113" t="s">
        <v>56</v>
      </c>
      <c r="I87" s="114" t="s">
        <v>1316</v>
      </c>
      <c r="J87" s="115" t="s">
        <v>1232</v>
      </c>
      <c r="K87" s="114" t="s">
        <v>2029</v>
      </c>
      <c r="L87" s="114"/>
      <c r="M87" s="114"/>
      <c r="N87" s="114"/>
      <c r="O87" s="121"/>
      <c r="P87" s="123"/>
      <c r="Q87" s="123"/>
      <c r="R87" s="114"/>
      <c r="S87" s="114"/>
      <c r="T87" s="114"/>
      <c r="U87" s="114"/>
      <c r="V87" s="114"/>
      <c r="W87" s="114"/>
      <c r="X87" s="118"/>
    </row>
    <row r="88">
      <c r="A88" s="115" t="s">
        <v>922</v>
      </c>
      <c r="B88" s="111" t="s">
        <v>1756</v>
      </c>
      <c r="C88" s="111" t="s">
        <v>1757</v>
      </c>
      <c r="D88" s="111" t="s">
        <v>2093</v>
      </c>
      <c r="E88" s="111" t="s">
        <v>56</v>
      </c>
      <c r="F88" s="113" t="s">
        <v>1233</v>
      </c>
      <c r="G88" s="113" t="s">
        <v>1233</v>
      </c>
      <c r="H88" s="113" t="s">
        <v>56</v>
      </c>
      <c r="I88" s="114" t="s">
        <v>1316</v>
      </c>
      <c r="J88" s="115" t="s">
        <v>1232</v>
      </c>
      <c r="K88" s="114" t="s">
        <v>2029</v>
      </c>
      <c r="L88" s="114"/>
      <c r="M88" s="114"/>
      <c r="N88" s="114"/>
      <c r="O88" s="121"/>
      <c r="P88" s="123"/>
      <c r="Q88" s="123"/>
      <c r="R88" s="114"/>
      <c r="S88" s="114"/>
      <c r="T88" s="114"/>
      <c r="U88" s="114"/>
      <c r="V88" s="114"/>
      <c r="W88" s="114"/>
      <c r="X88" s="118"/>
    </row>
  </sheetData>
  <mergeCells count="4">
    <mergeCell ref="A1:B1"/>
    <mergeCell ref="F1:H1"/>
    <mergeCell ref="I1:P1"/>
    <mergeCell ref="Q1:X1"/>
  </mergeCells>
  <conditionalFormatting sqref="G3 O3 L4:L88 T4:T88">
    <cfRule type="cellIs" dxfId="3" priority="1" operator="equal">
      <formula>"Yes"</formula>
    </cfRule>
  </conditionalFormatting>
  <conditionalFormatting sqref="G3 O3 L4:L88 T4:T88">
    <cfRule type="cellIs" dxfId="4" priority="2" operator="equal">
      <formula>"No"</formula>
    </cfRule>
  </conditionalFormatting>
  <conditionalFormatting sqref="G3 O3 L4:L88 T4:T88">
    <cfRule type="cellIs" dxfId="5" priority="3" operator="equal">
      <formula>"Maybe"</formula>
    </cfRule>
  </conditionalFormatting>
  <conditionalFormatting sqref="H3 M4:M88 U4:U88">
    <cfRule type="cellIs" dxfId="3" priority="4" operator="equal">
      <formula>"No Issues"</formula>
    </cfRule>
  </conditionalFormatting>
  <conditionalFormatting sqref="H3 M4:M88 U4:U88">
    <cfRule type="cellIs" dxfId="4" priority="5" operator="equal">
      <formula>"Unresolved Issue"</formula>
    </cfRule>
  </conditionalFormatting>
  <conditionalFormatting sqref="H3 M4:M88 U4:U88">
    <cfRule type="cellIs" dxfId="6" priority="6" operator="equal">
      <formula>"Repaired Issue"</formula>
    </cfRule>
  </conditionalFormatting>
  <conditionalFormatting sqref="H3 M4:M88 U4:U88">
    <cfRule type="cellIs" dxfId="7" priority="7" operator="equal">
      <formula>"To Check (RCC)"</formula>
    </cfRule>
  </conditionalFormatting>
  <dataValidations>
    <dataValidation type="list" allowBlank="1" sqref="O3 L4:L88 T4:T88">
      <formula1>"Yes,Maybe,No"</formula1>
    </dataValidation>
    <dataValidation type="list" allowBlank="1" sqref="M4:M88 U4:U88">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 r:id="rId159" ref="F83"/>
    <hyperlink r:id="rId160" ref="G83"/>
    <hyperlink r:id="rId161" ref="F84"/>
    <hyperlink r:id="rId162" ref="G84"/>
    <hyperlink r:id="rId163" ref="F85"/>
    <hyperlink r:id="rId164" ref="G85"/>
    <hyperlink r:id="rId165" ref="F86"/>
    <hyperlink r:id="rId166" ref="G86"/>
    <hyperlink r:id="rId167" ref="F87"/>
    <hyperlink r:id="rId168" ref="G87"/>
    <hyperlink r:id="rId169" ref="F88"/>
    <hyperlink r:id="rId170" ref="G88"/>
  </hyperlinks>
  <drawing r:id="rId17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11">IF($A$3:$A11&lt;&gt;"", XLOOKUP($A$3:$A11, Sourcepull!$B$3:$B11, Sourcepull!$A$3:$A11, ""), "")</f>
        <v/>
      </c>
      <c r="C3" s="57" t="str">
        <f t="array" ref="C3:C11">if($A$3:$A11&lt;&gt;"","SP-"&amp;$B$3:$B11&amp;"-"&amp;$A$3:$A11&amp;".pdf", "")</f>
        <v>SP--Keep this row hidden / do not edit!.pdf</v>
      </c>
      <c r="D3" s="57" t="str">
        <f t="array" ref="D3:D11">if($J$3:$J11&lt;&gt;"","R1-"&amp;$J$3:$J11&amp;"-"&amp;$K$3:$K11&amp;"-"&amp;$B$3:$B11&amp;"-"&amp;$A$3:$A11&amp;".pdf", "")</f>
        <v/>
      </c>
      <c r="E3" s="57" t="str">
        <f t="array" ref="E3:E11">if($R$3:$R11&lt;&gt;"","R2-"&amp;$R$3:$R11&amp;"-"&amp;$S$3:$S11&amp;"-"&amp;$B$3:$B11&amp;"-"&amp;$A$3:$A11&amp;".pdf", "")</f>
        <v/>
      </c>
      <c r="F3" s="107" t="str">
        <f t="array" ref="F3:F11">if($C$3:$C11 &lt;&gt; "", hyperlink("https://drive.google.com/drive/search?q=parent:" &amp; Properties!$C$8 &amp; "%20" &amp; char(34) &amp; $C$3:$C11 &amp; char(34), "➔"), "")</f>
        <v>➔</v>
      </c>
      <c r="G3" s="107" t="str">
        <f t="array" ref="G3:G11">if($D$3:$D11 &lt;&gt; "", hyperlink("https://drive.google.com/drive/search?q=parent:" &amp; Properties!$C$9 &amp; "%20" &amp; char(34) &amp; $D$3:$D11 &amp; char(34), "➔"), "")</f>
        <v/>
      </c>
      <c r="H3" s="107" t="str">
        <f t="array" ref="H3:H11">if($E$3:$E11 &lt;&gt; "", hyperlink("https://drive.google.com/drive/search?q=parent:" &amp; Properties!$C$10 &amp; "%20" &amp; char(34) &amp; $E$3:$E11 &amp; char(34), "➔"), "")</f>
        <v/>
      </c>
      <c r="I3" s="57"/>
      <c r="J3" s="57"/>
      <c r="K3" s="57"/>
      <c r="L3" s="57"/>
      <c r="M3" s="57"/>
      <c r="N3" s="57"/>
      <c r="O3" s="57"/>
      <c r="P3" s="108"/>
      <c r="Q3" s="109"/>
      <c r="R3" s="57"/>
      <c r="S3" s="57"/>
      <c r="T3" s="57"/>
      <c r="U3" s="57"/>
      <c r="V3" s="57"/>
      <c r="W3" s="57"/>
      <c r="X3" s="57"/>
    </row>
    <row r="4">
      <c r="A4" s="110"/>
      <c r="B4" s="111" t="s">
        <v>56</v>
      </c>
      <c r="C4" s="111" t="s">
        <v>56</v>
      </c>
      <c r="D4" s="111" t="s">
        <v>56</v>
      </c>
      <c r="E4" s="111" t="s">
        <v>56</v>
      </c>
      <c r="F4" s="112" t="s">
        <v>56</v>
      </c>
      <c r="G4" s="113" t="s">
        <v>56</v>
      </c>
      <c r="H4" s="113" t="s">
        <v>56</v>
      </c>
      <c r="I4" s="114"/>
      <c r="J4" s="115"/>
      <c r="K4" s="114"/>
      <c r="L4" s="114"/>
      <c r="M4" s="114"/>
      <c r="N4" s="114"/>
      <c r="O4" s="114"/>
      <c r="P4" s="116"/>
      <c r="Q4" s="117"/>
      <c r="R4" s="114"/>
      <c r="S4" s="114"/>
      <c r="T4" s="114"/>
      <c r="U4" s="114"/>
      <c r="V4" s="114"/>
      <c r="W4" s="114"/>
      <c r="X4" s="118"/>
    </row>
    <row r="5">
      <c r="A5" s="115"/>
      <c r="B5" s="111" t="s">
        <v>56</v>
      </c>
      <c r="C5" s="111" t="s">
        <v>56</v>
      </c>
      <c r="D5" s="111" t="s">
        <v>56</v>
      </c>
      <c r="E5" s="111" t="s">
        <v>56</v>
      </c>
      <c r="F5" s="113" t="s">
        <v>56</v>
      </c>
      <c r="G5" s="113" t="s">
        <v>56</v>
      </c>
      <c r="H5" s="113" t="s">
        <v>56</v>
      </c>
      <c r="I5" s="114"/>
      <c r="J5" s="115"/>
      <c r="K5" s="114"/>
      <c r="L5" s="114"/>
      <c r="M5" s="114"/>
      <c r="N5" s="119"/>
      <c r="O5" s="114"/>
      <c r="P5" s="120"/>
      <c r="Q5" s="117"/>
      <c r="R5" s="114"/>
      <c r="S5" s="114"/>
      <c r="T5" s="114"/>
      <c r="U5" s="114"/>
      <c r="V5" s="114"/>
      <c r="W5" s="114"/>
      <c r="X5" s="118"/>
    </row>
    <row r="6">
      <c r="A6" s="115"/>
      <c r="B6" s="111" t="s">
        <v>56</v>
      </c>
      <c r="C6" s="111" t="s">
        <v>56</v>
      </c>
      <c r="D6" s="111" t="s">
        <v>56</v>
      </c>
      <c r="E6" s="111" t="s">
        <v>56</v>
      </c>
      <c r="F6" s="113" t="s">
        <v>56</v>
      </c>
      <c r="G6" s="113" t="s">
        <v>56</v>
      </c>
      <c r="H6" s="113" t="s">
        <v>56</v>
      </c>
      <c r="I6" s="114"/>
      <c r="J6" s="115"/>
      <c r="K6" s="114"/>
      <c r="L6" s="114"/>
      <c r="M6" s="114"/>
      <c r="N6" s="114"/>
      <c r="O6" s="121"/>
      <c r="P6" s="116"/>
      <c r="Q6" s="117"/>
      <c r="R6" s="114"/>
      <c r="S6" s="114"/>
      <c r="T6" s="114"/>
      <c r="U6" s="114"/>
      <c r="V6" s="114"/>
      <c r="W6" s="114"/>
      <c r="X6" s="118"/>
    </row>
    <row r="7">
      <c r="A7" s="115"/>
      <c r="B7" s="111" t="s">
        <v>56</v>
      </c>
      <c r="C7" s="111" t="s">
        <v>56</v>
      </c>
      <c r="D7" s="111" t="s">
        <v>56</v>
      </c>
      <c r="E7" s="111" t="s">
        <v>56</v>
      </c>
      <c r="F7" s="113" t="s">
        <v>56</v>
      </c>
      <c r="G7" s="113" t="s">
        <v>56</v>
      </c>
      <c r="H7" s="113" t="s">
        <v>56</v>
      </c>
      <c r="I7" s="114"/>
      <c r="J7" s="115"/>
      <c r="K7" s="114"/>
      <c r="L7" s="114"/>
      <c r="M7" s="114"/>
      <c r="N7" s="114"/>
      <c r="O7" s="121"/>
      <c r="P7" s="122"/>
      <c r="Q7" s="123"/>
      <c r="R7" s="114"/>
      <c r="S7" s="114"/>
      <c r="T7" s="114"/>
      <c r="U7" s="114"/>
      <c r="V7" s="114"/>
      <c r="W7" s="114"/>
      <c r="X7" s="118"/>
    </row>
    <row r="8">
      <c r="A8" s="115"/>
      <c r="B8" s="111" t="s">
        <v>56</v>
      </c>
      <c r="C8" s="111" t="s">
        <v>56</v>
      </c>
      <c r="D8" s="111" t="s">
        <v>56</v>
      </c>
      <c r="E8" s="111" t="s">
        <v>56</v>
      </c>
      <c r="F8" s="113" t="s">
        <v>56</v>
      </c>
      <c r="G8" s="113" t="s">
        <v>56</v>
      </c>
      <c r="H8" s="113" t="s">
        <v>56</v>
      </c>
      <c r="I8" s="114"/>
      <c r="J8" s="115"/>
      <c r="K8" s="114"/>
      <c r="L8" s="114"/>
      <c r="M8" s="114"/>
      <c r="N8" s="114"/>
      <c r="O8" s="121"/>
      <c r="P8" s="122"/>
      <c r="Q8" s="123"/>
      <c r="R8" s="114"/>
      <c r="S8" s="114"/>
      <c r="T8" s="114"/>
      <c r="U8" s="114"/>
      <c r="V8" s="114"/>
      <c r="W8" s="114"/>
      <c r="X8" s="118"/>
    </row>
    <row r="9">
      <c r="A9" s="115"/>
      <c r="B9" s="111" t="s">
        <v>56</v>
      </c>
      <c r="C9" s="111" t="s">
        <v>56</v>
      </c>
      <c r="D9" s="111" t="s">
        <v>56</v>
      </c>
      <c r="E9" s="111" t="s">
        <v>56</v>
      </c>
      <c r="F9" s="113" t="s">
        <v>56</v>
      </c>
      <c r="G9" s="113" t="s">
        <v>56</v>
      </c>
      <c r="H9" s="113" t="s">
        <v>56</v>
      </c>
      <c r="I9" s="114"/>
      <c r="J9" s="115"/>
      <c r="K9" s="114"/>
      <c r="L9" s="114"/>
      <c r="M9" s="114"/>
      <c r="N9" s="114"/>
      <c r="O9" s="121"/>
      <c r="P9" s="122"/>
      <c r="Q9" s="123"/>
      <c r="R9" s="114"/>
      <c r="S9" s="114"/>
      <c r="T9" s="114"/>
      <c r="U9" s="114"/>
      <c r="V9" s="114"/>
      <c r="W9" s="114"/>
      <c r="X9" s="118"/>
    </row>
    <row r="10">
      <c r="A10" s="115"/>
      <c r="B10" s="111" t="s">
        <v>56</v>
      </c>
      <c r="C10" s="111" t="s">
        <v>56</v>
      </c>
      <c r="D10" s="111" t="s">
        <v>56</v>
      </c>
      <c r="E10" s="111" t="s">
        <v>56</v>
      </c>
      <c r="F10" s="113" t="s">
        <v>56</v>
      </c>
      <c r="G10" s="113" t="s">
        <v>56</v>
      </c>
      <c r="H10" s="113" t="s">
        <v>56</v>
      </c>
      <c r="I10" s="114"/>
      <c r="J10" s="115"/>
      <c r="K10" s="114"/>
      <c r="L10" s="114"/>
      <c r="M10" s="114"/>
      <c r="N10" s="114"/>
      <c r="O10" s="121"/>
      <c r="P10" s="122"/>
      <c r="Q10" s="123"/>
      <c r="R10" s="114"/>
      <c r="S10" s="114"/>
      <c r="T10" s="114"/>
      <c r="U10" s="114"/>
      <c r="V10" s="114"/>
      <c r="W10" s="114"/>
      <c r="X10" s="118"/>
    </row>
    <row r="11">
      <c r="A11" s="115"/>
      <c r="B11" s="111" t="s">
        <v>56</v>
      </c>
      <c r="C11" s="111" t="s">
        <v>56</v>
      </c>
      <c r="D11" s="111" t="s">
        <v>56</v>
      </c>
      <c r="E11" s="111" t="s">
        <v>56</v>
      </c>
      <c r="F11" s="113" t="s">
        <v>56</v>
      </c>
      <c r="G11" s="113" t="s">
        <v>56</v>
      </c>
      <c r="H11" s="113" t="s">
        <v>56</v>
      </c>
      <c r="I11" s="114"/>
      <c r="J11" s="115"/>
      <c r="K11" s="114"/>
      <c r="L11" s="114"/>
      <c r="M11" s="114"/>
      <c r="N11" s="114"/>
      <c r="O11" s="121"/>
      <c r="P11" s="122"/>
      <c r="Q11" s="123"/>
      <c r="R11" s="114"/>
      <c r="S11" s="114"/>
      <c r="T11" s="114"/>
      <c r="U11" s="114"/>
      <c r="V11" s="114"/>
      <c r="W11" s="114"/>
      <c r="X11" s="118"/>
    </row>
  </sheetData>
  <mergeCells count="4">
    <mergeCell ref="A1:B1"/>
    <mergeCell ref="F1:H1"/>
    <mergeCell ref="I1:P1"/>
    <mergeCell ref="Q1:X1"/>
  </mergeCells>
  <conditionalFormatting sqref="G3 O3 L4:L11 T4:T11">
    <cfRule type="cellIs" dxfId="3" priority="1" operator="equal">
      <formula>"Yes"</formula>
    </cfRule>
  </conditionalFormatting>
  <conditionalFormatting sqref="G3 O3 L4:L11 T4:T11">
    <cfRule type="cellIs" dxfId="4" priority="2" operator="equal">
      <formula>"No"</formula>
    </cfRule>
  </conditionalFormatting>
  <conditionalFormatting sqref="G3 O3 L4:L11 T4:T11">
    <cfRule type="cellIs" dxfId="5" priority="3" operator="equal">
      <formula>"Maybe"</formula>
    </cfRule>
  </conditionalFormatting>
  <conditionalFormatting sqref="H3 M4:M11 U4:U11">
    <cfRule type="cellIs" dxfId="3" priority="4" operator="equal">
      <formula>"No Issues"</formula>
    </cfRule>
  </conditionalFormatting>
  <conditionalFormatting sqref="H3 M4:M11 U4:U11">
    <cfRule type="cellIs" dxfId="4" priority="5" operator="equal">
      <formula>"Unresolved Issue"</formula>
    </cfRule>
  </conditionalFormatting>
  <conditionalFormatting sqref="H3 M4:M11 U4:U11">
    <cfRule type="cellIs" dxfId="6" priority="6" operator="equal">
      <formula>"Repaired Issue"</formula>
    </cfRule>
  </conditionalFormatting>
  <conditionalFormatting sqref="H3 M4:M11 U4:U11">
    <cfRule type="cellIs" dxfId="7" priority="7" operator="equal">
      <formula>"To Check (RCC)"</formula>
    </cfRule>
  </conditionalFormatting>
  <dataValidations>
    <dataValidation type="list" allowBlank="1" sqref="O3 L4:L11 T4:T11">
      <formula1>"Yes,Maybe,No"</formula1>
    </dataValidation>
    <dataValidation type="list" allowBlank="1" sqref="M4:M11 U4:U11">
      <formula1>"No Issues,Unresolved Issue,Repaired Issue,To Check (RCC)"</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2">IF($A$3:$A82&lt;&gt;"", XLOOKUP($A$3:$A82, Sourcepull!$B$3:$B82, Sourcepull!$A$3:$A82, ""), "")</f>
        <v/>
      </c>
      <c r="C3" s="57" t="str">
        <f t="array" ref="C3:C82">if($A$3:$A82&lt;&gt;"","SP-"&amp;$B$3:$B82&amp;"-"&amp;$A$3:$A82&amp;".pdf", "")</f>
        <v>SP--Keep this row hidden / do not edit!.pdf</v>
      </c>
      <c r="D3" s="57" t="str">
        <f t="array" ref="D3:D82">if($J$3:$J82&lt;&gt;"","R1-"&amp;$J$3:$J82&amp;"-"&amp;$K$3:$K82&amp;"-"&amp;$B$3:$B82&amp;"-"&amp;$A$3:$A82&amp;".pdf", "")</f>
        <v/>
      </c>
      <c r="E3" s="57" t="str">
        <f t="array" ref="E3:E82">if($R$3:$R82&lt;&gt;"","R2-"&amp;$R$3:$R82&amp;"-"&amp;$S$3:$S82&amp;"-"&amp;$B$3:$B82&amp;"-"&amp;$A$3:$A82&amp;".pdf", "")</f>
        <v/>
      </c>
      <c r="F3" s="107" t="str">
        <f t="array" ref="F3:F82">if($C$3:$C82 &lt;&gt; "", hyperlink("https://drive.google.com/drive/search?q=parent:" &amp; Properties!$C$8 &amp; "%20" &amp; char(34) &amp; $C$3:$C82 &amp; char(34), "➔"), "")</f>
        <v>➔</v>
      </c>
      <c r="G3" s="107" t="str">
        <f t="array" ref="G3:G82">if($D$3:$D82 &lt;&gt; "", hyperlink("https://drive.google.com/drive/search?q=parent:" &amp; Properties!$C$9 &amp; "%20" &amp; char(34) &amp; $D$3:$D82 &amp; char(34), "➔"), "")</f>
        <v/>
      </c>
      <c r="H3" s="107" t="str">
        <f t="array" ref="H3:H82">if($E$3:$E82 &lt;&gt; "", hyperlink("https://drive.google.com/drive/search?q=parent:" &amp; Properties!$C$10 &amp; "%20" &amp; char(34) &amp; $E$3:$E82 &amp; char(34), "➔"), "")</f>
        <v/>
      </c>
      <c r="I3" s="57"/>
      <c r="J3" s="57"/>
      <c r="K3" s="57"/>
      <c r="L3" s="57"/>
      <c r="M3" s="57"/>
      <c r="N3" s="57"/>
      <c r="O3" s="57"/>
      <c r="P3" s="108"/>
      <c r="Q3" s="109"/>
      <c r="R3" s="57"/>
      <c r="S3" s="57"/>
      <c r="T3" s="57"/>
      <c r="U3" s="57"/>
      <c r="V3" s="57"/>
      <c r="W3" s="57"/>
      <c r="X3" s="57"/>
    </row>
    <row r="4">
      <c r="A4" s="110" t="s">
        <v>223</v>
      </c>
      <c r="B4" s="111" t="s">
        <v>1371</v>
      </c>
      <c r="C4" s="111" t="s">
        <v>1372</v>
      </c>
      <c r="D4" s="111" t="s">
        <v>2094</v>
      </c>
      <c r="E4" s="111" t="s">
        <v>56</v>
      </c>
      <c r="F4" s="112" t="s">
        <v>1233</v>
      </c>
      <c r="G4" s="113" t="s">
        <v>1233</v>
      </c>
      <c r="H4" s="113" t="s">
        <v>56</v>
      </c>
      <c r="I4" s="114" t="s">
        <v>1721</v>
      </c>
      <c r="J4" s="115" t="s">
        <v>1308</v>
      </c>
      <c r="K4" s="114" t="s">
        <v>2001</v>
      </c>
      <c r="L4" s="114"/>
      <c r="M4" s="114"/>
      <c r="N4" s="114"/>
      <c r="O4" s="114"/>
      <c r="P4" s="116"/>
      <c r="Q4" s="117"/>
      <c r="R4" s="114"/>
      <c r="S4" s="114"/>
      <c r="T4" s="114"/>
      <c r="U4" s="114"/>
      <c r="V4" s="114"/>
      <c r="W4" s="114"/>
      <c r="X4" s="118"/>
    </row>
    <row r="5">
      <c r="A5" s="115" t="s">
        <v>226</v>
      </c>
      <c r="B5" s="111" t="s">
        <v>1373</v>
      </c>
      <c r="C5" s="111" t="s">
        <v>1374</v>
      </c>
      <c r="D5" s="111" t="s">
        <v>2095</v>
      </c>
      <c r="E5" s="111" t="s">
        <v>56</v>
      </c>
      <c r="F5" s="113" t="s">
        <v>1233</v>
      </c>
      <c r="G5" s="113" t="s">
        <v>1233</v>
      </c>
      <c r="H5" s="113" t="s">
        <v>56</v>
      </c>
      <c r="I5" s="114" t="s">
        <v>1721</v>
      </c>
      <c r="J5" s="115" t="s">
        <v>1310</v>
      </c>
      <c r="K5" s="114" t="s">
        <v>2001</v>
      </c>
      <c r="L5" s="114"/>
      <c r="M5" s="114"/>
      <c r="N5" s="119"/>
      <c r="O5" s="114"/>
      <c r="P5" s="120"/>
      <c r="Q5" s="117"/>
      <c r="R5" s="114"/>
      <c r="S5" s="114"/>
      <c r="T5" s="114"/>
      <c r="U5" s="114"/>
      <c r="V5" s="114"/>
      <c r="W5" s="114"/>
      <c r="X5" s="118"/>
    </row>
    <row r="6">
      <c r="A6" s="115" t="s">
        <v>229</v>
      </c>
      <c r="B6" s="111" t="s">
        <v>1375</v>
      </c>
      <c r="C6" s="111" t="s">
        <v>1376</v>
      </c>
      <c r="D6" s="111" t="s">
        <v>2096</v>
      </c>
      <c r="E6" s="111" t="s">
        <v>56</v>
      </c>
      <c r="F6" s="113" t="s">
        <v>1233</v>
      </c>
      <c r="G6" s="113" t="s">
        <v>1233</v>
      </c>
      <c r="H6" s="113" t="s">
        <v>56</v>
      </c>
      <c r="I6" s="114" t="s">
        <v>1721</v>
      </c>
      <c r="J6" s="115" t="s">
        <v>1312</v>
      </c>
      <c r="K6" s="114" t="s">
        <v>2001</v>
      </c>
      <c r="L6" s="114"/>
      <c r="M6" s="114"/>
      <c r="N6" s="114"/>
      <c r="O6" s="121"/>
      <c r="P6" s="116"/>
      <c r="Q6" s="117"/>
      <c r="R6" s="114"/>
      <c r="S6" s="114"/>
      <c r="T6" s="114"/>
      <c r="U6" s="114"/>
      <c r="V6" s="114"/>
      <c r="W6" s="114"/>
      <c r="X6" s="118"/>
    </row>
    <row r="7">
      <c r="A7" s="115" t="s">
        <v>231</v>
      </c>
      <c r="B7" s="111" t="s">
        <v>1377</v>
      </c>
      <c r="C7" s="111" t="s">
        <v>1378</v>
      </c>
      <c r="D7" s="111" t="s">
        <v>2097</v>
      </c>
      <c r="E7" s="111" t="s">
        <v>56</v>
      </c>
      <c r="F7" s="113" t="s">
        <v>1233</v>
      </c>
      <c r="G7" s="113" t="s">
        <v>1233</v>
      </c>
      <c r="H7" s="113" t="s">
        <v>56</v>
      </c>
      <c r="I7" s="114" t="s">
        <v>1721</v>
      </c>
      <c r="J7" s="115" t="s">
        <v>1312</v>
      </c>
      <c r="K7" s="114" t="s">
        <v>2003</v>
      </c>
      <c r="L7" s="114"/>
      <c r="M7" s="114"/>
      <c r="N7" s="114"/>
      <c r="O7" s="121"/>
      <c r="P7" s="122"/>
      <c r="Q7" s="123"/>
      <c r="R7" s="114"/>
      <c r="S7" s="114"/>
      <c r="T7" s="114"/>
      <c r="U7" s="114"/>
      <c r="V7" s="114"/>
      <c r="W7" s="114"/>
      <c r="X7" s="118"/>
    </row>
    <row r="8">
      <c r="A8" s="115" t="s">
        <v>234</v>
      </c>
      <c r="B8" s="111" t="s">
        <v>1379</v>
      </c>
      <c r="C8" s="111" t="s">
        <v>1380</v>
      </c>
      <c r="D8" s="111" t="s">
        <v>2098</v>
      </c>
      <c r="E8" s="111" t="s">
        <v>56</v>
      </c>
      <c r="F8" s="113" t="s">
        <v>1233</v>
      </c>
      <c r="G8" s="113" t="s">
        <v>1233</v>
      </c>
      <c r="H8" s="113" t="s">
        <v>56</v>
      </c>
      <c r="I8" s="114" t="s">
        <v>1721</v>
      </c>
      <c r="J8" s="115" t="s">
        <v>1314</v>
      </c>
      <c r="K8" s="114" t="s">
        <v>2001</v>
      </c>
      <c r="L8" s="114"/>
      <c r="M8" s="114"/>
      <c r="N8" s="114"/>
      <c r="O8" s="121"/>
      <c r="P8" s="122"/>
      <c r="Q8" s="123"/>
      <c r="R8" s="114"/>
      <c r="S8" s="114"/>
      <c r="T8" s="114"/>
      <c r="U8" s="114"/>
      <c r="V8" s="114"/>
      <c r="W8" s="114"/>
      <c r="X8" s="118"/>
    </row>
    <row r="9">
      <c r="A9" s="115">
        <v>1291.0</v>
      </c>
      <c r="B9" s="111" t="s">
        <v>1323</v>
      </c>
      <c r="C9" s="111" t="s">
        <v>1324</v>
      </c>
      <c r="D9" s="111" t="s">
        <v>2099</v>
      </c>
      <c r="E9" s="111" t="s">
        <v>56</v>
      </c>
      <c r="F9" s="113" t="s">
        <v>1233</v>
      </c>
      <c r="G9" s="113" t="s">
        <v>1233</v>
      </c>
      <c r="H9" s="113" t="s">
        <v>56</v>
      </c>
      <c r="I9" s="114" t="s">
        <v>1721</v>
      </c>
      <c r="J9" s="115" t="s">
        <v>1317</v>
      </c>
      <c r="K9" s="114" t="s">
        <v>2001</v>
      </c>
      <c r="L9" s="114"/>
      <c r="M9" s="114"/>
      <c r="N9" s="114"/>
      <c r="O9" s="121"/>
      <c r="P9" s="122"/>
      <c r="Q9" s="123"/>
      <c r="R9" s="114"/>
      <c r="S9" s="114"/>
      <c r="T9" s="114"/>
      <c r="U9" s="114"/>
      <c r="V9" s="114"/>
      <c r="W9" s="114"/>
      <c r="X9" s="118"/>
    </row>
    <row r="10">
      <c r="A10" s="115" t="s">
        <v>237</v>
      </c>
      <c r="B10" s="111" t="s">
        <v>1381</v>
      </c>
      <c r="C10" s="111" t="s">
        <v>1382</v>
      </c>
      <c r="D10" s="111" t="s">
        <v>2100</v>
      </c>
      <c r="E10" s="111" t="s">
        <v>56</v>
      </c>
      <c r="F10" s="113" t="s">
        <v>1233</v>
      </c>
      <c r="G10" s="113" t="s">
        <v>1233</v>
      </c>
      <c r="H10" s="113" t="s">
        <v>56</v>
      </c>
      <c r="I10" s="114" t="s">
        <v>1721</v>
      </c>
      <c r="J10" s="115" t="s">
        <v>1317</v>
      </c>
      <c r="K10" s="114" t="s">
        <v>2003</v>
      </c>
      <c r="L10" s="114"/>
      <c r="M10" s="114"/>
      <c r="N10" s="114"/>
      <c r="O10" s="121"/>
      <c r="P10" s="122"/>
      <c r="Q10" s="123"/>
      <c r="R10" s="114"/>
      <c r="S10" s="114"/>
      <c r="T10" s="114"/>
      <c r="U10" s="114"/>
      <c r="V10" s="114"/>
      <c r="W10" s="114"/>
      <c r="X10" s="118"/>
    </row>
    <row r="11">
      <c r="A11" s="115" t="s">
        <v>240</v>
      </c>
      <c r="B11" s="111" t="s">
        <v>1383</v>
      </c>
      <c r="C11" s="111" t="s">
        <v>1384</v>
      </c>
      <c r="D11" s="111" t="s">
        <v>2101</v>
      </c>
      <c r="E11" s="111" t="s">
        <v>56</v>
      </c>
      <c r="F11" s="113" t="s">
        <v>1233</v>
      </c>
      <c r="G11" s="113" t="s">
        <v>1233</v>
      </c>
      <c r="H11" s="113" t="s">
        <v>56</v>
      </c>
      <c r="I11" s="114" t="s">
        <v>1721</v>
      </c>
      <c r="J11" s="115" t="s">
        <v>1319</v>
      </c>
      <c r="K11" s="114" t="s">
        <v>2001</v>
      </c>
      <c r="L11" s="114"/>
      <c r="M11" s="114"/>
      <c r="N11" s="114"/>
      <c r="O11" s="121"/>
      <c r="P11" s="122"/>
      <c r="Q11" s="123"/>
      <c r="R11" s="114"/>
      <c r="S11" s="114"/>
      <c r="T11" s="114"/>
      <c r="U11" s="114"/>
      <c r="V11" s="114"/>
      <c r="W11" s="114"/>
      <c r="X11" s="118"/>
    </row>
    <row r="12">
      <c r="A12" s="115" t="s">
        <v>242</v>
      </c>
      <c r="B12" s="111" t="s">
        <v>1385</v>
      </c>
      <c r="C12" s="111" t="s">
        <v>1386</v>
      </c>
      <c r="D12" s="111" t="s">
        <v>2102</v>
      </c>
      <c r="E12" s="111" t="s">
        <v>56</v>
      </c>
      <c r="F12" s="113" t="s">
        <v>1233</v>
      </c>
      <c r="G12" s="113" t="s">
        <v>1233</v>
      </c>
      <c r="H12" s="113" t="s">
        <v>56</v>
      </c>
      <c r="I12" s="114" t="s">
        <v>1721</v>
      </c>
      <c r="J12" s="115" t="s">
        <v>1319</v>
      </c>
      <c r="K12" s="114" t="s">
        <v>2003</v>
      </c>
      <c r="L12" s="114"/>
      <c r="M12" s="114"/>
      <c r="N12" s="114"/>
      <c r="O12" s="121"/>
      <c r="P12" s="123"/>
      <c r="Q12" s="123"/>
      <c r="R12" s="114"/>
      <c r="S12" s="114"/>
      <c r="T12" s="114"/>
      <c r="U12" s="114"/>
      <c r="V12" s="114"/>
      <c r="W12" s="114"/>
      <c r="X12" s="118"/>
    </row>
    <row r="13">
      <c r="A13" s="115">
        <v>1292.0</v>
      </c>
      <c r="B13" s="111" t="s">
        <v>1325</v>
      </c>
      <c r="C13" s="111" t="s">
        <v>1326</v>
      </c>
      <c r="D13" s="111" t="s">
        <v>2103</v>
      </c>
      <c r="E13" s="111" t="s">
        <v>56</v>
      </c>
      <c r="F13" s="113" t="s">
        <v>1233</v>
      </c>
      <c r="G13" s="113" t="s">
        <v>1233</v>
      </c>
      <c r="H13" s="113" t="s">
        <v>56</v>
      </c>
      <c r="I13" s="114" t="s">
        <v>1721</v>
      </c>
      <c r="J13" s="115" t="s">
        <v>1319</v>
      </c>
      <c r="K13" s="114" t="s">
        <v>2005</v>
      </c>
      <c r="L13" s="114"/>
      <c r="M13" s="114"/>
      <c r="N13" s="114"/>
      <c r="O13" s="121"/>
      <c r="P13" s="123"/>
      <c r="Q13" s="123"/>
      <c r="R13" s="114"/>
      <c r="S13" s="114"/>
      <c r="T13" s="114"/>
      <c r="U13" s="114"/>
      <c r="V13" s="114"/>
      <c r="W13" s="114"/>
      <c r="X13" s="118"/>
    </row>
    <row r="14">
      <c r="A14" s="115" t="s">
        <v>240</v>
      </c>
      <c r="B14" s="111" t="s">
        <v>1383</v>
      </c>
      <c r="C14" s="111" t="s">
        <v>1384</v>
      </c>
      <c r="D14" s="111" t="s">
        <v>2104</v>
      </c>
      <c r="E14" s="111" t="s">
        <v>56</v>
      </c>
      <c r="F14" s="113" t="s">
        <v>1233</v>
      </c>
      <c r="G14" s="113" t="s">
        <v>1233</v>
      </c>
      <c r="H14" s="113" t="s">
        <v>56</v>
      </c>
      <c r="I14" s="114" t="s">
        <v>1721</v>
      </c>
      <c r="J14" s="115" t="s">
        <v>1321</v>
      </c>
      <c r="K14" s="114" t="s">
        <v>2001</v>
      </c>
      <c r="L14" s="114"/>
      <c r="M14" s="114"/>
      <c r="N14" s="114"/>
      <c r="O14" s="121"/>
      <c r="P14" s="123"/>
      <c r="Q14" s="123"/>
      <c r="R14" s="114"/>
      <c r="S14" s="114"/>
      <c r="T14" s="114"/>
      <c r="U14" s="114"/>
      <c r="V14" s="114"/>
      <c r="W14" s="114"/>
      <c r="X14" s="118"/>
    </row>
    <row r="15">
      <c r="A15" s="115">
        <v>1291.0</v>
      </c>
      <c r="B15" s="111" t="s">
        <v>1323</v>
      </c>
      <c r="C15" s="111" t="s">
        <v>1324</v>
      </c>
      <c r="D15" s="111" t="s">
        <v>2105</v>
      </c>
      <c r="E15" s="111" t="s">
        <v>56</v>
      </c>
      <c r="F15" s="113" t="s">
        <v>1233</v>
      </c>
      <c r="G15" s="113" t="s">
        <v>1233</v>
      </c>
      <c r="H15" s="113" t="s">
        <v>56</v>
      </c>
      <c r="I15" s="114" t="s">
        <v>1721</v>
      </c>
      <c r="J15" s="115" t="s">
        <v>1323</v>
      </c>
      <c r="K15" s="114" t="s">
        <v>2001</v>
      </c>
      <c r="L15" s="114"/>
      <c r="M15" s="114"/>
      <c r="N15" s="114"/>
      <c r="O15" s="121"/>
      <c r="P15" s="123"/>
      <c r="Q15" s="123"/>
      <c r="R15" s="114"/>
      <c r="S15" s="114"/>
      <c r="T15" s="114"/>
      <c r="U15" s="114"/>
      <c r="V15" s="114"/>
      <c r="W15" s="114"/>
      <c r="X15" s="118"/>
    </row>
    <row r="16">
      <c r="A16" s="115" t="s">
        <v>248</v>
      </c>
      <c r="B16" s="111" t="s">
        <v>1387</v>
      </c>
      <c r="C16" s="111" t="s">
        <v>1388</v>
      </c>
      <c r="D16" s="111" t="s">
        <v>2106</v>
      </c>
      <c r="E16" s="111" t="s">
        <v>56</v>
      </c>
      <c r="F16" s="113" t="s">
        <v>1233</v>
      </c>
      <c r="G16" s="113" t="s">
        <v>1233</v>
      </c>
      <c r="H16" s="113" t="s">
        <v>56</v>
      </c>
      <c r="I16" s="114" t="s">
        <v>1721</v>
      </c>
      <c r="J16" s="115" t="s">
        <v>1323</v>
      </c>
      <c r="K16" s="114" t="s">
        <v>2003</v>
      </c>
      <c r="L16" s="114"/>
      <c r="M16" s="114"/>
      <c r="N16" s="114"/>
      <c r="O16" s="121"/>
      <c r="P16" s="123"/>
      <c r="Q16" s="123"/>
      <c r="R16" s="114"/>
      <c r="S16" s="114"/>
      <c r="T16" s="114"/>
      <c r="U16" s="114"/>
      <c r="V16" s="114"/>
      <c r="W16" s="114"/>
      <c r="X16" s="118"/>
    </row>
    <row r="17">
      <c r="A17" s="115" t="s">
        <v>251</v>
      </c>
      <c r="B17" s="111" t="s">
        <v>1389</v>
      </c>
      <c r="C17" s="111" t="s">
        <v>1390</v>
      </c>
      <c r="D17" s="111" t="s">
        <v>2107</v>
      </c>
      <c r="E17" s="111" t="s">
        <v>56</v>
      </c>
      <c r="F17" s="113" t="s">
        <v>1233</v>
      </c>
      <c r="G17" s="113" t="s">
        <v>1233</v>
      </c>
      <c r="H17" s="113" t="s">
        <v>56</v>
      </c>
      <c r="I17" s="114" t="s">
        <v>1721</v>
      </c>
      <c r="J17" s="115" t="s">
        <v>1325</v>
      </c>
      <c r="K17" s="114" t="s">
        <v>2001</v>
      </c>
      <c r="L17" s="114"/>
      <c r="M17" s="114"/>
      <c r="N17" s="114"/>
      <c r="O17" s="121"/>
      <c r="P17" s="123"/>
      <c r="Q17" s="123"/>
      <c r="R17" s="114"/>
      <c r="S17" s="114"/>
      <c r="T17" s="114"/>
      <c r="U17" s="114"/>
      <c r="V17" s="114"/>
      <c r="W17" s="114"/>
      <c r="X17" s="118"/>
    </row>
    <row r="18">
      <c r="A18" s="115" t="s">
        <v>253</v>
      </c>
      <c r="B18" s="111" t="s">
        <v>1391</v>
      </c>
      <c r="C18" s="111" t="s">
        <v>1392</v>
      </c>
      <c r="D18" s="111" t="s">
        <v>2108</v>
      </c>
      <c r="E18" s="111" t="s">
        <v>56</v>
      </c>
      <c r="F18" s="113" t="s">
        <v>1233</v>
      </c>
      <c r="G18" s="113" t="s">
        <v>1233</v>
      </c>
      <c r="H18" s="113" t="s">
        <v>56</v>
      </c>
      <c r="I18" s="114" t="s">
        <v>1721</v>
      </c>
      <c r="J18" s="115" t="s">
        <v>1325</v>
      </c>
      <c r="K18" s="114" t="s">
        <v>2003</v>
      </c>
      <c r="L18" s="114"/>
      <c r="M18" s="114"/>
      <c r="N18" s="114"/>
      <c r="O18" s="121"/>
      <c r="P18" s="123"/>
      <c r="Q18" s="123"/>
      <c r="R18" s="114"/>
      <c r="S18" s="114"/>
      <c r="T18" s="114"/>
      <c r="U18" s="114"/>
      <c r="V18" s="114"/>
      <c r="W18" s="114"/>
      <c r="X18" s="118"/>
    </row>
    <row r="19">
      <c r="A19" s="115" t="s">
        <v>256</v>
      </c>
      <c r="B19" s="111" t="s">
        <v>1393</v>
      </c>
      <c r="C19" s="111" t="s">
        <v>1394</v>
      </c>
      <c r="D19" s="111" t="s">
        <v>2109</v>
      </c>
      <c r="E19" s="111" t="s">
        <v>56</v>
      </c>
      <c r="F19" s="113" t="s">
        <v>1233</v>
      </c>
      <c r="G19" s="113" t="s">
        <v>1233</v>
      </c>
      <c r="H19" s="113" t="s">
        <v>56</v>
      </c>
      <c r="I19" s="114" t="s">
        <v>1721</v>
      </c>
      <c r="J19" s="115" t="s">
        <v>1327</v>
      </c>
      <c r="K19" s="114" t="s">
        <v>2001</v>
      </c>
      <c r="L19" s="114"/>
      <c r="M19" s="114"/>
      <c r="N19" s="114"/>
      <c r="O19" s="121"/>
      <c r="P19" s="123"/>
      <c r="Q19" s="123"/>
      <c r="R19" s="114"/>
      <c r="S19" s="114"/>
      <c r="T19" s="114"/>
      <c r="U19" s="114"/>
      <c r="V19" s="114"/>
      <c r="W19" s="114"/>
      <c r="X19" s="118"/>
    </row>
    <row r="20">
      <c r="A20" s="115" t="s">
        <v>258</v>
      </c>
      <c r="B20" s="111" t="s">
        <v>1395</v>
      </c>
      <c r="C20" s="111" t="s">
        <v>1396</v>
      </c>
      <c r="D20" s="111" t="s">
        <v>2110</v>
      </c>
      <c r="E20" s="111" t="s">
        <v>56</v>
      </c>
      <c r="F20" s="113" t="s">
        <v>1233</v>
      </c>
      <c r="G20" s="113" t="s">
        <v>1233</v>
      </c>
      <c r="H20" s="113" t="s">
        <v>56</v>
      </c>
      <c r="I20" s="114" t="s">
        <v>1721</v>
      </c>
      <c r="J20" s="115" t="s">
        <v>1327</v>
      </c>
      <c r="K20" s="114" t="s">
        <v>2003</v>
      </c>
      <c r="L20" s="114"/>
      <c r="M20" s="114"/>
      <c r="N20" s="114"/>
      <c r="O20" s="121"/>
      <c r="P20" s="123"/>
      <c r="Q20" s="123"/>
      <c r="R20" s="114"/>
      <c r="S20" s="114"/>
      <c r="T20" s="114"/>
      <c r="U20" s="114"/>
      <c r="V20" s="114"/>
      <c r="W20" s="114"/>
      <c r="X20" s="118"/>
    </row>
    <row r="21">
      <c r="A21" s="115" t="s">
        <v>260</v>
      </c>
      <c r="B21" s="111" t="s">
        <v>1398</v>
      </c>
      <c r="C21" s="111" t="s">
        <v>1399</v>
      </c>
      <c r="D21" s="111" t="s">
        <v>2111</v>
      </c>
      <c r="E21" s="111" t="s">
        <v>56</v>
      </c>
      <c r="F21" s="113" t="s">
        <v>1233</v>
      </c>
      <c r="G21" s="113" t="s">
        <v>1233</v>
      </c>
      <c r="H21" s="113" t="s">
        <v>56</v>
      </c>
      <c r="I21" s="114" t="s">
        <v>1721</v>
      </c>
      <c r="J21" s="115" t="s">
        <v>1327</v>
      </c>
      <c r="K21" s="114" t="s">
        <v>2005</v>
      </c>
      <c r="L21" s="114"/>
      <c r="M21" s="114"/>
      <c r="N21" s="114"/>
      <c r="O21" s="121"/>
      <c r="P21" s="123"/>
      <c r="Q21" s="123"/>
      <c r="R21" s="114"/>
      <c r="S21" s="114"/>
      <c r="T21" s="114"/>
      <c r="U21" s="114"/>
      <c r="V21" s="114"/>
      <c r="W21" s="114"/>
      <c r="X21" s="118"/>
    </row>
    <row r="22">
      <c r="A22" s="115" t="s">
        <v>184</v>
      </c>
      <c r="B22" s="111" t="s">
        <v>1341</v>
      </c>
      <c r="C22" s="111" t="s">
        <v>1342</v>
      </c>
      <c r="D22" s="111" t="s">
        <v>2112</v>
      </c>
      <c r="E22" s="111" t="s">
        <v>56</v>
      </c>
      <c r="F22" s="113" t="s">
        <v>1233</v>
      </c>
      <c r="G22" s="113" t="s">
        <v>1233</v>
      </c>
      <c r="H22" s="113" t="s">
        <v>56</v>
      </c>
      <c r="I22" s="114" t="s">
        <v>1721</v>
      </c>
      <c r="J22" s="115" t="s">
        <v>1327</v>
      </c>
      <c r="K22" s="114" t="s">
        <v>2007</v>
      </c>
      <c r="L22" s="114"/>
      <c r="M22" s="114"/>
      <c r="N22" s="114"/>
      <c r="O22" s="121"/>
      <c r="P22" s="123"/>
      <c r="Q22" s="123"/>
      <c r="R22" s="114"/>
      <c r="S22" s="114"/>
      <c r="T22" s="114"/>
      <c r="U22" s="114"/>
      <c r="V22" s="114"/>
      <c r="W22" s="114"/>
      <c r="X22" s="118"/>
    </row>
    <row r="23">
      <c r="A23" s="115" t="s">
        <v>263</v>
      </c>
      <c r="B23" s="111" t="s">
        <v>1400</v>
      </c>
      <c r="C23" s="111" t="s">
        <v>1401</v>
      </c>
      <c r="D23" s="111" t="s">
        <v>2113</v>
      </c>
      <c r="E23" s="111" t="s">
        <v>56</v>
      </c>
      <c r="F23" s="113" t="s">
        <v>1233</v>
      </c>
      <c r="G23" s="113" t="s">
        <v>1233</v>
      </c>
      <c r="H23" s="113" t="s">
        <v>56</v>
      </c>
      <c r="I23" s="114" t="s">
        <v>1721</v>
      </c>
      <c r="J23" s="115" t="s">
        <v>1327</v>
      </c>
      <c r="K23" s="114" t="s">
        <v>2009</v>
      </c>
      <c r="L23" s="114"/>
      <c r="M23" s="114"/>
      <c r="N23" s="114"/>
      <c r="O23" s="121"/>
      <c r="P23" s="123"/>
      <c r="Q23" s="123"/>
      <c r="R23" s="114"/>
      <c r="S23" s="114"/>
      <c r="T23" s="114"/>
      <c r="U23" s="114"/>
      <c r="V23" s="114"/>
      <c r="W23" s="114"/>
      <c r="X23" s="118"/>
    </row>
    <row r="24">
      <c r="A24" s="115" t="s">
        <v>251</v>
      </c>
      <c r="B24" s="111" t="s">
        <v>1389</v>
      </c>
      <c r="C24" s="111" t="s">
        <v>1390</v>
      </c>
      <c r="D24" s="111" t="s">
        <v>2114</v>
      </c>
      <c r="E24" s="111" t="s">
        <v>56</v>
      </c>
      <c r="F24" s="113" t="s">
        <v>1233</v>
      </c>
      <c r="G24" s="113" t="s">
        <v>1233</v>
      </c>
      <c r="H24" s="113" t="s">
        <v>56</v>
      </c>
      <c r="I24" s="114" t="s">
        <v>1721</v>
      </c>
      <c r="J24" s="115" t="s">
        <v>1327</v>
      </c>
      <c r="K24" s="114" t="s">
        <v>2041</v>
      </c>
      <c r="L24" s="114"/>
      <c r="M24" s="114"/>
      <c r="N24" s="114"/>
      <c r="O24" s="121"/>
      <c r="P24" s="123"/>
      <c r="Q24" s="123"/>
      <c r="R24" s="114"/>
      <c r="S24" s="114"/>
      <c r="T24" s="114"/>
      <c r="U24" s="114"/>
      <c r="V24" s="114"/>
      <c r="W24" s="114"/>
      <c r="X24" s="118"/>
    </row>
    <row r="25">
      <c r="A25" s="115" t="s">
        <v>253</v>
      </c>
      <c r="B25" s="111" t="s">
        <v>1391</v>
      </c>
      <c r="C25" s="111" t="s">
        <v>1392</v>
      </c>
      <c r="D25" s="111" t="s">
        <v>2115</v>
      </c>
      <c r="E25" s="111" t="s">
        <v>56</v>
      </c>
      <c r="F25" s="113" t="s">
        <v>1233</v>
      </c>
      <c r="G25" s="113" t="s">
        <v>1233</v>
      </c>
      <c r="H25" s="113" t="s">
        <v>56</v>
      </c>
      <c r="I25" s="114" t="s">
        <v>1721</v>
      </c>
      <c r="J25" s="115" t="s">
        <v>1327</v>
      </c>
      <c r="K25" s="114" t="s">
        <v>2043</v>
      </c>
      <c r="L25" s="114"/>
      <c r="M25" s="114"/>
      <c r="N25" s="114"/>
      <c r="O25" s="121"/>
      <c r="P25" s="123"/>
      <c r="Q25" s="123"/>
      <c r="R25" s="114"/>
      <c r="S25" s="114"/>
      <c r="T25" s="114"/>
      <c r="U25" s="114"/>
      <c r="V25" s="114"/>
      <c r="W25" s="114"/>
      <c r="X25" s="118"/>
    </row>
    <row r="26">
      <c r="A26" s="115" t="s">
        <v>267</v>
      </c>
      <c r="B26" s="111" t="s">
        <v>1402</v>
      </c>
      <c r="C26" s="111" t="s">
        <v>1403</v>
      </c>
      <c r="D26" s="111" t="s">
        <v>2116</v>
      </c>
      <c r="E26" s="111" t="s">
        <v>56</v>
      </c>
      <c r="F26" s="113" t="s">
        <v>1233</v>
      </c>
      <c r="G26" s="113" t="s">
        <v>1233</v>
      </c>
      <c r="H26" s="113" t="s">
        <v>56</v>
      </c>
      <c r="I26" s="114" t="s">
        <v>1721</v>
      </c>
      <c r="J26" s="115" t="s">
        <v>1327</v>
      </c>
      <c r="K26" s="114" t="s">
        <v>2045</v>
      </c>
      <c r="L26" s="114"/>
      <c r="M26" s="114"/>
      <c r="N26" s="114"/>
      <c r="O26" s="121"/>
      <c r="P26" s="123"/>
      <c r="Q26" s="123"/>
      <c r="R26" s="114"/>
      <c r="S26" s="114"/>
      <c r="T26" s="114"/>
      <c r="U26" s="114"/>
      <c r="V26" s="114"/>
      <c r="W26" s="114"/>
      <c r="X26" s="118"/>
    </row>
    <row r="27">
      <c r="A27" s="115" t="s">
        <v>269</v>
      </c>
      <c r="B27" s="111" t="s">
        <v>1404</v>
      </c>
      <c r="C27" s="111" t="s">
        <v>1405</v>
      </c>
      <c r="D27" s="111" t="s">
        <v>2117</v>
      </c>
      <c r="E27" s="111" t="s">
        <v>56</v>
      </c>
      <c r="F27" s="113" t="s">
        <v>1233</v>
      </c>
      <c r="G27" s="113" t="s">
        <v>1233</v>
      </c>
      <c r="H27" s="113" t="s">
        <v>56</v>
      </c>
      <c r="I27" s="114" t="s">
        <v>1721</v>
      </c>
      <c r="J27" s="115" t="s">
        <v>1327</v>
      </c>
      <c r="K27" s="114" t="s">
        <v>2047</v>
      </c>
      <c r="L27" s="114"/>
      <c r="M27" s="114"/>
      <c r="N27" s="114"/>
      <c r="O27" s="121"/>
      <c r="P27" s="123"/>
      <c r="Q27" s="123"/>
      <c r="R27" s="114"/>
      <c r="S27" s="114"/>
      <c r="T27" s="114"/>
      <c r="U27" s="114"/>
      <c r="V27" s="114"/>
      <c r="W27" s="114"/>
      <c r="X27" s="118"/>
    </row>
    <row r="28">
      <c r="A28" s="115" t="s">
        <v>271</v>
      </c>
      <c r="B28" s="111" t="s">
        <v>1406</v>
      </c>
      <c r="C28" s="111" t="s">
        <v>1407</v>
      </c>
      <c r="D28" s="111" t="s">
        <v>2118</v>
      </c>
      <c r="E28" s="111" t="s">
        <v>56</v>
      </c>
      <c r="F28" s="113" t="s">
        <v>1233</v>
      </c>
      <c r="G28" s="113" t="s">
        <v>1233</v>
      </c>
      <c r="H28" s="113" t="s">
        <v>56</v>
      </c>
      <c r="I28" s="114" t="s">
        <v>1721</v>
      </c>
      <c r="J28" s="115" t="s">
        <v>1327</v>
      </c>
      <c r="K28" s="114" t="s">
        <v>2119</v>
      </c>
      <c r="L28" s="114"/>
      <c r="M28" s="114"/>
      <c r="N28" s="114"/>
      <c r="O28" s="121"/>
      <c r="P28" s="123"/>
      <c r="Q28" s="123"/>
      <c r="R28" s="114"/>
      <c r="S28" s="114"/>
      <c r="T28" s="114"/>
      <c r="U28" s="114"/>
      <c r="V28" s="114"/>
      <c r="W28" s="114"/>
      <c r="X28" s="118"/>
    </row>
    <row r="29">
      <c r="A29" s="115" t="s">
        <v>253</v>
      </c>
      <c r="B29" s="111" t="s">
        <v>1391</v>
      </c>
      <c r="C29" s="111" t="s">
        <v>1392</v>
      </c>
      <c r="D29" s="111" t="s">
        <v>2120</v>
      </c>
      <c r="E29" s="111" t="s">
        <v>56</v>
      </c>
      <c r="F29" s="113" t="s">
        <v>1233</v>
      </c>
      <c r="G29" s="113" t="s">
        <v>1233</v>
      </c>
      <c r="H29" s="113" t="s">
        <v>56</v>
      </c>
      <c r="I29" s="114" t="s">
        <v>1721</v>
      </c>
      <c r="J29" s="115" t="s">
        <v>1329</v>
      </c>
      <c r="K29" s="114" t="s">
        <v>2001</v>
      </c>
      <c r="L29" s="114"/>
      <c r="M29" s="114"/>
      <c r="N29" s="114"/>
      <c r="O29" s="121"/>
      <c r="P29" s="123"/>
      <c r="Q29" s="123"/>
      <c r="R29" s="114"/>
      <c r="S29" s="114"/>
      <c r="T29" s="114"/>
      <c r="U29" s="114"/>
      <c r="V29" s="114"/>
      <c r="W29" s="114"/>
      <c r="X29" s="118"/>
    </row>
    <row r="30">
      <c r="A30" s="115" t="s">
        <v>258</v>
      </c>
      <c r="B30" s="111" t="s">
        <v>1395</v>
      </c>
      <c r="C30" s="111" t="s">
        <v>1396</v>
      </c>
      <c r="D30" s="111" t="s">
        <v>2121</v>
      </c>
      <c r="E30" s="111" t="s">
        <v>56</v>
      </c>
      <c r="F30" s="113" t="s">
        <v>1233</v>
      </c>
      <c r="G30" s="113" t="s">
        <v>1233</v>
      </c>
      <c r="H30" s="113" t="s">
        <v>56</v>
      </c>
      <c r="I30" s="114" t="s">
        <v>1721</v>
      </c>
      <c r="J30" s="115" t="s">
        <v>1331</v>
      </c>
      <c r="K30" s="114" t="s">
        <v>2001</v>
      </c>
      <c r="L30" s="114"/>
      <c r="M30" s="114"/>
      <c r="N30" s="114"/>
      <c r="O30" s="121"/>
      <c r="P30" s="123"/>
      <c r="Q30" s="123"/>
      <c r="R30" s="114"/>
      <c r="S30" s="114"/>
      <c r="T30" s="114"/>
      <c r="U30" s="114"/>
      <c r="V30" s="114"/>
      <c r="W30" s="114"/>
      <c r="X30" s="118"/>
    </row>
    <row r="31">
      <c r="A31" s="115" t="s">
        <v>277</v>
      </c>
      <c r="B31" s="111" t="s">
        <v>1408</v>
      </c>
      <c r="C31" s="111" t="s">
        <v>1409</v>
      </c>
      <c r="D31" s="111" t="s">
        <v>2122</v>
      </c>
      <c r="E31" s="111" t="s">
        <v>56</v>
      </c>
      <c r="F31" s="113" t="s">
        <v>1233</v>
      </c>
      <c r="G31" s="113" t="s">
        <v>1233</v>
      </c>
      <c r="H31" s="113" t="s">
        <v>56</v>
      </c>
      <c r="I31" s="114" t="s">
        <v>1721</v>
      </c>
      <c r="J31" s="115" t="s">
        <v>1331</v>
      </c>
      <c r="K31" s="114" t="s">
        <v>2003</v>
      </c>
      <c r="L31" s="114"/>
      <c r="M31" s="114"/>
      <c r="N31" s="114"/>
      <c r="O31" s="121"/>
      <c r="P31" s="123"/>
      <c r="Q31" s="123"/>
      <c r="R31" s="114"/>
      <c r="S31" s="114"/>
      <c r="T31" s="114"/>
      <c r="U31" s="114"/>
      <c r="V31" s="114"/>
      <c r="W31" s="114"/>
      <c r="X31" s="118"/>
    </row>
    <row r="32">
      <c r="A32" s="115" t="s">
        <v>279</v>
      </c>
      <c r="B32" s="111" t="s">
        <v>1410</v>
      </c>
      <c r="C32" s="111" t="s">
        <v>1411</v>
      </c>
      <c r="D32" s="111" t="s">
        <v>2123</v>
      </c>
      <c r="E32" s="111" t="s">
        <v>56</v>
      </c>
      <c r="F32" s="113" t="s">
        <v>1233</v>
      </c>
      <c r="G32" s="113" t="s">
        <v>1233</v>
      </c>
      <c r="H32" s="113" t="s">
        <v>56</v>
      </c>
      <c r="I32" s="114" t="s">
        <v>1721</v>
      </c>
      <c r="J32" s="115" t="s">
        <v>1331</v>
      </c>
      <c r="K32" s="114" t="s">
        <v>2005</v>
      </c>
      <c r="L32" s="114"/>
      <c r="M32" s="114"/>
      <c r="N32" s="114"/>
      <c r="O32" s="121"/>
      <c r="P32" s="123"/>
      <c r="Q32" s="123"/>
      <c r="R32" s="114"/>
      <c r="S32" s="114"/>
      <c r="T32" s="114"/>
      <c r="U32" s="114"/>
      <c r="V32" s="114"/>
      <c r="W32" s="114"/>
      <c r="X32" s="118"/>
    </row>
    <row r="33">
      <c r="A33" s="115" t="s">
        <v>282</v>
      </c>
      <c r="B33" s="111" t="s">
        <v>1412</v>
      </c>
      <c r="C33" s="111" t="s">
        <v>1413</v>
      </c>
      <c r="D33" s="111" t="s">
        <v>2124</v>
      </c>
      <c r="E33" s="111" t="s">
        <v>56</v>
      </c>
      <c r="F33" s="113" t="s">
        <v>1233</v>
      </c>
      <c r="G33" s="113" t="s">
        <v>1233</v>
      </c>
      <c r="H33" s="113" t="s">
        <v>56</v>
      </c>
      <c r="I33" s="114" t="s">
        <v>1721</v>
      </c>
      <c r="J33" s="115" t="s">
        <v>1333</v>
      </c>
      <c r="K33" s="114" t="s">
        <v>2001</v>
      </c>
      <c r="L33" s="114"/>
      <c r="M33" s="114"/>
      <c r="N33" s="114"/>
      <c r="O33" s="121"/>
      <c r="P33" s="123"/>
      <c r="Q33" s="123"/>
      <c r="R33" s="114"/>
      <c r="S33" s="114"/>
      <c r="T33" s="114"/>
      <c r="U33" s="114"/>
      <c r="V33" s="114"/>
      <c r="W33" s="114"/>
      <c r="X33" s="118"/>
    </row>
    <row r="34">
      <c r="A34" s="115" t="s">
        <v>284</v>
      </c>
      <c r="B34" s="111" t="s">
        <v>1414</v>
      </c>
      <c r="C34" s="111" t="s">
        <v>1415</v>
      </c>
      <c r="D34" s="111" t="s">
        <v>2125</v>
      </c>
      <c r="E34" s="111" t="s">
        <v>56</v>
      </c>
      <c r="F34" s="113" t="s">
        <v>1233</v>
      </c>
      <c r="G34" s="113" t="s">
        <v>1233</v>
      </c>
      <c r="H34" s="113" t="s">
        <v>56</v>
      </c>
      <c r="I34" s="114" t="s">
        <v>1721</v>
      </c>
      <c r="J34" s="115" t="s">
        <v>1333</v>
      </c>
      <c r="K34" s="114" t="s">
        <v>2003</v>
      </c>
      <c r="L34" s="114"/>
      <c r="M34" s="114"/>
      <c r="N34" s="114"/>
      <c r="O34" s="121"/>
      <c r="P34" s="123"/>
      <c r="Q34" s="123"/>
      <c r="R34" s="114"/>
      <c r="S34" s="114"/>
      <c r="T34" s="114"/>
      <c r="U34" s="114"/>
      <c r="V34" s="114"/>
      <c r="W34" s="114"/>
      <c r="X34" s="118"/>
    </row>
    <row r="35">
      <c r="A35" s="115" t="s">
        <v>101</v>
      </c>
      <c r="B35" s="111" t="s">
        <v>1274</v>
      </c>
      <c r="C35" s="111" t="s">
        <v>1275</v>
      </c>
      <c r="D35" s="111" t="s">
        <v>2126</v>
      </c>
      <c r="E35" s="111" t="s">
        <v>56</v>
      </c>
      <c r="F35" s="113" t="s">
        <v>1233</v>
      </c>
      <c r="G35" s="113" t="s">
        <v>1233</v>
      </c>
      <c r="H35" s="113" t="s">
        <v>56</v>
      </c>
      <c r="I35" s="114" t="s">
        <v>1721</v>
      </c>
      <c r="J35" s="115" t="s">
        <v>1335</v>
      </c>
      <c r="K35" s="114" t="s">
        <v>2001</v>
      </c>
      <c r="L35" s="114"/>
      <c r="M35" s="114"/>
      <c r="N35" s="114"/>
      <c r="O35" s="121"/>
      <c r="P35" s="123"/>
      <c r="Q35" s="123"/>
      <c r="R35" s="114"/>
      <c r="S35" s="114"/>
      <c r="T35" s="114"/>
      <c r="U35" s="114"/>
      <c r="V35" s="114"/>
      <c r="W35" s="114"/>
      <c r="X35" s="118"/>
    </row>
    <row r="36">
      <c r="A36" s="115" t="s">
        <v>288</v>
      </c>
      <c r="B36" s="111" t="s">
        <v>1416</v>
      </c>
      <c r="C36" s="111" t="s">
        <v>1417</v>
      </c>
      <c r="D36" s="111" t="s">
        <v>2127</v>
      </c>
      <c r="E36" s="111" t="s">
        <v>56</v>
      </c>
      <c r="F36" s="113" t="s">
        <v>1233</v>
      </c>
      <c r="G36" s="113" t="s">
        <v>1233</v>
      </c>
      <c r="H36" s="113" t="s">
        <v>56</v>
      </c>
      <c r="I36" s="114" t="s">
        <v>1721</v>
      </c>
      <c r="J36" s="115" t="s">
        <v>1335</v>
      </c>
      <c r="K36" s="114" t="s">
        <v>2003</v>
      </c>
      <c r="L36" s="114"/>
      <c r="M36" s="114"/>
      <c r="N36" s="114"/>
      <c r="O36" s="121"/>
      <c r="P36" s="123"/>
      <c r="Q36" s="123"/>
      <c r="R36" s="114"/>
      <c r="S36" s="114"/>
      <c r="T36" s="114"/>
      <c r="U36" s="114"/>
      <c r="V36" s="114"/>
      <c r="W36" s="114"/>
      <c r="X36" s="118"/>
    </row>
    <row r="37">
      <c r="A37" s="115" t="s">
        <v>284</v>
      </c>
      <c r="B37" s="111" t="s">
        <v>1414</v>
      </c>
      <c r="C37" s="111" t="s">
        <v>1415</v>
      </c>
      <c r="D37" s="111" t="s">
        <v>2128</v>
      </c>
      <c r="E37" s="111" t="s">
        <v>56</v>
      </c>
      <c r="F37" s="113" t="s">
        <v>1233</v>
      </c>
      <c r="G37" s="113" t="s">
        <v>1233</v>
      </c>
      <c r="H37" s="113" t="s">
        <v>56</v>
      </c>
      <c r="I37" s="114" t="s">
        <v>1721</v>
      </c>
      <c r="J37" s="115" t="s">
        <v>1337</v>
      </c>
      <c r="K37" s="114" t="s">
        <v>2001</v>
      </c>
      <c r="L37" s="114"/>
      <c r="M37" s="114"/>
      <c r="N37" s="114"/>
      <c r="O37" s="121"/>
      <c r="P37" s="123"/>
      <c r="Q37" s="123"/>
      <c r="R37" s="114"/>
      <c r="S37" s="114"/>
      <c r="T37" s="114"/>
      <c r="U37" s="114"/>
      <c r="V37" s="114"/>
      <c r="W37" s="114"/>
      <c r="X37" s="118"/>
    </row>
    <row r="38">
      <c r="A38" s="115" t="s">
        <v>293</v>
      </c>
      <c r="B38" s="111" t="s">
        <v>1418</v>
      </c>
      <c r="C38" s="111" t="s">
        <v>1419</v>
      </c>
      <c r="D38" s="111" t="s">
        <v>2129</v>
      </c>
      <c r="E38" s="111" t="s">
        <v>56</v>
      </c>
      <c r="F38" s="113" t="s">
        <v>1233</v>
      </c>
      <c r="G38" s="113" t="s">
        <v>1233</v>
      </c>
      <c r="H38" s="113" t="s">
        <v>56</v>
      </c>
      <c r="I38" s="114" t="s">
        <v>1721</v>
      </c>
      <c r="J38" s="115" t="s">
        <v>1339</v>
      </c>
      <c r="K38" s="114" t="s">
        <v>2001</v>
      </c>
      <c r="L38" s="114"/>
      <c r="M38" s="114"/>
      <c r="N38" s="114"/>
      <c r="O38" s="121"/>
      <c r="P38" s="123"/>
      <c r="Q38" s="123"/>
      <c r="R38" s="114"/>
      <c r="S38" s="114"/>
      <c r="T38" s="114"/>
      <c r="U38" s="114"/>
      <c r="V38" s="114"/>
      <c r="W38" s="114"/>
      <c r="X38" s="118"/>
    </row>
    <row r="39">
      <c r="A39" s="115" t="s">
        <v>251</v>
      </c>
      <c r="B39" s="111" t="s">
        <v>1389</v>
      </c>
      <c r="C39" s="111" t="s">
        <v>1390</v>
      </c>
      <c r="D39" s="111" t="s">
        <v>2130</v>
      </c>
      <c r="E39" s="111" t="s">
        <v>56</v>
      </c>
      <c r="F39" s="113" t="s">
        <v>1233</v>
      </c>
      <c r="G39" s="113" t="s">
        <v>1233</v>
      </c>
      <c r="H39" s="113" t="s">
        <v>56</v>
      </c>
      <c r="I39" s="114" t="s">
        <v>1721</v>
      </c>
      <c r="J39" s="115" t="s">
        <v>1341</v>
      </c>
      <c r="K39" s="114" t="s">
        <v>2001</v>
      </c>
      <c r="L39" s="114"/>
      <c r="M39" s="114"/>
      <c r="N39" s="114"/>
      <c r="O39" s="121"/>
      <c r="P39" s="123"/>
      <c r="Q39" s="123"/>
      <c r="R39" s="114"/>
      <c r="S39" s="114"/>
      <c r="T39" s="114"/>
      <c r="U39" s="114"/>
      <c r="V39" s="114"/>
      <c r="W39" s="114"/>
      <c r="X39" s="118"/>
    </row>
    <row r="40">
      <c r="A40" s="115" t="s">
        <v>251</v>
      </c>
      <c r="B40" s="111" t="s">
        <v>1389</v>
      </c>
      <c r="C40" s="111" t="s">
        <v>1390</v>
      </c>
      <c r="D40" s="111" t="s">
        <v>2131</v>
      </c>
      <c r="E40" s="111" t="s">
        <v>56</v>
      </c>
      <c r="F40" s="113" t="s">
        <v>1233</v>
      </c>
      <c r="G40" s="113" t="s">
        <v>1233</v>
      </c>
      <c r="H40" s="113" t="s">
        <v>56</v>
      </c>
      <c r="I40" s="114" t="s">
        <v>1721</v>
      </c>
      <c r="J40" s="115" t="s">
        <v>1343</v>
      </c>
      <c r="K40" s="114" t="s">
        <v>2001</v>
      </c>
      <c r="L40" s="114"/>
      <c r="M40" s="114"/>
      <c r="N40" s="114"/>
      <c r="O40" s="121"/>
      <c r="P40" s="123"/>
      <c r="Q40" s="123"/>
      <c r="R40" s="114"/>
      <c r="S40" s="114"/>
      <c r="T40" s="114"/>
      <c r="U40" s="114"/>
      <c r="V40" s="114"/>
      <c r="W40" s="114"/>
      <c r="X40" s="118"/>
    </row>
    <row r="41">
      <c r="A41" s="115" t="s">
        <v>299</v>
      </c>
      <c r="B41" s="111" t="s">
        <v>1420</v>
      </c>
      <c r="C41" s="111" t="s">
        <v>1421</v>
      </c>
      <c r="D41" s="111" t="s">
        <v>2132</v>
      </c>
      <c r="E41" s="111" t="s">
        <v>56</v>
      </c>
      <c r="F41" s="113" t="s">
        <v>1233</v>
      </c>
      <c r="G41" s="113" t="s">
        <v>1233</v>
      </c>
      <c r="H41" s="113" t="s">
        <v>56</v>
      </c>
      <c r="I41" s="114" t="s">
        <v>1721</v>
      </c>
      <c r="J41" s="115" t="s">
        <v>1343</v>
      </c>
      <c r="K41" s="114" t="s">
        <v>2003</v>
      </c>
      <c r="L41" s="114"/>
      <c r="M41" s="114"/>
      <c r="N41" s="114"/>
      <c r="O41" s="121"/>
      <c r="P41" s="123"/>
      <c r="Q41" s="123"/>
      <c r="R41" s="114"/>
      <c r="S41" s="114"/>
      <c r="T41" s="114"/>
      <c r="U41" s="114"/>
      <c r="V41" s="114"/>
      <c r="W41" s="114"/>
      <c r="X41" s="118"/>
    </row>
    <row r="42">
      <c r="A42" s="115" t="s">
        <v>251</v>
      </c>
      <c r="B42" s="111" t="s">
        <v>1389</v>
      </c>
      <c r="C42" s="111" t="s">
        <v>1390</v>
      </c>
      <c r="D42" s="111" t="s">
        <v>2133</v>
      </c>
      <c r="E42" s="111" t="s">
        <v>56</v>
      </c>
      <c r="F42" s="113" t="s">
        <v>1233</v>
      </c>
      <c r="G42" s="113" t="s">
        <v>1233</v>
      </c>
      <c r="H42" s="113" t="s">
        <v>56</v>
      </c>
      <c r="I42" s="114" t="s">
        <v>1721</v>
      </c>
      <c r="J42" s="115" t="s">
        <v>1343</v>
      </c>
      <c r="K42" s="114" t="s">
        <v>2005</v>
      </c>
      <c r="L42" s="114"/>
      <c r="M42" s="114"/>
      <c r="N42" s="114"/>
      <c r="O42" s="121"/>
      <c r="P42" s="123"/>
      <c r="Q42" s="123"/>
      <c r="R42" s="114"/>
      <c r="S42" s="114"/>
      <c r="T42" s="114"/>
      <c r="U42" s="114"/>
      <c r="V42" s="114"/>
      <c r="W42" s="114"/>
      <c r="X42" s="118"/>
    </row>
    <row r="43">
      <c r="A43" s="115" t="s">
        <v>251</v>
      </c>
      <c r="B43" s="111" t="s">
        <v>1389</v>
      </c>
      <c r="C43" s="111" t="s">
        <v>1390</v>
      </c>
      <c r="D43" s="111" t="s">
        <v>2134</v>
      </c>
      <c r="E43" s="111" t="s">
        <v>56</v>
      </c>
      <c r="F43" s="113" t="s">
        <v>1233</v>
      </c>
      <c r="G43" s="113" t="s">
        <v>1233</v>
      </c>
      <c r="H43" s="113" t="s">
        <v>56</v>
      </c>
      <c r="I43" s="114" t="s">
        <v>1721</v>
      </c>
      <c r="J43" s="115" t="s">
        <v>1345</v>
      </c>
      <c r="K43" s="114" t="s">
        <v>2001</v>
      </c>
      <c r="L43" s="114"/>
      <c r="M43" s="114"/>
      <c r="N43" s="114"/>
      <c r="O43" s="121"/>
      <c r="P43" s="123"/>
      <c r="Q43" s="123"/>
      <c r="R43" s="114"/>
      <c r="S43" s="114"/>
      <c r="T43" s="114"/>
      <c r="U43" s="114"/>
      <c r="V43" s="114"/>
      <c r="W43" s="114"/>
      <c r="X43" s="118"/>
    </row>
    <row r="44">
      <c r="A44" s="115" t="s">
        <v>226</v>
      </c>
      <c r="B44" s="111" t="s">
        <v>1373</v>
      </c>
      <c r="C44" s="111" t="s">
        <v>1374</v>
      </c>
      <c r="D44" s="111" t="s">
        <v>2135</v>
      </c>
      <c r="E44" s="111" t="s">
        <v>56</v>
      </c>
      <c r="F44" s="113" t="s">
        <v>1233</v>
      </c>
      <c r="G44" s="113" t="s">
        <v>1233</v>
      </c>
      <c r="H44" s="113" t="s">
        <v>56</v>
      </c>
      <c r="I44" s="114" t="s">
        <v>1721</v>
      </c>
      <c r="J44" s="115" t="s">
        <v>1345</v>
      </c>
      <c r="K44" s="114" t="s">
        <v>2003</v>
      </c>
      <c r="L44" s="114"/>
      <c r="M44" s="114"/>
      <c r="N44" s="114"/>
      <c r="O44" s="121"/>
      <c r="P44" s="123"/>
      <c r="Q44" s="123"/>
      <c r="R44" s="114"/>
      <c r="S44" s="114"/>
      <c r="T44" s="114"/>
      <c r="U44" s="114"/>
      <c r="V44" s="114"/>
      <c r="W44" s="114"/>
      <c r="X44" s="118"/>
    </row>
    <row r="45">
      <c r="A45" s="115" t="s">
        <v>263</v>
      </c>
      <c r="B45" s="111" t="s">
        <v>1400</v>
      </c>
      <c r="C45" s="111" t="s">
        <v>1401</v>
      </c>
      <c r="D45" s="111" t="s">
        <v>2136</v>
      </c>
      <c r="E45" s="111" t="s">
        <v>56</v>
      </c>
      <c r="F45" s="113" t="s">
        <v>1233</v>
      </c>
      <c r="G45" s="113" t="s">
        <v>1233</v>
      </c>
      <c r="H45" s="113" t="s">
        <v>56</v>
      </c>
      <c r="I45" s="114" t="s">
        <v>1721</v>
      </c>
      <c r="J45" s="115" t="s">
        <v>1345</v>
      </c>
      <c r="K45" s="114" t="s">
        <v>2005</v>
      </c>
      <c r="L45" s="114"/>
      <c r="M45" s="114"/>
      <c r="N45" s="114"/>
      <c r="O45" s="121"/>
      <c r="P45" s="123"/>
      <c r="Q45" s="123"/>
      <c r="R45" s="114"/>
      <c r="S45" s="114"/>
      <c r="T45" s="114"/>
      <c r="U45" s="114"/>
      <c r="V45" s="114"/>
      <c r="W45" s="114"/>
      <c r="X45" s="118"/>
    </row>
    <row r="46">
      <c r="A46" s="115" t="s">
        <v>251</v>
      </c>
      <c r="B46" s="111" t="s">
        <v>1389</v>
      </c>
      <c r="C46" s="111" t="s">
        <v>1390</v>
      </c>
      <c r="D46" s="111" t="s">
        <v>2137</v>
      </c>
      <c r="E46" s="111" t="s">
        <v>56</v>
      </c>
      <c r="F46" s="113" t="s">
        <v>1233</v>
      </c>
      <c r="G46" s="113" t="s">
        <v>1233</v>
      </c>
      <c r="H46" s="113" t="s">
        <v>56</v>
      </c>
      <c r="I46" s="114" t="s">
        <v>1721</v>
      </c>
      <c r="J46" s="115" t="s">
        <v>1347</v>
      </c>
      <c r="K46" s="114" t="s">
        <v>2001</v>
      </c>
      <c r="L46" s="114"/>
      <c r="M46" s="114"/>
      <c r="N46" s="114"/>
      <c r="O46" s="121"/>
      <c r="P46" s="123"/>
      <c r="Q46" s="123"/>
      <c r="R46" s="114"/>
      <c r="S46" s="114"/>
      <c r="T46" s="114"/>
      <c r="U46" s="114"/>
      <c r="V46" s="114"/>
      <c r="W46" s="114"/>
      <c r="X46" s="118"/>
    </row>
    <row r="47">
      <c r="A47" s="115" t="s">
        <v>234</v>
      </c>
      <c r="B47" s="111" t="s">
        <v>1379</v>
      </c>
      <c r="C47" s="111" t="s">
        <v>1380</v>
      </c>
      <c r="D47" s="111" t="s">
        <v>2138</v>
      </c>
      <c r="E47" s="111" t="s">
        <v>56</v>
      </c>
      <c r="F47" s="113" t="s">
        <v>1233</v>
      </c>
      <c r="G47" s="113" t="s">
        <v>1233</v>
      </c>
      <c r="H47" s="113" t="s">
        <v>56</v>
      </c>
      <c r="I47" s="114" t="s">
        <v>1721</v>
      </c>
      <c r="J47" s="115" t="s">
        <v>1349</v>
      </c>
      <c r="K47" s="114" t="s">
        <v>2001</v>
      </c>
      <c r="L47" s="114"/>
      <c r="M47" s="114"/>
      <c r="N47" s="114"/>
      <c r="O47" s="121"/>
      <c r="P47" s="123"/>
      <c r="Q47" s="123"/>
      <c r="R47" s="114"/>
      <c r="S47" s="114"/>
      <c r="T47" s="114"/>
      <c r="U47" s="114"/>
      <c r="V47" s="114"/>
      <c r="W47" s="114"/>
      <c r="X47" s="118"/>
    </row>
    <row r="48">
      <c r="A48" s="115" t="s">
        <v>234</v>
      </c>
      <c r="B48" s="111" t="s">
        <v>1379</v>
      </c>
      <c r="C48" s="111" t="s">
        <v>1380</v>
      </c>
      <c r="D48" s="111" t="s">
        <v>2139</v>
      </c>
      <c r="E48" s="111" t="s">
        <v>56</v>
      </c>
      <c r="F48" s="113" t="s">
        <v>1233</v>
      </c>
      <c r="G48" s="113" t="s">
        <v>1233</v>
      </c>
      <c r="H48" s="113" t="s">
        <v>56</v>
      </c>
      <c r="I48" s="114" t="s">
        <v>1721</v>
      </c>
      <c r="J48" s="115" t="s">
        <v>1351</v>
      </c>
      <c r="K48" s="114" t="s">
        <v>2001</v>
      </c>
      <c r="L48" s="114"/>
      <c r="M48" s="114"/>
      <c r="N48" s="114"/>
      <c r="O48" s="121"/>
      <c r="P48" s="123"/>
      <c r="Q48" s="123"/>
      <c r="R48" s="114"/>
      <c r="S48" s="114"/>
      <c r="T48" s="114"/>
      <c r="U48" s="114"/>
      <c r="V48" s="114"/>
      <c r="W48" s="114"/>
      <c r="X48" s="118"/>
    </row>
    <row r="49">
      <c r="A49" s="115" t="s">
        <v>234</v>
      </c>
      <c r="B49" s="111" t="s">
        <v>1379</v>
      </c>
      <c r="C49" s="111" t="s">
        <v>1380</v>
      </c>
      <c r="D49" s="111" t="s">
        <v>2140</v>
      </c>
      <c r="E49" s="111" t="s">
        <v>56</v>
      </c>
      <c r="F49" s="113" t="s">
        <v>1233</v>
      </c>
      <c r="G49" s="113" t="s">
        <v>1233</v>
      </c>
      <c r="H49" s="113" t="s">
        <v>56</v>
      </c>
      <c r="I49" s="114" t="s">
        <v>1721</v>
      </c>
      <c r="J49" s="115" t="s">
        <v>1353</v>
      </c>
      <c r="K49" s="114" t="s">
        <v>2001</v>
      </c>
      <c r="L49" s="114"/>
      <c r="M49" s="114"/>
      <c r="N49" s="114"/>
      <c r="O49" s="121"/>
      <c r="P49" s="123"/>
      <c r="Q49" s="123"/>
      <c r="R49" s="114"/>
      <c r="S49" s="114"/>
      <c r="T49" s="114"/>
      <c r="U49" s="114"/>
      <c r="V49" s="114"/>
      <c r="W49" s="114"/>
      <c r="X49" s="118"/>
    </row>
    <row r="50">
      <c r="A50" s="115" t="s">
        <v>234</v>
      </c>
      <c r="B50" s="111" t="s">
        <v>1379</v>
      </c>
      <c r="C50" s="111" t="s">
        <v>1380</v>
      </c>
      <c r="D50" s="111" t="s">
        <v>2141</v>
      </c>
      <c r="E50" s="111" t="s">
        <v>56</v>
      </c>
      <c r="F50" s="113" t="s">
        <v>1233</v>
      </c>
      <c r="G50" s="113" t="s">
        <v>1233</v>
      </c>
      <c r="H50" s="113" t="s">
        <v>56</v>
      </c>
      <c r="I50" s="114" t="s">
        <v>1721</v>
      </c>
      <c r="J50" s="115" t="s">
        <v>1355</v>
      </c>
      <c r="K50" s="114" t="s">
        <v>2001</v>
      </c>
      <c r="L50" s="114"/>
      <c r="M50" s="114"/>
      <c r="N50" s="114"/>
      <c r="O50" s="121"/>
      <c r="P50" s="123"/>
      <c r="Q50" s="123"/>
      <c r="R50" s="114"/>
      <c r="S50" s="114"/>
      <c r="T50" s="114"/>
      <c r="U50" s="114"/>
      <c r="V50" s="114"/>
      <c r="W50" s="114"/>
      <c r="X50" s="118"/>
    </row>
    <row r="51">
      <c r="A51" s="115" t="s">
        <v>234</v>
      </c>
      <c r="B51" s="111" t="s">
        <v>1379</v>
      </c>
      <c r="C51" s="111" t="s">
        <v>1380</v>
      </c>
      <c r="D51" s="111" t="s">
        <v>2142</v>
      </c>
      <c r="E51" s="111" t="s">
        <v>56</v>
      </c>
      <c r="F51" s="113" t="s">
        <v>1233</v>
      </c>
      <c r="G51" s="113" t="s">
        <v>1233</v>
      </c>
      <c r="H51" s="113" t="s">
        <v>56</v>
      </c>
      <c r="I51" s="114" t="s">
        <v>1721</v>
      </c>
      <c r="J51" s="115" t="s">
        <v>1357</v>
      </c>
      <c r="K51" s="114" t="s">
        <v>2001</v>
      </c>
      <c r="L51" s="114"/>
      <c r="M51" s="114"/>
      <c r="N51" s="114"/>
      <c r="O51" s="121"/>
      <c r="P51" s="123"/>
      <c r="Q51" s="123"/>
      <c r="R51" s="114"/>
      <c r="S51" s="114"/>
      <c r="T51" s="114"/>
      <c r="U51" s="114"/>
      <c r="V51" s="114"/>
      <c r="W51" s="114"/>
      <c r="X51" s="118"/>
    </row>
    <row r="52">
      <c r="A52" s="115" t="s">
        <v>315</v>
      </c>
      <c r="B52" s="111" t="s">
        <v>1422</v>
      </c>
      <c r="C52" s="111" t="s">
        <v>1423</v>
      </c>
      <c r="D52" s="111" t="s">
        <v>2143</v>
      </c>
      <c r="E52" s="111" t="s">
        <v>56</v>
      </c>
      <c r="F52" s="113" t="s">
        <v>1233</v>
      </c>
      <c r="G52" s="113" t="s">
        <v>1233</v>
      </c>
      <c r="H52" s="113" t="s">
        <v>56</v>
      </c>
      <c r="I52" s="114" t="s">
        <v>1721</v>
      </c>
      <c r="J52" s="115" t="s">
        <v>1359</v>
      </c>
      <c r="K52" s="114" t="s">
        <v>2001</v>
      </c>
      <c r="L52" s="114"/>
      <c r="M52" s="114"/>
      <c r="N52" s="114"/>
      <c r="O52" s="121"/>
      <c r="P52" s="123"/>
      <c r="Q52" s="123"/>
      <c r="R52" s="114"/>
      <c r="S52" s="114"/>
      <c r="T52" s="114"/>
      <c r="U52" s="114"/>
      <c r="V52" s="114"/>
      <c r="W52" s="114"/>
      <c r="X52" s="118"/>
    </row>
    <row r="53">
      <c r="A53" s="115" t="s">
        <v>318</v>
      </c>
      <c r="B53" s="111" t="s">
        <v>1424</v>
      </c>
      <c r="C53" s="111" t="s">
        <v>1425</v>
      </c>
      <c r="D53" s="111" t="s">
        <v>2144</v>
      </c>
      <c r="E53" s="111" t="s">
        <v>56</v>
      </c>
      <c r="F53" s="113" t="s">
        <v>1233</v>
      </c>
      <c r="G53" s="113" t="s">
        <v>1233</v>
      </c>
      <c r="H53" s="113" t="s">
        <v>56</v>
      </c>
      <c r="I53" s="114" t="s">
        <v>1721</v>
      </c>
      <c r="J53" s="115" t="s">
        <v>1361</v>
      </c>
      <c r="K53" s="114" t="s">
        <v>2001</v>
      </c>
      <c r="L53" s="114"/>
      <c r="M53" s="114"/>
      <c r="N53" s="114"/>
      <c r="O53" s="121"/>
      <c r="P53" s="123"/>
      <c r="Q53" s="123"/>
      <c r="R53" s="114"/>
      <c r="S53" s="114"/>
      <c r="T53" s="114"/>
      <c r="U53" s="114"/>
      <c r="V53" s="114"/>
      <c r="W53" s="114"/>
      <c r="X53" s="118"/>
    </row>
    <row r="54">
      <c r="A54" s="115" t="s">
        <v>293</v>
      </c>
      <c r="B54" s="111" t="s">
        <v>1418</v>
      </c>
      <c r="C54" s="111" t="s">
        <v>1419</v>
      </c>
      <c r="D54" s="111" t="s">
        <v>2145</v>
      </c>
      <c r="E54" s="111" t="s">
        <v>56</v>
      </c>
      <c r="F54" s="113" t="s">
        <v>1233</v>
      </c>
      <c r="G54" s="113" t="s">
        <v>1233</v>
      </c>
      <c r="H54" s="113" t="s">
        <v>56</v>
      </c>
      <c r="I54" s="114" t="s">
        <v>1721</v>
      </c>
      <c r="J54" s="115" t="s">
        <v>1361</v>
      </c>
      <c r="K54" s="114" t="s">
        <v>2003</v>
      </c>
      <c r="L54" s="114"/>
      <c r="M54" s="114"/>
      <c r="N54" s="114"/>
      <c r="O54" s="121"/>
      <c r="P54" s="123"/>
      <c r="Q54" s="123"/>
      <c r="R54" s="114"/>
      <c r="S54" s="114"/>
      <c r="T54" s="114"/>
      <c r="U54" s="114"/>
      <c r="V54" s="114"/>
      <c r="W54" s="114"/>
      <c r="X54" s="118"/>
    </row>
    <row r="55">
      <c r="A55" s="115" t="s">
        <v>315</v>
      </c>
      <c r="B55" s="111" t="s">
        <v>1422</v>
      </c>
      <c r="C55" s="111" t="s">
        <v>1423</v>
      </c>
      <c r="D55" s="111" t="s">
        <v>2146</v>
      </c>
      <c r="E55" s="111" t="s">
        <v>56</v>
      </c>
      <c r="F55" s="113" t="s">
        <v>1233</v>
      </c>
      <c r="G55" s="113" t="s">
        <v>1233</v>
      </c>
      <c r="H55" s="113" t="s">
        <v>56</v>
      </c>
      <c r="I55" s="114" t="s">
        <v>1721</v>
      </c>
      <c r="J55" s="115" t="s">
        <v>1363</v>
      </c>
      <c r="K55" s="114" t="s">
        <v>2001</v>
      </c>
      <c r="L55" s="114"/>
      <c r="M55" s="114"/>
      <c r="N55" s="114"/>
      <c r="O55" s="121"/>
      <c r="P55" s="123"/>
      <c r="Q55" s="123"/>
      <c r="R55" s="114"/>
      <c r="S55" s="114"/>
      <c r="T55" s="114"/>
      <c r="U55" s="114"/>
      <c r="V55" s="114"/>
      <c r="W55" s="114"/>
      <c r="X55" s="118"/>
    </row>
    <row r="56">
      <c r="A56" s="115" t="s">
        <v>101</v>
      </c>
      <c r="B56" s="111" t="s">
        <v>1274</v>
      </c>
      <c r="C56" s="111" t="s">
        <v>1275</v>
      </c>
      <c r="D56" s="111" t="s">
        <v>2147</v>
      </c>
      <c r="E56" s="111" t="s">
        <v>56</v>
      </c>
      <c r="F56" s="113" t="s">
        <v>1233</v>
      </c>
      <c r="G56" s="113" t="s">
        <v>1233</v>
      </c>
      <c r="H56" s="113" t="s">
        <v>56</v>
      </c>
      <c r="I56" s="114" t="s">
        <v>1721</v>
      </c>
      <c r="J56" s="115" t="s">
        <v>1365</v>
      </c>
      <c r="K56" s="114" t="s">
        <v>2001</v>
      </c>
      <c r="L56" s="114"/>
      <c r="M56" s="114"/>
      <c r="N56" s="114"/>
      <c r="O56" s="121"/>
      <c r="P56" s="123"/>
      <c r="Q56" s="123"/>
      <c r="R56" s="114"/>
      <c r="S56" s="114"/>
      <c r="T56" s="114"/>
      <c r="U56" s="114"/>
      <c r="V56" s="114"/>
      <c r="W56" s="114"/>
      <c r="X56" s="118"/>
    </row>
    <row r="57">
      <c r="A57" s="115" t="s">
        <v>315</v>
      </c>
      <c r="B57" s="111" t="s">
        <v>1422</v>
      </c>
      <c r="C57" s="111" t="s">
        <v>1423</v>
      </c>
      <c r="D57" s="111" t="s">
        <v>2148</v>
      </c>
      <c r="E57" s="111" t="s">
        <v>56</v>
      </c>
      <c r="F57" s="113" t="s">
        <v>1233</v>
      </c>
      <c r="G57" s="113" t="s">
        <v>1233</v>
      </c>
      <c r="H57" s="113" t="s">
        <v>56</v>
      </c>
      <c r="I57" s="114" t="s">
        <v>1721</v>
      </c>
      <c r="J57" s="115" t="s">
        <v>1367</v>
      </c>
      <c r="K57" s="114" t="s">
        <v>2001</v>
      </c>
      <c r="L57" s="114"/>
      <c r="M57" s="114"/>
      <c r="N57" s="114"/>
      <c r="O57" s="121"/>
      <c r="P57" s="123"/>
      <c r="Q57" s="123"/>
      <c r="R57" s="114"/>
      <c r="S57" s="114"/>
      <c r="T57" s="114"/>
      <c r="U57" s="114"/>
      <c r="V57" s="114"/>
      <c r="W57" s="114"/>
      <c r="X57" s="118"/>
    </row>
    <row r="58">
      <c r="A58" s="115" t="s">
        <v>315</v>
      </c>
      <c r="B58" s="111" t="s">
        <v>1422</v>
      </c>
      <c r="C58" s="111" t="s">
        <v>1423</v>
      </c>
      <c r="D58" s="111" t="s">
        <v>2149</v>
      </c>
      <c r="E58" s="111" t="s">
        <v>56</v>
      </c>
      <c r="F58" s="113" t="s">
        <v>1233</v>
      </c>
      <c r="G58" s="113" t="s">
        <v>1233</v>
      </c>
      <c r="H58" s="113" t="s">
        <v>56</v>
      </c>
      <c r="I58" s="114" t="s">
        <v>1721</v>
      </c>
      <c r="J58" s="115" t="s">
        <v>1367</v>
      </c>
      <c r="K58" s="114" t="s">
        <v>2003</v>
      </c>
      <c r="L58" s="114"/>
      <c r="M58" s="114"/>
      <c r="N58" s="114"/>
      <c r="O58" s="121"/>
      <c r="P58" s="123"/>
      <c r="Q58" s="123"/>
      <c r="R58" s="114"/>
      <c r="S58" s="114"/>
      <c r="T58" s="114"/>
      <c r="U58" s="114"/>
      <c r="V58" s="114"/>
      <c r="W58" s="114"/>
      <c r="X58" s="118"/>
    </row>
    <row r="59">
      <c r="A59" s="115" t="s">
        <v>328</v>
      </c>
      <c r="B59" s="111" t="s">
        <v>1426</v>
      </c>
      <c r="C59" s="111" t="s">
        <v>1427</v>
      </c>
      <c r="D59" s="111" t="s">
        <v>2150</v>
      </c>
      <c r="E59" s="111" t="s">
        <v>56</v>
      </c>
      <c r="F59" s="113" t="s">
        <v>1233</v>
      </c>
      <c r="G59" s="113" t="s">
        <v>1233</v>
      </c>
      <c r="H59" s="113" t="s">
        <v>56</v>
      </c>
      <c r="I59" s="114" t="s">
        <v>1721</v>
      </c>
      <c r="J59" s="115" t="s">
        <v>1367</v>
      </c>
      <c r="K59" s="114" t="s">
        <v>2005</v>
      </c>
      <c r="L59" s="114"/>
      <c r="M59" s="114"/>
      <c r="N59" s="114"/>
      <c r="O59" s="121"/>
      <c r="P59" s="123"/>
      <c r="Q59" s="123"/>
      <c r="R59" s="114"/>
      <c r="S59" s="114"/>
      <c r="T59" s="114"/>
      <c r="U59" s="114"/>
      <c r="V59" s="114"/>
      <c r="W59" s="114"/>
      <c r="X59" s="118"/>
    </row>
    <row r="60">
      <c r="A60" s="115" t="s">
        <v>331</v>
      </c>
      <c r="B60" s="111" t="s">
        <v>1428</v>
      </c>
      <c r="C60" s="111" t="s">
        <v>1429</v>
      </c>
      <c r="D60" s="111" t="s">
        <v>2151</v>
      </c>
      <c r="E60" s="111" t="s">
        <v>56</v>
      </c>
      <c r="F60" s="113" t="s">
        <v>1233</v>
      </c>
      <c r="G60" s="113" t="s">
        <v>1233</v>
      </c>
      <c r="H60" s="113" t="s">
        <v>56</v>
      </c>
      <c r="I60" s="114" t="s">
        <v>1721</v>
      </c>
      <c r="J60" s="115" t="s">
        <v>1369</v>
      </c>
      <c r="K60" s="114" t="s">
        <v>2001</v>
      </c>
      <c r="L60" s="114"/>
      <c r="M60" s="114"/>
      <c r="N60" s="114"/>
      <c r="O60" s="121"/>
      <c r="P60" s="123"/>
      <c r="Q60" s="123"/>
      <c r="R60" s="114"/>
      <c r="S60" s="114"/>
      <c r="T60" s="114"/>
      <c r="U60" s="114"/>
      <c r="V60" s="114"/>
      <c r="W60" s="114"/>
      <c r="X60" s="118"/>
    </row>
    <row r="61">
      <c r="A61" s="115" t="s">
        <v>258</v>
      </c>
      <c r="B61" s="111" t="s">
        <v>1395</v>
      </c>
      <c r="C61" s="111" t="s">
        <v>1396</v>
      </c>
      <c r="D61" s="111" t="s">
        <v>2152</v>
      </c>
      <c r="E61" s="111" t="s">
        <v>56</v>
      </c>
      <c r="F61" s="113" t="s">
        <v>1233</v>
      </c>
      <c r="G61" s="113" t="s">
        <v>1233</v>
      </c>
      <c r="H61" s="113" t="s">
        <v>56</v>
      </c>
      <c r="I61" s="114" t="s">
        <v>1721</v>
      </c>
      <c r="J61" s="115" t="s">
        <v>1369</v>
      </c>
      <c r="K61" s="114" t="s">
        <v>2003</v>
      </c>
      <c r="L61" s="114"/>
      <c r="M61" s="114"/>
      <c r="N61" s="114"/>
      <c r="O61" s="121"/>
      <c r="P61" s="123"/>
      <c r="Q61" s="123"/>
      <c r="R61" s="114"/>
      <c r="S61" s="114"/>
      <c r="T61" s="114"/>
      <c r="U61" s="114"/>
      <c r="V61" s="114"/>
      <c r="W61" s="114"/>
      <c r="X61" s="118"/>
    </row>
    <row r="62">
      <c r="A62" s="115" t="s">
        <v>335</v>
      </c>
      <c r="B62" s="111" t="s">
        <v>1430</v>
      </c>
      <c r="C62" s="111" t="s">
        <v>1431</v>
      </c>
      <c r="D62" s="111" t="s">
        <v>2153</v>
      </c>
      <c r="E62" s="111" t="s">
        <v>56</v>
      </c>
      <c r="F62" s="113" t="s">
        <v>1233</v>
      </c>
      <c r="G62" s="113" t="s">
        <v>1233</v>
      </c>
      <c r="H62" s="113" t="s">
        <v>56</v>
      </c>
      <c r="I62" s="114" t="s">
        <v>1721</v>
      </c>
      <c r="J62" s="115" t="s">
        <v>1371</v>
      </c>
      <c r="K62" s="114" t="s">
        <v>2001</v>
      </c>
      <c r="L62" s="114"/>
      <c r="M62" s="114"/>
      <c r="N62" s="114"/>
      <c r="O62" s="121"/>
      <c r="P62" s="123"/>
      <c r="Q62" s="123"/>
      <c r="R62" s="114"/>
      <c r="S62" s="114"/>
      <c r="T62" s="114"/>
      <c r="U62" s="114"/>
      <c r="V62" s="114"/>
      <c r="W62" s="114"/>
      <c r="X62" s="118"/>
    </row>
    <row r="63">
      <c r="A63" s="115" t="s">
        <v>263</v>
      </c>
      <c r="B63" s="111" t="s">
        <v>1400</v>
      </c>
      <c r="C63" s="111" t="s">
        <v>1401</v>
      </c>
      <c r="D63" s="111" t="s">
        <v>2154</v>
      </c>
      <c r="E63" s="111" t="s">
        <v>56</v>
      </c>
      <c r="F63" s="113" t="s">
        <v>1233</v>
      </c>
      <c r="G63" s="113" t="s">
        <v>1233</v>
      </c>
      <c r="H63" s="113" t="s">
        <v>56</v>
      </c>
      <c r="I63" s="114" t="s">
        <v>1721</v>
      </c>
      <c r="J63" s="115" t="s">
        <v>1373</v>
      </c>
      <c r="K63" s="114" t="s">
        <v>2001</v>
      </c>
      <c r="L63" s="114"/>
      <c r="M63" s="114"/>
      <c r="N63" s="114"/>
      <c r="O63" s="121"/>
      <c r="P63" s="123"/>
      <c r="Q63" s="123"/>
      <c r="R63" s="114"/>
      <c r="S63" s="114"/>
      <c r="T63" s="114"/>
      <c r="U63" s="114"/>
      <c r="V63" s="114"/>
      <c r="W63" s="114"/>
      <c r="X63" s="118"/>
    </row>
    <row r="64">
      <c r="A64" s="115" t="s">
        <v>263</v>
      </c>
      <c r="B64" s="111" t="s">
        <v>1400</v>
      </c>
      <c r="C64" s="111" t="s">
        <v>1401</v>
      </c>
      <c r="D64" s="111" t="s">
        <v>2155</v>
      </c>
      <c r="E64" s="111" t="s">
        <v>56</v>
      </c>
      <c r="F64" s="113" t="s">
        <v>1233</v>
      </c>
      <c r="G64" s="113" t="s">
        <v>1233</v>
      </c>
      <c r="H64" s="113" t="s">
        <v>56</v>
      </c>
      <c r="I64" s="114" t="s">
        <v>1721</v>
      </c>
      <c r="J64" s="115" t="s">
        <v>1375</v>
      </c>
      <c r="K64" s="114" t="s">
        <v>2001</v>
      </c>
      <c r="L64" s="114"/>
      <c r="M64" s="114"/>
      <c r="N64" s="114"/>
      <c r="O64" s="121"/>
      <c r="P64" s="123"/>
      <c r="Q64" s="123"/>
      <c r="R64" s="114"/>
      <c r="S64" s="114"/>
      <c r="T64" s="114"/>
      <c r="U64" s="114"/>
      <c r="V64" s="114"/>
      <c r="W64" s="114"/>
      <c r="X64" s="118"/>
    </row>
    <row r="65">
      <c r="A65" s="115" t="s">
        <v>263</v>
      </c>
      <c r="B65" s="111" t="s">
        <v>1400</v>
      </c>
      <c r="C65" s="111" t="s">
        <v>1401</v>
      </c>
      <c r="D65" s="111" t="s">
        <v>2156</v>
      </c>
      <c r="E65" s="111" t="s">
        <v>56</v>
      </c>
      <c r="F65" s="113" t="s">
        <v>1233</v>
      </c>
      <c r="G65" s="113" t="s">
        <v>1233</v>
      </c>
      <c r="H65" s="113" t="s">
        <v>56</v>
      </c>
      <c r="I65" s="114" t="s">
        <v>1721</v>
      </c>
      <c r="J65" s="115" t="s">
        <v>1377</v>
      </c>
      <c r="K65" s="114" t="s">
        <v>2001</v>
      </c>
      <c r="L65" s="114"/>
      <c r="M65" s="114"/>
      <c r="N65" s="114"/>
      <c r="O65" s="121"/>
      <c r="P65" s="123"/>
      <c r="Q65" s="123"/>
      <c r="R65" s="114"/>
      <c r="S65" s="114"/>
      <c r="T65" s="114"/>
      <c r="U65" s="114"/>
      <c r="V65" s="114"/>
      <c r="W65" s="114"/>
      <c r="X65" s="118"/>
    </row>
    <row r="66">
      <c r="A66" s="115" t="s">
        <v>344</v>
      </c>
      <c r="B66" s="111" t="s">
        <v>1432</v>
      </c>
      <c r="C66" s="111" t="s">
        <v>1433</v>
      </c>
      <c r="D66" s="111" t="s">
        <v>2157</v>
      </c>
      <c r="E66" s="111" t="s">
        <v>56</v>
      </c>
      <c r="F66" s="113" t="s">
        <v>1233</v>
      </c>
      <c r="G66" s="113" t="s">
        <v>1233</v>
      </c>
      <c r="H66" s="113" t="s">
        <v>56</v>
      </c>
      <c r="I66" s="114" t="s">
        <v>1721</v>
      </c>
      <c r="J66" s="115" t="s">
        <v>1379</v>
      </c>
      <c r="K66" s="114" t="s">
        <v>2001</v>
      </c>
      <c r="L66" s="114"/>
      <c r="M66" s="114"/>
      <c r="N66" s="114"/>
      <c r="O66" s="121"/>
      <c r="P66" s="123"/>
      <c r="Q66" s="123"/>
      <c r="R66" s="114"/>
      <c r="S66" s="114"/>
      <c r="T66" s="114"/>
      <c r="U66" s="114"/>
      <c r="V66" s="114"/>
      <c r="W66" s="114"/>
      <c r="X66" s="118"/>
    </row>
    <row r="67">
      <c r="A67" s="115" t="s">
        <v>344</v>
      </c>
      <c r="B67" s="111" t="s">
        <v>1432</v>
      </c>
      <c r="C67" s="111" t="s">
        <v>1433</v>
      </c>
      <c r="D67" s="111" t="s">
        <v>2158</v>
      </c>
      <c r="E67" s="111" t="s">
        <v>56</v>
      </c>
      <c r="F67" s="113" t="s">
        <v>1233</v>
      </c>
      <c r="G67" s="113" t="s">
        <v>1233</v>
      </c>
      <c r="H67" s="113" t="s">
        <v>56</v>
      </c>
      <c r="I67" s="114" t="s">
        <v>1721</v>
      </c>
      <c r="J67" s="115" t="s">
        <v>1381</v>
      </c>
      <c r="K67" s="114" t="s">
        <v>2001</v>
      </c>
      <c r="L67" s="114"/>
      <c r="M67" s="114"/>
      <c r="N67" s="114"/>
      <c r="O67" s="121"/>
      <c r="P67" s="123"/>
      <c r="Q67" s="123"/>
      <c r="R67" s="114"/>
      <c r="S67" s="114"/>
      <c r="T67" s="114"/>
      <c r="U67" s="114"/>
      <c r="V67" s="114"/>
      <c r="W67" s="114"/>
      <c r="X67" s="118"/>
    </row>
    <row r="68">
      <c r="A68" s="115" t="s">
        <v>344</v>
      </c>
      <c r="B68" s="111" t="s">
        <v>1432</v>
      </c>
      <c r="C68" s="111" t="s">
        <v>1433</v>
      </c>
      <c r="D68" s="111" t="s">
        <v>2159</v>
      </c>
      <c r="E68" s="111" t="s">
        <v>56</v>
      </c>
      <c r="F68" s="113" t="s">
        <v>1233</v>
      </c>
      <c r="G68" s="113" t="s">
        <v>1233</v>
      </c>
      <c r="H68" s="113" t="s">
        <v>56</v>
      </c>
      <c r="I68" s="114" t="s">
        <v>1721</v>
      </c>
      <c r="J68" s="115" t="s">
        <v>1383</v>
      </c>
      <c r="K68" s="114" t="s">
        <v>2001</v>
      </c>
      <c r="L68" s="114"/>
      <c r="M68" s="114"/>
      <c r="N68" s="114"/>
      <c r="O68" s="121"/>
      <c r="P68" s="123"/>
      <c r="Q68" s="123"/>
      <c r="R68" s="114"/>
      <c r="S68" s="114"/>
      <c r="T68" s="114"/>
      <c r="U68" s="114"/>
      <c r="V68" s="114"/>
      <c r="W68" s="114"/>
      <c r="X68" s="118"/>
    </row>
    <row r="69">
      <c r="A69" s="115" t="s">
        <v>344</v>
      </c>
      <c r="B69" s="111" t="s">
        <v>1432</v>
      </c>
      <c r="C69" s="111" t="s">
        <v>1433</v>
      </c>
      <c r="D69" s="111" t="s">
        <v>2160</v>
      </c>
      <c r="E69" s="111" t="s">
        <v>56</v>
      </c>
      <c r="F69" s="113" t="s">
        <v>1233</v>
      </c>
      <c r="G69" s="113" t="s">
        <v>1233</v>
      </c>
      <c r="H69" s="113" t="s">
        <v>56</v>
      </c>
      <c r="I69" s="114" t="s">
        <v>1721</v>
      </c>
      <c r="J69" s="115" t="s">
        <v>1385</v>
      </c>
      <c r="K69" s="114" t="s">
        <v>2001</v>
      </c>
      <c r="L69" s="114"/>
      <c r="M69" s="114"/>
      <c r="N69" s="114"/>
      <c r="O69" s="121"/>
      <c r="P69" s="123"/>
      <c r="Q69" s="123"/>
      <c r="R69" s="114"/>
      <c r="S69" s="114"/>
      <c r="T69" s="114"/>
      <c r="U69" s="114"/>
      <c r="V69" s="114"/>
      <c r="W69" s="114"/>
      <c r="X69" s="118"/>
    </row>
    <row r="70">
      <c r="A70" s="115" t="s">
        <v>344</v>
      </c>
      <c r="B70" s="111" t="s">
        <v>1432</v>
      </c>
      <c r="C70" s="111" t="s">
        <v>1433</v>
      </c>
      <c r="D70" s="111" t="s">
        <v>2161</v>
      </c>
      <c r="E70" s="111" t="s">
        <v>56</v>
      </c>
      <c r="F70" s="113" t="s">
        <v>1233</v>
      </c>
      <c r="G70" s="113" t="s">
        <v>1233</v>
      </c>
      <c r="H70" s="113" t="s">
        <v>56</v>
      </c>
      <c r="I70" s="114" t="s">
        <v>1721</v>
      </c>
      <c r="J70" s="115" t="s">
        <v>1387</v>
      </c>
      <c r="K70" s="114" t="s">
        <v>2001</v>
      </c>
      <c r="L70" s="114"/>
      <c r="M70" s="114"/>
      <c r="N70" s="114"/>
      <c r="O70" s="121"/>
      <c r="P70" s="123"/>
      <c r="Q70" s="123"/>
      <c r="R70" s="114"/>
      <c r="S70" s="114"/>
      <c r="T70" s="114"/>
      <c r="U70" s="114"/>
      <c r="V70" s="114"/>
      <c r="W70" s="114"/>
      <c r="X70" s="118"/>
    </row>
    <row r="71">
      <c r="A71" s="115" t="s">
        <v>352</v>
      </c>
      <c r="B71" s="111" t="s">
        <v>1434</v>
      </c>
      <c r="C71" s="111" t="s">
        <v>1435</v>
      </c>
      <c r="D71" s="111" t="s">
        <v>2162</v>
      </c>
      <c r="E71" s="111" t="s">
        <v>56</v>
      </c>
      <c r="F71" s="113" t="s">
        <v>1233</v>
      </c>
      <c r="G71" s="113" t="s">
        <v>1233</v>
      </c>
      <c r="H71" s="113" t="s">
        <v>56</v>
      </c>
      <c r="I71" s="114" t="s">
        <v>1721</v>
      </c>
      <c r="J71" s="115" t="s">
        <v>1387</v>
      </c>
      <c r="K71" s="114" t="s">
        <v>2003</v>
      </c>
      <c r="L71" s="114"/>
      <c r="M71" s="114"/>
      <c r="N71" s="114"/>
      <c r="O71" s="121"/>
      <c r="P71" s="123"/>
      <c r="Q71" s="123"/>
      <c r="R71" s="114"/>
      <c r="S71" s="114"/>
      <c r="T71" s="114"/>
      <c r="U71" s="114"/>
      <c r="V71" s="114"/>
      <c r="W71" s="114"/>
      <c r="X71" s="118"/>
    </row>
    <row r="72">
      <c r="A72" s="115" t="s">
        <v>355</v>
      </c>
      <c r="B72" s="111" t="s">
        <v>1436</v>
      </c>
      <c r="C72" s="111" t="s">
        <v>1437</v>
      </c>
      <c r="D72" s="111" t="s">
        <v>2163</v>
      </c>
      <c r="E72" s="111" t="s">
        <v>56</v>
      </c>
      <c r="F72" s="113" t="s">
        <v>1233</v>
      </c>
      <c r="G72" s="113" t="s">
        <v>1233</v>
      </c>
      <c r="H72" s="113" t="s">
        <v>56</v>
      </c>
      <c r="I72" s="114" t="s">
        <v>1721</v>
      </c>
      <c r="J72" s="115" t="s">
        <v>1389</v>
      </c>
      <c r="K72" s="114" t="s">
        <v>2001</v>
      </c>
      <c r="L72" s="114"/>
      <c r="M72" s="114"/>
      <c r="N72" s="114"/>
      <c r="O72" s="121"/>
      <c r="P72" s="123"/>
      <c r="Q72" s="123"/>
      <c r="R72" s="114"/>
      <c r="S72" s="114"/>
      <c r="T72" s="114"/>
      <c r="U72" s="114"/>
      <c r="V72" s="114"/>
      <c r="W72" s="114"/>
      <c r="X72" s="118"/>
    </row>
    <row r="73">
      <c r="A73" s="115" t="s">
        <v>355</v>
      </c>
      <c r="B73" s="111" t="s">
        <v>1436</v>
      </c>
      <c r="C73" s="111" t="s">
        <v>1437</v>
      </c>
      <c r="D73" s="111" t="s">
        <v>2164</v>
      </c>
      <c r="E73" s="111" t="s">
        <v>56</v>
      </c>
      <c r="F73" s="113" t="s">
        <v>1233</v>
      </c>
      <c r="G73" s="113" t="s">
        <v>1233</v>
      </c>
      <c r="H73" s="113" t="s">
        <v>56</v>
      </c>
      <c r="I73" s="114" t="s">
        <v>1721</v>
      </c>
      <c r="J73" s="115" t="s">
        <v>1391</v>
      </c>
      <c r="K73" s="114" t="s">
        <v>2001</v>
      </c>
      <c r="L73" s="114"/>
      <c r="M73" s="114"/>
      <c r="N73" s="114"/>
      <c r="O73" s="121"/>
      <c r="P73" s="123"/>
      <c r="Q73" s="123"/>
      <c r="R73" s="114"/>
      <c r="S73" s="114"/>
      <c r="T73" s="114"/>
      <c r="U73" s="114"/>
      <c r="V73" s="114"/>
      <c r="W73" s="114"/>
      <c r="X73" s="118"/>
    </row>
    <row r="74">
      <c r="A74" s="115" t="s">
        <v>359</v>
      </c>
      <c r="B74" s="111" t="s">
        <v>1438</v>
      </c>
      <c r="C74" s="111" t="s">
        <v>1439</v>
      </c>
      <c r="D74" s="111" t="s">
        <v>2165</v>
      </c>
      <c r="E74" s="111" t="s">
        <v>56</v>
      </c>
      <c r="F74" s="113" t="s">
        <v>1233</v>
      </c>
      <c r="G74" s="113" t="s">
        <v>1233</v>
      </c>
      <c r="H74" s="113" t="s">
        <v>56</v>
      </c>
      <c r="I74" s="114" t="s">
        <v>1721</v>
      </c>
      <c r="J74" s="115" t="s">
        <v>1391</v>
      </c>
      <c r="K74" s="114" t="s">
        <v>2003</v>
      </c>
      <c r="L74" s="114"/>
      <c r="M74" s="114"/>
      <c r="N74" s="114"/>
      <c r="O74" s="121"/>
      <c r="P74" s="123"/>
      <c r="Q74" s="123"/>
      <c r="R74" s="114"/>
      <c r="S74" s="114"/>
      <c r="T74" s="114"/>
      <c r="U74" s="114"/>
      <c r="V74" s="114"/>
      <c r="W74" s="114"/>
      <c r="X74" s="118"/>
    </row>
    <row r="75">
      <c r="A75" s="115" t="s">
        <v>355</v>
      </c>
      <c r="B75" s="111" t="s">
        <v>1436</v>
      </c>
      <c r="C75" s="111" t="s">
        <v>1437</v>
      </c>
      <c r="D75" s="111" t="s">
        <v>2166</v>
      </c>
      <c r="E75" s="111" t="s">
        <v>56</v>
      </c>
      <c r="F75" s="113" t="s">
        <v>1233</v>
      </c>
      <c r="G75" s="113" t="s">
        <v>1233</v>
      </c>
      <c r="H75" s="113" t="s">
        <v>56</v>
      </c>
      <c r="I75" s="114" t="s">
        <v>1721</v>
      </c>
      <c r="J75" s="115" t="s">
        <v>1391</v>
      </c>
      <c r="K75" s="114" t="s">
        <v>2005</v>
      </c>
      <c r="L75" s="114"/>
      <c r="M75" s="114"/>
      <c r="N75" s="114"/>
      <c r="O75" s="121"/>
      <c r="P75" s="123"/>
      <c r="Q75" s="123"/>
      <c r="R75" s="114"/>
      <c r="S75" s="114"/>
      <c r="T75" s="114"/>
      <c r="U75" s="114"/>
      <c r="V75" s="114"/>
      <c r="W75" s="114"/>
      <c r="X75" s="118"/>
    </row>
    <row r="76">
      <c r="A76" s="115" t="s">
        <v>362</v>
      </c>
      <c r="B76" s="111" t="s">
        <v>1440</v>
      </c>
      <c r="C76" s="111" t="s">
        <v>1441</v>
      </c>
      <c r="D76" s="111" t="s">
        <v>2167</v>
      </c>
      <c r="E76" s="111" t="s">
        <v>56</v>
      </c>
      <c r="F76" s="113" t="s">
        <v>1233</v>
      </c>
      <c r="G76" s="113" t="s">
        <v>1233</v>
      </c>
      <c r="H76" s="113" t="s">
        <v>56</v>
      </c>
      <c r="I76" s="114" t="s">
        <v>1721</v>
      </c>
      <c r="J76" s="115" t="s">
        <v>1391</v>
      </c>
      <c r="K76" s="114" t="s">
        <v>2007</v>
      </c>
      <c r="L76" s="114"/>
      <c r="M76" s="114"/>
      <c r="N76" s="114"/>
      <c r="O76" s="121"/>
      <c r="P76" s="123"/>
      <c r="Q76" s="123"/>
      <c r="R76" s="114"/>
      <c r="S76" s="114"/>
      <c r="T76" s="114"/>
      <c r="U76" s="114"/>
      <c r="V76" s="114"/>
      <c r="W76" s="114"/>
      <c r="X76" s="118"/>
    </row>
    <row r="77">
      <c r="A77" s="115" t="s">
        <v>113</v>
      </c>
      <c r="B77" s="111" t="s">
        <v>1286</v>
      </c>
      <c r="C77" s="111" t="s">
        <v>1287</v>
      </c>
      <c r="D77" s="111" t="s">
        <v>2168</v>
      </c>
      <c r="E77" s="111" t="s">
        <v>56</v>
      </c>
      <c r="F77" s="113" t="s">
        <v>1233</v>
      </c>
      <c r="G77" s="113" t="s">
        <v>1233</v>
      </c>
      <c r="H77" s="113" t="s">
        <v>56</v>
      </c>
      <c r="I77" s="114" t="s">
        <v>1721</v>
      </c>
      <c r="J77" s="115" t="s">
        <v>1393</v>
      </c>
      <c r="K77" s="114" t="s">
        <v>2001</v>
      </c>
      <c r="L77" s="114"/>
      <c r="M77" s="114"/>
      <c r="N77" s="114"/>
      <c r="O77" s="121"/>
      <c r="P77" s="123"/>
      <c r="Q77" s="123"/>
      <c r="R77" s="114"/>
      <c r="S77" s="114"/>
      <c r="T77" s="114"/>
      <c r="U77" s="114"/>
      <c r="V77" s="114"/>
      <c r="W77" s="114"/>
      <c r="X77" s="118"/>
    </row>
    <row r="78">
      <c r="A78" s="115" t="s">
        <v>366</v>
      </c>
      <c r="B78" s="111" t="s">
        <v>1442</v>
      </c>
      <c r="C78" s="111" t="s">
        <v>1443</v>
      </c>
      <c r="D78" s="111" t="s">
        <v>2169</v>
      </c>
      <c r="E78" s="111" t="s">
        <v>56</v>
      </c>
      <c r="F78" s="113" t="s">
        <v>1233</v>
      </c>
      <c r="G78" s="113" t="s">
        <v>1233</v>
      </c>
      <c r="H78" s="113" t="s">
        <v>56</v>
      </c>
      <c r="I78" s="114" t="s">
        <v>1721</v>
      </c>
      <c r="J78" s="115" t="s">
        <v>1393</v>
      </c>
      <c r="K78" s="114" t="s">
        <v>2003</v>
      </c>
      <c r="L78" s="114"/>
      <c r="M78" s="114"/>
      <c r="N78" s="114"/>
      <c r="O78" s="121"/>
      <c r="P78" s="123"/>
      <c r="Q78" s="123"/>
      <c r="R78" s="114"/>
      <c r="S78" s="114"/>
      <c r="T78" s="114"/>
      <c r="U78" s="114"/>
      <c r="V78" s="114"/>
      <c r="W78" s="114"/>
      <c r="X78" s="118"/>
    </row>
    <row r="79">
      <c r="A79" s="115" t="s">
        <v>344</v>
      </c>
      <c r="B79" s="111" t="s">
        <v>1432</v>
      </c>
      <c r="C79" s="111" t="s">
        <v>1433</v>
      </c>
      <c r="D79" s="111" t="s">
        <v>2170</v>
      </c>
      <c r="E79" s="111" t="s">
        <v>56</v>
      </c>
      <c r="F79" s="113" t="s">
        <v>1233</v>
      </c>
      <c r="G79" s="113" t="s">
        <v>1233</v>
      </c>
      <c r="H79" s="113" t="s">
        <v>56</v>
      </c>
      <c r="I79" s="114" t="s">
        <v>1721</v>
      </c>
      <c r="J79" s="115" t="s">
        <v>1393</v>
      </c>
      <c r="K79" s="114" t="s">
        <v>2005</v>
      </c>
      <c r="L79" s="114"/>
      <c r="M79" s="114"/>
      <c r="N79" s="114"/>
      <c r="O79" s="121"/>
      <c r="P79" s="123"/>
      <c r="Q79" s="123"/>
      <c r="R79" s="114"/>
      <c r="S79" s="114"/>
      <c r="T79" s="114"/>
      <c r="U79" s="114"/>
      <c r="V79" s="114"/>
      <c r="W79" s="114"/>
      <c r="X79" s="118"/>
    </row>
    <row r="80">
      <c r="A80" s="115" t="s">
        <v>370</v>
      </c>
      <c r="B80" s="111" t="s">
        <v>1444</v>
      </c>
      <c r="C80" s="111" t="s">
        <v>1445</v>
      </c>
      <c r="D80" s="111" t="s">
        <v>2171</v>
      </c>
      <c r="E80" s="111" t="s">
        <v>56</v>
      </c>
      <c r="F80" s="113" t="s">
        <v>1233</v>
      </c>
      <c r="G80" s="113" t="s">
        <v>1233</v>
      </c>
      <c r="H80" s="113" t="s">
        <v>56</v>
      </c>
      <c r="I80" s="114" t="s">
        <v>1721</v>
      </c>
      <c r="J80" s="115" t="s">
        <v>1395</v>
      </c>
      <c r="K80" s="114" t="s">
        <v>2001</v>
      </c>
      <c r="L80" s="114"/>
      <c r="M80" s="114"/>
      <c r="N80" s="114"/>
      <c r="O80" s="121"/>
      <c r="P80" s="123"/>
      <c r="Q80" s="123"/>
      <c r="R80" s="114"/>
      <c r="S80" s="114"/>
      <c r="T80" s="114"/>
      <c r="U80" s="114"/>
      <c r="V80" s="114"/>
      <c r="W80" s="114"/>
      <c r="X80" s="118"/>
    </row>
    <row r="81">
      <c r="A81" s="115" t="s">
        <v>372</v>
      </c>
      <c r="B81" s="111" t="s">
        <v>1446</v>
      </c>
      <c r="C81" s="111" t="s">
        <v>1447</v>
      </c>
      <c r="D81" s="111" t="s">
        <v>2172</v>
      </c>
      <c r="E81" s="111" t="s">
        <v>56</v>
      </c>
      <c r="F81" s="113" t="s">
        <v>1233</v>
      </c>
      <c r="G81" s="113" t="s">
        <v>1233</v>
      </c>
      <c r="H81" s="113" t="s">
        <v>56</v>
      </c>
      <c r="I81" s="114" t="s">
        <v>1721</v>
      </c>
      <c r="J81" s="115" t="s">
        <v>1395</v>
      </c>
      <c r="K81" s="114" t="s">
        <v>2003</v>
      </c>
      <c r="L81" s="114"/>
      <c r="M81" s="114"/>
      <c r="N81" s="114"/>
      <c r="O81" s="121"/>
      <c r="P81" s="123"/>
      <c r="Q81" s="123"/>
      <c r="R81" s="114"/>
      <c r="S81" s="114"/>
      <c r="T81" s="114"/>
      <c r="U81" s="114"/>
      <c r="V81" s="114"/>
      <c r="W81" s="114"/>
      <c r="X81" s="118"/>
    </row>
    <row r="82">
      <c r="A82" s="115" t="s">
        <v>374</v>
      </c>
      <c r="B82" s="111" t="s">
        <v>1448</v>
      </c>
      <c r="C82" s="111" t="s">
        <v>1449</v>
      </c>
      <c r="D82" s="111" t="s">
        <v>2173</v>
      </c>
      <c r="E82" s="111" t="s">
        <v>56</v>
      </c>
      <c r="F82" s="113" t="s">
        <v>1233</v>
      </c>
      <c r="G82" s="113" t="s">
        <v>1233</v>
      </c>
      <c r="H82" s="113" t="s">
        <v>56</v>
      </c>
      <c r="I82" s="114" t="s">
        <v>1721</v>
      </c>
      <c r="J82" s="115" t="s">
        <v>1395</v>
      </c>
      <c r="K82" s="114" t="s">
        <v>2005</v>
      </c>
      <c r="L82" s="114"/>
      <c r="M82" s="114"/>
      <c r="N82" s="114"/>
      <c r="O82" s="121"/>
      <c r="P82" s="123"/>
      <c r="Q82" s="123"/>
      <c r="R82" s="114"/>
      <c r="S82" s="114"/>
      <c r="T82" s="114"/>
      <c r="U82" s="114"/>
      <c r="V82" s="114"/>
      <c r="W82" s="114"/>
      <c r="X82" s="118"/>
    </row>
  </sheetData>
  <mergeCells count="4">
    <mergeCell ref="A1:B1"/>
    <mergeCell ref="F1:H1"/>
    <mergeCell ref="I1:P1"/>
    <mergeCell ref="Q1:X1"/>
  </mergeCells>
  <conditionalFormatting sqref="G3 O3 L4:L82 T4:T82">
    <cfRule type="cellIs" dxfId="3" priority="1" operator="equal">
      <formula>"Yes"</formula>
    </cfRule>
  </conditionalFormatting>
  <conditionalFormatting sqref="G3 O3 L4:L82 T4:T82">
    <cfRule type="cellIs" dxfId="4" priority="2" operator="equal">
      <formula>"No"</formula>
    </cfRule>
  </conditionalFormatting>
  <conditionalFormatting sqref="G3 O3 L4:L82 T4:T82">
    <cfRule type="cellIs" dxfId="5" priority="3" operator="equal">
      <formula>"Maybe"</formula>
    </cfRule>
  </conditionalFormatting>
  <conditionalFormatting sqref="H3 M4:M82 U4:U82">
    <cfRule type="cellIs" dxfId="3" priority="4" operator="equal">
      <formula>"No Issues"</formula>
    </cfRule>
  </conditionalFormatting>
  <conditionalFormatting sqref="H3 M4:M82 U4:U82">
    <cfRule type="cellIs" dxfId="4" priority="5" operator="equal">
      <formula>"Unresolved Issue"</formula>
    </cfRule>
  </conditionalFormatting>
  <conditionalFormatting sqref="H3 M4:M82 U4:U82">
    <cfRule type="cellIs" dxfId="6" priority="6" operator="equal">
      <formula>"Repaired Issue"</formula>
    </cfRule>
  </conditionalFormatting>
  <conditionalFormatting sqref="H3 M4:M82 U4:U82">
    <cfRule type="cellIs" dxfId="7" priority="7" operator="equal">
      <formula>"To Check (RCC)"</formula>
    </cfRule>
  </conditionalFormatting>
  <dataValidations>
    <dataValidation type="list" allowBlank="1" sqref="O3 L4:L82 T4:T82">
      <formula1>"Yes,Maybe,No"</formula1>
    </dataValidation>
    <dataValidation type="list" allowBlank="1" sqref="M4:M82 U4:U82">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s>
  <drawing r:id="rId15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3">IF($A$3:$A83&lt;&gt;"", XLOOKUP($A$3:$A83, Sourcepull!$B$3:$B83, Sourcepull!$A$3:$A83, ""), "")</f>
        <v/>
      </c>
      <c r="C3" s="57" t="str">
        <f t="array" ref="C3:C83">if($A$3:$A83&lt;&gt;"","SP-"&amp;$B$3:$B83&amp;"-"&amp;$A$3:$A83&amp;".pdf", "")</f>
        <v>SP--Keep this row hidden / do not edit!.pdf</v>
      </c>
      <c r="D3" s="57" t="str">
        <f t="array" ref="D3:D83">if($J$3:$J83&lt;&gt;"","R1-"&amp;$J$3:$J83&amp;"-"&amp;$K$3:$K83&amp;"-"&amp;$B$3:$B83&amp;"-"&amp;$A$3:$A83&amp;".pdf", "")</f>
        <v/>
      </c>
      <c r="E3" s="57" t="str">
        <f t="array" ref="E3:E83">if($R$3:$R83&lt;&gt;"","R2-"&amp;$R$3:$R83&amp;"-"&amp;$S$3:$S83&amp;"-"&amp;$B$3:$B83&amp;"-"&amp;$A$3:$A83&amp;".pdf", "")</f>
        <v/>
      </c>
      <c r="F3" s="107" t="str">
        <f t="array" ref="F3:F83">if($C$3:$C83 &lt;&gt; "", hyperlink("https://drive.google.com/drive/search?q=parent:" &amp; Properties!$C$8 &amp; "%20" &amp; char(34) &amp; $C$3:$C83 &amp; char(34), "➔"), "")</f>
        <v>➔</v>
      </c>
      <c r="G3" s="107" t="str">
        <f t="array" ref="G3:G83">if($D$3:$D83 &lt;&gt; "", hyperlink("https://drive.google.com/drive/search?q=parent:" &amp; Properties!$C$9 &amp; "%20" &amp; char(34) &amp; $D$3:$D83 &amp; char(34), "➔"), "")</f>
        <v/>
      </c>
      <c r="H3" s="107" t="str">
        <f t="array" ref="H3:H83">if($E$3:$E83 &lt;&gt; "", hyperlink("https://drive.google.com/drive/search?q=parent:" &amp; Properties!$C$10 &amp; "%20" &amp; char(34) &amp; $E$3:$E83 &amp; char(34), "➔"), "")</f>
        <v/>
      </c>
      <c r="I3" s="57"/>
      <c r="J3" s="57"/>
      <c r="K3" s="57"/>
      <c r="L3" s="57"/>
      <c r="M3" s="57"/>
      <c r="N3" s="57"/>
      <c r="O3" s="57"/>
      <c r="P3" s="108"/>
      <c r="Q3" s="109"/>
      <c r="R3" s="57"/>
      <c r="S3" s="57"/>
      <c r="T3" s="57"/>
      <c r="U3" s="57"/>
      <c r="V3" s="57"/>
      <c r="W3" s="57"/>
      <c r="X3" s="57"/>
    </row>
    <row r="4">
      <c r="A4" s="110" t="s">
        <v>370</v>
      </c>
      <c r="B4" s="111" t="s">
        <v>1444</v>
      </c>
      <c r="C4" s="111" t="s">
        <v>1445</v>
      </c>
      <c r="D4" s="111" t="s">
        <v>2174</v>
      </c>
      <c r="E4" s="111" t="s">
        <v>56</v>
      </c>
      <c r="F4" s="112" t="s">
        <v>1233</v>
      </c>
      <c r="G4" s="113" t="s">
        <v>1233</v>
      </c>
      <c r="H4" s="113" t="s">
        <v>56</v>
      </c>
      <c r="I4" s="114" t="s">
        <v>1559</v>
      </c>
      <c r="J4" s="115" t="s">
        <v>1398</v>
      </c>
      <c r="K4" s="114" t="s">
        <v>2001</v>
      </c>
      <c r="L4" s="114"/>
      <c r="M4" s="114"/>
      <c r="N4" s="114"/>
      <c r="O4" s="114"/>
      <c r="P4" s="116"/>
      <c r="Q4" s="117"/>
      <c r="R4" s="114"/>
      <c r="S4" s="114"/>
      <c r="T4" s="114"/>
      <c r="U4" s="114"/>
      <c r="V4" s="114"/>
      <c r="W4" s="114"/>
      <c r="X4" s="118"/>
    </row>
    <row r="5">
      <c r="A5" s="115" t="s">
        <v>277</v>
      </c>
      <c r="B5" s="111" t="s">
        <v>1408</v>
      </c>
      <c r="C5" s="111" t="s">
        <v>1409</v>
      </c>
      <c r="D5" s="111" t="s">
        <v>2175</v>
      </c>
      <c r="E5" s="111" t="s">
        <v>56</v>
      </c>
      <c r="F5" s="113" t="s">
        <v>1233</v>
      </c>
      <c r="G5" s="113" t="s">
        <v>1233</v>
      </c>
      <c r="H5" s="113" t="s">
        <v>56</v>
      </c>
      <c r="I5" s="114" t="s">
        <v>1559</v>
      </c>
      <c r="J5" s="115" t="s">
        <v>1400</v>
      </c>
      <c r="K5" s="114" t="s">
        <v>2001</v>
      </c>
      <c r="L5" s="114"/>
      <c r="M5" s="114"/>
      <c r="N5" s="119"/>
      <c r="O5" s="114"/>
      <c r="P5" s="120"/>
      <c r="Q5" s="117"/>
      <c r="R5" s="114"/>
      <c r="S5" s="114"/>
      <c r="T5" s="114"/>
      <c r="U5" s="114"/>
      <c r="V5" s="114"/>
      <c r="W5" s="114"/>
      <c r="X5" s="118"/>
    </row>
    <row r="6">
      <c r="A6" s="115" t="s">
        <v>380</v>
      </c>
      <c r="B6" s="111" t="s">
        <v>1450</v>
      </c>
      <c r="C6" s="111" t="s">
        <v>1451</v>
      </c>
      <c r="D6" s="111" t="s">
        <v>2176</v>
      </c>
      <c r="E6" s="111" t="s">
        <v>56</v>
      </c>
      <c r="F6" s="113" t="s">
        <v>1233</v>
      </c>
      <c r="G6" s="113" t="s">
        <v>1233</v>
      </c>
      <c r="H6" s="113" t="s">
        <v>56</v>
      </c>
      <c r="I6" s="114" t="s">
        <v>1559</v>
      </c>
      <c r="J6" s="115" t="s">
        <v>1400</v>
      </c>
      <c r="K6" s="114" t="s">
        <v>2003</v>
      </c>
      <c r="L6" s="114"/>
      <c r="M6" s="114"/>
      <c r="N6" s="114"/>
      <c r="O6" s="121"/>
      <c r="P6" s="116"/>
      <c r="Q6" s="117"/>
      <c r="R6" s="114"/>
      <c r="S6" s="114"/>
      <c r="T6" s="114"/>
      <c r="U6" s="114"/>
      <c r="V6" s="114"/>
      <c r="W6" s="114"/>
      <c r="X6" s="118"/>
    </row>
    <row r="7">
      <c r="A7" s="115" t="s">
        <v>279</v>
      </c>
      <c r="B7" s="111" t="s">
        <v>1410</v>
      </c>
      <c r="C7" s="111" t="s">
        <v>1411</v>
      </c>
      <c r="D7" s="111" t="s">
        <v>2177</v>
      </c>
      <c r="E7" s="111" t="s">
        <v>56</v>
      </c>
      <c r="F7" s="113" t="s">
        <v>1233</v>
      </c>
      <c r="G7" s="113" t="s">
        <v>1233</v>
      </c>
      <c r="H7" s="113" t="s">
        <v>56</v>
      </c>
      <c r="I7" s="114" t="s">
        <v>1559</v>
      </c>
      <c r="J7" s="115" t="s">
        <v>1400</v>
      </c>
      <c r="K7" s="114" t="s">
        <v>2005</v>
      </c>
      <c r="L7" s="114"/>
      <c r="M7" s="114"/>
      <c r="N7" s="114"/>
      <c r="O7" s="121"/>
      <c r="P7" s="122"/>
      <c r="Q7" s="123"/>
      <c r="R7" s="114"/>
      <c r="S7" s="114"/>
      <c r="T7" s="114"/>
      <c r="U7" s="114"/>
      <c r="V7" s="114"/>
      <c r="W7" s="114"/>
      <c r="X7" s="118"/>
    </row>
    <row r="8">
      <c r="A8" s="115" t="s">
        <v>384</v>
      </c>
      <c r="B8" s="111" t="s">
        <v>1452</v>
      </c>
      <c r="C8" s="111" t="s">
        <v>1453</v>
      </c>
      <c r="D8" s="111" t="s">
        <v>2178</v>
      </c>
      <c r="E8" s="111" t="s">
        <v>56</v>
      </c>
      <c r="F8" s="113" t="s">
        <v>1233</v>
      </c>
      <c r="G8" s="113" t="s">
        <v>1233</v>
      </c>
      <c r="H8" s="113" t="s">
        <v>56</v>
      </c>
      <c r="I8" s="114" t="s">
        <v>1559</v>
      </c>
      <c r="J8" s="115" t="s">
        <v>1402</v>
      </c>
      <c r="K8" s="114" t="s">
        <v>2001</v>
      </c>
      <c r="L8" s="114"/>
      <c r="M8" s="114"/>
      <c r="N8" s="114"/>
      <c r="O8" s="121"/>
      <c r="P8" s="122"/>
      <c r="Q8" s="123"/>
      <c r="R8" s="114"/>
      <c r="S8" s="114"/>
      <c r="T8" s="114"/>
      <c r="U8" s="114"/>
      <c r="V8" s="114"/>
      <c r="W8" s="114"/>
      <c r="X8" s="118"/>
    </row>
    <row r="9">
      <c r="A9" s="115" t="s">
        <v>362</v>
      </c>
      <c r="B9" s="111" t="s">
        <v>1440</v>
      </c>
      <c r="C9" s="111" t="s">
        <v>1441</v>
      </c>
      <c r="D9" s="111" t="s">
        <v>2179</v>
      </c>
      <c r="E9" s="111" t="s">
        <v>56</v>
      </c>
      <c r="F9" s="113" t="s">
        <v>1233</v>
      </c>
      <c r="G9" s="113" t="s">
        <v>1233</v>
      </c>
      <c r="H9" s="113" t="s">
        <v>56</v>
      </c>
      <c r="I9" s="114" t="s">
        <v>1559</v>
      </c>
      <c r="J9" s="115" t="s">
        <v>1402</v>
      </c>
      <c r="K9" s="114" t="s">
        <v>2003</v>
      </c>
      <c r="L9" s="114"/>
      <c r="M9" s="114"/>
      <c r="N9" s="114"/>
      <c r="O9" s="121"/>
      <c r="P9" s="122"/>
      <c r="Q9" s="123"/>
      <c r="R9" s="114"/>
      <c r="S9" s="114"/>
      <c r="T9" s="114"/>
      <c r="U9" s="114"/>
      <c r="V9" s="114"/>
      <c r="W9" s="114"/>
      <c r="X9" s="118"/>
    </row>
    <row r="10">
      <c r="A10" s="115" t="s">
        <v>184</v>
      </c>
      <c r="B10" s="111" t="s">
        <v>1341</v>
      </c>
      <c r="C10" s="111" t="s">
        <v>1342</v>
      </c>
      <c r="D10" s="111" t="s">
        <v>2180</v>
      </c>
      <c r="E10" s="111" t="s">
        <v>56</v>
      </c>
      <c r="F10" s="113" t="s">
        <v>1233</v>
      </c>
      <c r="G10" s="113" t="s">
        <v>1233</v>
      </c>
      <c r="H10" s="113" t="s">
        <v>56</v>
      </c>
      <c r="I10" s="114" t="s">
        <v>1559</v>
      </c>
      <c r="J10" s="115" t="s">
        <v>1404</v>
      </c>
      <c r="K10" s="114" t="s">
        <v>2001</v>
      </c>
      <c r="L10" s="114"/>
      <c r="M10" s="114"/>
      <c r="N10" s="114"/>
      <c r="O10" s="121"/>
      <c r="P10" s="122"/>
      <c r="Q10" s="123"/>
      <c r="R10" s="114"/>
      <c r="S10" s="114"/>
      <c r="T10" s="114"/>
      <c r="U10" s="114"/>
      <c r="V10" s="114"/>
      <c r="W10" s="114"/>
      <c r="X10" s="118"/>
    </row>
    <row r="11">
      <c r="A11" s="115" t="s">
        <v>370</v>
      </c>
      <c r="B11" s="111" t="s">
        <v>1444</v>
      </c>
      <c r="C11" s="111" t="s">
        <v>1445</v>
      </c>
      <c r="D11" s="111" t="s">
        <v>2181</v>
      </c>
      <c r="E11" s="111" t="s">
        <v>56</v>
      </c>
      <c r="F11" s="113" t="s">
        <v>1233</v>
      </c>
      <c r="G11" s="113" t="s">
        <v>1233</v>
      </c>
      <c r="H11" s="113" t="s">
        <v>56</v>
      </c>
      <c r="I11" s="114" t="s">
        <v>1559</v>
      </c>
      <c r="J11" s="115" t="s">
        <v>1406</v>
      </c>
      <c r="K11" s="114" t="s">
        <v>2001</v>
      </c>
      <c r="L11" s="114"/>
      <c r="M11" s="114"/>
      <c r="N11" s="114"/>
      <c r="O11" s="121"/>
      <c r="P11" s="122"/>
      <c r="Q11" s="123"/>
      <c r="R11" s="114"/>
      <c r="S11" s="114"/>
      <c r="T11" s="114"/>
      <c r="U11" s="114"/>
      <c r="V11" s="114"/>
      <c r="W11" s="114"/>
      <c r="X11" s="118"/>
    </row>
    <row r="12">
      <c r="A12" s="115" t="s">
        <v>370</v>
      </c>
      <c r="B12" s="111" t="s">
        <v>1444</v>
      </c>
      <c r="C12" s="111" t="s">
        <v>1445</v>
      </c>
      <c r="D12" s="111" t="s">
        <v>2182</v>
      </c>
      <c r="E12" s="111" t="s">
        <v>56</v>
      </c>
      <c r="F12" s="113" t="s">
        <v>1233</v>
      </c>
      <c r="G12" s="113" t="s">
        <v>1233</v>
      </c>
      <c r="H12" s="113" t="s">
        <v>56</v>
      </c>
      <c r="I12" s="114" t="s">
        <v>1559</v>
      </c>
      <c r="J12" s="115" t="s">
        <v>1408</v>
      </c>
      <c r="K12" s="114" t="s">
        <v>2001</v>
      </c>
      <c r="L12" s="114"/>
      <c r="M12" s="114"/>
      <c r="N12" s="114"/>
      <c r="O12" s="121"/>
      <c r="P12" s="123"/>
      <c r="Q12" s="123"/>
      <c r="R12" s="114"/>
      <c r="S12" s="114"/>
      <c r="T12" s="114"/>
      <c r="U12" s="114"/>
      <c r="V12" s="114"/>
      <c r="W12" s="114"/>
      <c r="X12" s="118"/>
    </row>
    <row r="13">
      <c r="A13" s="115" t="s">
        <v>393</v>
      </c>
      <c r="B13" s="111" t="s">
        <v>1454</v>
      </c>
      <c r="C13" s="111" t="s">
        <v>1455</v>
      </c>
      <c r="D13" s="111" t="s">
        <v>2183</v>
      </c>
      <c r="E13" s="111" t="s">
        <v>56</v>
      </c>
      <c r="F13" s="113" t="s">
        <v>1233</v>
      </c>
      <c r="G13" s="113" t="s">
        <v>1233</v>
      </c>
      <c r="H13" s="113" t="s">
        <v>56</v>
      </c>
      <c r="I13" s="114" t="s">
        <v>1559</v>
      </c>
      <c r="J13" s="115" t="s">
        <v>1408</v>
      </c>
      <c r="K13" s="114" t="s">
        <v>2003</v>
      </c>
      <c r="L13" s="114"/>
      <c r="M13" s="114"/>
      <c r="N13" s="114"/>
      <c r="O13" s="121"/>
      <c r="P13" s="123"/>
      <c r="Q13" s="123"/>
      <c r="R13" s="114"/>
      <c r="S13" s="114"/>
      <c r="T13" s="114"/>
      <c r="U13" s="114"/>
      <c r="V13" s="114"/>
      <c r="W13" s="114"/>
      <c r="X13" s="118"/>
    </row>
    <row r="14">
      <c r="A14" s="115" t="s">
        <v>395</v>
      </c>
      <c r="B14" s="111" t="s">
        <v>1456</v>
      </c>
      <c r="C14" s="111" t="s">
        <v>1457</v>
      </c>
      <c r="D14" s="111" t="s">
        <v>2184</v>
      </c>
      <c r="E14" s="111" t="s">
        <v>56</v>
      </c>
      <c r="F14" s="113" t="s">
        <v>1233</v>
      </c>
      <c r="G14" s="113" t="s">
        <v>1233</v>
      </c>
      <c r="H14" s="113" t="s">
        <v>56</v>
      </c>
      <c r="I14" s="114" t="s">
        <v>1559</v>
      </c>
      <c r="J14" s="115" t="s">
        <v>1408</v>
      </c>
      <c r="K14" s="114" t="s">
        <v>2005</v>
      </c>
      <c r="L14" s="114"/>
      <c r="M14" s="114"/>
      <c r="N14" s="114"/>
      <c r="O14" s="121"/>
      <c r="P14" s="123"/>
      <c r="Q14" s="123"/>
      <c r="R14" s="114"/>
      <c r="S14" s="114"/>
      <c r="T14" s="114"/>
      <c r="U14" s="114"/>
      <c r="V14" s="114"/>
      <c r="W14" s="114"/>
      <c r="X14" s="118"/>
    </row>
    <row r="15">
      <c r="A15" s="115" t="s">
        <v>256</v>
      </c>
      <c r="B15" s="111" t="s">
        <v>1393</v>
      </c>
      <c r="C15" s="111" t="s">
        <v>1394</v>
      </c>
      <c r="D15" s="111" t="s">
        <v>2185</v>
      </c>
      <c r="E15" s="111" t="s">
        <v>56</v>
      </c>
      <c r="F15" s="113" t="s">
        <v>1233</v>
      </c>
      <c r="G15" s="113" t="s">
        <v>1233</v>
      </c>
      <c r="H15" s="113" t="s">
        <v>56</v>
      </c>
      <c r="I15" s="114" t="s">
        <v>1559</v>
      </c>
      <c r="J15" s="115" t="s">
        <v>1408</v>
      </c>
      <c r="K15" s="114" t="s">
        <v>2007</v>
      </c>
      <c r="L15" s="114"/>
      <c r="M15" s="114"/>
      <c r="N15" s="114"/>
      <c r="O15" s="121"/>
      <c r="P15" s="123"/>
      <c r="Q15" s="123"/>
      <c r="R15" s="114"/>
      <c r="S15" s="114"/>
      <c r="T15" s="114"/>
      <c r="U15" s="114"/>
      <c r="V15" s="114"/>
      <c r="W15" s="114"/>
      <c r="X15" s="118"/>
    </row>
    <row r="16">
      <c r="A16" s="115" t="s">
        <v>184</v>
      </c>
      <c r="B16" s="111" t="s">
        <v>1341</v>
      </c>
      <c r="C16" s="111" t="s">
        <v>1342</v>
      </c>
      <c r="D16" s="111" t="s">
        <v>2186</v>
      </c>
      <c r="E16" s="111" t="s">
        <v>56</v>
      </c>
      <c r="F16" s="113" t="s">
        <v>1233</v>
      </c>
      <c r="G16" s="113" t="s">
        <v>1233</v>
      </c>
      <c r="H16" s="113" t="s">
        <v>56</v>
      </c>
      <c r="I16" s="114" t="s">
        <v>1559</v>
      </c>
      <c r="J16" s="115" t="s">
        <v>1410</v>
      </c>
      <c r="K16" s="114" t="s">
        <v>2001</v>
      </c>
      <c r="L16" s="114"/>
      <c r="M16" s="114"/>
      <c r="N16" s="114"/>
      <c r="O16" s="121"/>
      <c r="P16" s="123"/>
      <c r="Q16" s="123"/>
      <c r="R16" s="114"/>
      <c r="S16" s="114"/>
      <c r="T16" s="114"/>
      <c r="U16" s="114"/>
      <c r="V16" s="114"/>
      <c r="W16" s="114"/>
      <c r="X16" s="118"/>
    </row>
    <row r="17">
      <c r="A17" s="115" t="s">
        <v>96</v>
      </c>
      <c r="B17" s="111" t="s">
        <v>1270</v>
      </c>
      <c r="C17" s="111" t="s">
        <v>1271</v>
      </c>
      <c r="D17" s="111" t="s">
        <v>2187</v>
      </c>
      <c r="E17" s="111" t="s">
        <v>56</v>
      </c>
      <c r="F17" s="113" t="s">
        <v>1233</v>
      </c>
      <c r="G17" s="113" t="s">
        <v>1233</v>
      </c>
      <c r="H17" s="113" t="s">
        <v>56</v>
      </c>
      <c r="I17" s="114" t="s">
        <v>1559</v>
      </c>
      <c r="J17" s="115" t="s">
        <v>1412</v>
      </c>
      <c r="K17" s="114" t="s">
        <v>2001</v>
      </c>
      <c r="L17" s="114"/>
      <c r="M17" s="114"/>
      <c r="N17" s="114"/>
      <c r="O17" s="121"/>
      <c r="P17" s="123"/>
      <c r="Q17" s="123"/>
      <c r="R17" s="114"/>
      <c r="S17" s="114"/>
      <c r="T17" s="114"/>
      <c r="U17" s="114"/>
      <c r="V17" s="114"/>
      <c r="W17" s="114"/>
      <c r="X17" s="118"/>
    </row>
    <row r="18">
      <c r="A18" s="115" t="s">
        <v>96</v>
      </c>
      <c r="B18" s="111" t="s">
        <v>1270</v>
      </c>
      <c r="C18" s="111" t="s">
        <v>1271</v>
      </c>
      <c r="D18" s="111" t="s">
        <v>2188</v>
      </c>
      <c r="E18" s="111" t="s">
        <v>56</v>
      </c>
      <c r="F18" s="113" t="s">
        <v>1233</v>
      </c>
      <c r="G18" s="113" t="s">
        <v>1233</v>
      </c>
      <c r="H18" s="113" t="s">
        <v>56</v>
      </c>
      <c r="I18" s="114" t="s">
        <v>1559</v>
      </c>
      <c r="J18" s="115" t="s">
        <v>1414</v>
      </c>
      <c r="K18" s="114" t="s">
        <v>2001</v>
      </c>
      <c r="L18" s="114"/>
      <c r="M18" s="114"/>
      <c r="N18" s="114"/>
      <c r="O18" s="121"/>
      <c r="P18" s="123"/>
      <c r="Q18" s="123"/>
      <c r="R18" s="114"/>
      <c r="S18" s="114"/>
      <c r="T18" s="114"/>
      <c r="U18" s="114"/>
      <c r="V18" s="114"/>
      <c r="W18" s="114"/>
      <c r="X18" s="118"/>
    </row>
    <row r="19">
      <c r="A19" s="115" t="s">
        <v>96</v>
      </c>
      <c r="B19" s="111" t="s">
        <v>1270</v>
      </c>
      <c r="C19" s="111" t="s">
        <v>1271</v>
      </c>
      <c r="D19" s="111" t="s">
        <v>2189</v>
      </c>
      <c r="E19" s="111" t="s">
        <v>56</v>
      </c>
      <c r="F19" s="113" t="s">
        <v>1233</v>
      </c>
      <c r="G19" s="113" t="s">
        <v>1233</v>
      </c>
      <c r="H19" s="113" t="s">
        <v>56</v>
      </c>
      <c r="I19" s="114" t="s">
        <v>1559</v>
      </c>
      <c r="J19" s="115" t="s">
        <v>1416</v>
      </c>
      <c r="K19" s="114" t="s">
        <v>2001</v>
      </c>
      <c r="L19" s="114"/>
      <c r="M19" s="114"/>
      <c r="N19" s="114"/>
      <c r="O19" s="121"/>
      <c r="P19" s="123"/>
      <c r="Q19" s="123"/>
      <c r="R19" s="114"/>
      <c r="S19" s="114"/>
      <c r="T19" s="114"/>
      <c r="U19" s="114"/>
      <c r="V19" s="114"/>
      <c r="W19" s="114"/>
      <c r="X19" s="118"/>
    </row>
    <row r="20">
      <c r="A20" s="115" t="s">
        <v>407</v>
      </c>
      <c r="B20" s="111" t="s">
        <v>1458</v>
      </c>
      <c r="C20" s="111" t="s">
        <v>1459</v>
      </c>
      <c r="D20" s="111" t="s">
        <v>2190</v>
      </c>
      <c r="E20" s="111" t="s">
        <v>56</v>
      </c>
      <c r="F20" s="113" t="s">
        <v>1233</v>
      </c>
      <c r="G20" s="113" t="s">
        <v>1233</v>
      </c>
      <c r="H20" s="113" t="s">
        <v>56</v>
      </c>
      <c r="I20" s="114" t="s">
        <v>1559</v>
      </c>
      <c r="J20" s="115" t="s">
        <v>1418</v>
      </c>
      <c r="K20" s="114" t="s">
        <v>2001</v>
      </c>
      <c r="L20" s="114"/>
      <c r="M20" s="114"/>
      <c r="N20" s="114"/>
      <c r="O20" s="121"/>
      <c r="P20" s="123"/>
      <c r="Q20" s="123"/>
      <c r="R20" s="114"/>
      <c r="S20" s="114"/>
      <c r="T20" s="114"/>
      <c r="U20" s="114"/>
      <c r="V20" s="114"/>
      <c r="W20" s="114"/>
      <c r="X20" s="118"/>
    </row>
    <row r="21">
      <c r="A21" s="115" t="s">
        <v>96</v>
      </c>
      <c r="B21" s="111" t="s">
        <v>1270</v>
      </c>
      <c r="C21" s="111" t="s">
        <v>1271</v>
      </c>
      <c r="D21" s="111" t="s">
        <v>2191</v>
      </c>
      <c r="E21" s="111" t="s">
        <v>56</v>
      </c>
      <c r="F21" s="113" t="s">
        <v>1233</v>
      </c>
      <c r="G21" s="113" t="s">
        <v>1233</v>
      </c>
      <c r="H21" s="113" t="s">
        <v>56</v>
      </c>
      <c r="I21" s="114" t="s">
        <v>1559</v>
      </c>
      <c r="J21" s="115" t="s">
        <v>1418</v>
      </c>
      <c r="K21" s="114" t="s">
        <v>2003</v>
      </c>
      <c r="L21" s="114"/>
      <c r="M21" s="114"/>
      <c r="N21" s="114"/>
      <c r="O21" s="121"/>
      <c r="P21" s="123"/>
      <c r="Q21" s="123"/>
      <c r="R21" s="114"/>
      <c r="S21" s="114"/>
      <c r="T21" s="114"/>
      <c r="U21" s="114"/>
      <c r="V21" s="114"/>
      <c r="W21" s="114"/>
      <c r="X21" s="118"/>
    </row>
    <row r="22">
      <c r="A22" s="115" t="s">
        <v>96</v>
      </c>
      <c r="B22" s="111" t="s">
        <v>1270</v>
      </c>
      <c r="C22" s="111" t="s">
        <v>1271</v>
      </c>
      <c r="D22" s="111" t="s">
        <v>2192</v>
      </c>
      <c r="E22" s="111" t="s">
        <v>56</v>
      </c>
      <c r="F22" s="113" t="s">
        <v>1233</v>
      </c>
      <c r="G22" s="113" t="s">
        <v>1233</v>
      </c>
      <c r="H22" s="113" t="s">
        <v>56</v>
      </c>
      <c r="I22" s="114" t="s">
        <v>1559</v>
      </c>
      <c r="J22" s="115" t="s">
        <v>1420</v>
      </c>
      <c r="K22" s="114" t="s">
        <v>2001</v>
      </c>
      <c r="L22" s="114"/>
      <c r="M22" s="114"/>
      <c r="N22" s="114"/>
      <c r="O22" s="121"/>
      <c r="P22" s="123"/>
      <c r="Q22" s="123"/>
      <c r="R22" s="114"/>
      <c r="S22" s="114"/>
      <c r="T22" s="114"/>
      <c r="U22" s="114"/>
      <c r="V22" s="114"/>
      <c r="W22" s="114"/>
      <c r="X22" s="118"/>
    </row>
    <row r="23">
      <c r="A23" s="115" t="s">
        <v>412</v>
      </c>
      <c r="B23" s="111" t="s">
        <v>1460</v>
      </c>
      <c r="C23" s="111" t="s">
        <v>1461</v>
      </c>
      <c r="D23" s="111" t="s">
        <v>2193</v>
      </c>
      <c r="E23" s="111" t="s">
        <v>56</v>
      </c>
      <c r="F23" s="113" t="s">
        <v>1233</v>
      </c>
      <c r="G23" s="113" t="s">
        <v>1233</v>
      </c>
      <c r="H23" s="113" t="s">
        <v>56</v>
      </c>
      <c r="I23" s="114" t="s">
        <v>1559</v>
      </c>
      <c r="J23" s="115" t="s">
        <v>1420</v>
      </c>
      <c r="K23" s="114" t="s">
        <v>2003</v>
      </c>
      <c r="L23" s="114"/>
      <c r="M23" s="114"/>
      <c r="N23" s="114"/>
      <c r="O23" s="121"/>
      <c r="P23" s="123"/>
      <c r="Q23" s="123"/>
      <c r="R23" s="114"/>
      <c r="S23" s="114"/>
      <c r="T23" s="114"/>
      <c r="U23" s="114"/>
      <c r="V23" s="114"/>
      <c r="W23" s="114"/>
      <c r="X23" s="118"/>
    </row>
    <row r="24">
      <c r="A24" s="115" t="s">
        <v>414</v>
      </c>
      <c r="B24" s="111" t="s">
        <v>1270</v>
      </c>
      <c r="C24" s="111" t="s">
        <v>2194</v>
      </c>
      <c r="D24" s="111" t="s">
        <v>2195</v>
      </c>
      <c r="E24" s="111" t="s">
        <v>56</v>
      </c>
      <c r="F24" s="113" t="s">
        <v>1233</v>
      </c>
      <c r="G24" s="113" t="s">
        <v>1233</v>
      </c>
      <c r="H24" s="113" t="s">
        <v>56</v>
      </c>
      <c r="I24" s="114" t="s">
        <v>1559</v>
      </c>
      <c r="J24" s="115" t="s">
        <v>1420</v>
      </c>
      <c r="K24" s="114" t="s">
        <v>2005</v>
      </c>
      <c r="L24" s="114"/>
      <c r="M24" s="114"/>
      <c r="N24" s="114"/>
      <c r="O24" s="121"/>
      <c r="P24" s="123"/>
      <c r="Q24" s="123"/>
      <c r="R24" s="114"/>
      <c r="S24" s="114"/>
      <c r="T24" s="114"/>
      <c r="U24" s="114"/>
      <c r="V24" s="114"/>
      <c r="W24" s="114"/>
      <c r="X24" s="118"/>
    </row>
    <row r="25">
      <c r="A25" s="115" t="s">
        <v>182</v>
      </c>
      <c r="B25" s="111" t="s">
        <v>1339</v>
      </c>
      <c r="C25" s="111" t="s">
        <v>1340</v>
      </c>
      <c r="D25" s="111" t="s">
        <v>2196</v>
      </c>
      <c r="E25" s="111" t="s">
        <v>56</v>
      </c>
      <c r="F25" s="113" t="s">
        <v>1233</v>
      </c>
      <c r="G25" s="113" t="s">
        <v>1233</v>
      </c>
      <c r="H25" s="113" t="s">
        <v>56</v>
      </c>
      <c r="I25" s="114" t="s">
        <v>1559</v>
      </c>
      <c r="J25" s="115" t="s">
        <v>1422</v>
      </c>
      <c r="K25" s="114" t="s">
        <v>2001</v>
      </c>
      <c r="L25" s="114"/>
      <c r="M25" s="114"/>
      <c r="N25" s="114"/>
      <c r="O25" s="121"/>
      <c r="P25" s="123"/>
      <c r="Q25" s="123"/>
      <c r="R25" s="114"/>
      <c r="S25" s="114"/>
      <c r="T25" s="114"/>
      <c r="U25" s="114"/>
      <c r="V25" s="114"/>
      <c r="W25" s="114"/>
      <c r="X25" s="118"/>
    </row>
    <row r="26">
      <c r="A26" s="115" t="s">
        <v>418</v>
      </c>
      <c r="B26" s="111" t="s">
        <v>1462</v>
      </c>
      <c r="C26" s="111" t="s">
        <v>1463</v>
      </c>
      <c r="D26" s="111" t="s">
        <v>2197</v>
      </c>
      <c r="E26" s="111" t="s">
        <v>56</v>
      </c>
      <c r="F26" s="113" t="s">
        <v>1233</v>
      </c>
      <c r="G26" s="113" t="s">
        <v>1233</v>
      </c>
      <c r="H26" s="113" t="s">
        <v>56</v>
      </c>
      <c r="I26" s="114" t="s">
        <v>1559</v>
      </c>
      <c r="J26" s="115" t="s">
        <v>1422</v>
      </c>
      <c r="K26" s="114" t="s">
        <v>2003</v>
      </c>
      <c r="L26" s="114"/>
      <c r="M26" s="114"/>
      <c r="N26" s="114"/>
      <c r="O26" s="121"/>
      <c r="P26" s="123"/>
      <c r="Q26" s="123"/>
      <c r="R26" s="114"/>
      <c r="S26" s="114"/>
      <c r="T26" s="114"/>
      <c r="U26" s="114"/>
      <c r="V26" s="114"/>
      <c r="W26" s="114"/>
      <c r="X26" s="118"/>
    </row>
    <row r="27">
      <c r="A27" s="115" t="s">
        <v>421</v>
      </c>
      <c r="B27" s="111" t="s">
        <v>1464</v>
      </c>
      <c r="C27" s="111" t="s">
        <v>1465</v>
      </c>
      <c r="D27" s="111" t="s">
        <v>2198</v>
      </c>
      <c r="E27" s="111" t="s">
        <v>56</v>
      </c>
      <c r="F27" s="113" t="s">
        <v>1233</v>
      </c>
      <c r="G27" s="113" t="s">
        <v>1233</v>
      </c>
      <c r="H27" s="113" t="s">
        <v>56</v>
      </c>
      <c r="I27" s="114" t="s">
        <v>1559</v>
      </c>
      <c r="J27" s="115" t="s">
        <v>1424</v>
      </c>
      <c r="K27" s="114" t="s">
        <v>2001</v>
      </c>
      <c r="L27" s="114"/>
      <c r="M27" s="114"/>
      <c r="N27" s="114"/>
      <c r="O27" s="121"/>
      <c r="P27" s="123"/>
      <c r="Q27" s="123"/>
      <c r="R27" s="114"/>
      <c r="S27" s="114"/>
      <c r="T27" s="114"/>
      <c r="U27" s="114"/>
      <c r="V27" s="114"/>
      <c r="W27" s="114"/>
      <c r="X27" s="118"/>
    </row>
    <row r="28">
      <c r="A28" s="115" t="s">
        <v>423</v>
      </c>
      <c r="B28" s="111" t="s">
        <v>1466</v>
      </c>
      <c r="C28" s="111" t="s">
        <v>1467</v>
      </c>
      <c r="D28" s="111" t="s">
        <v>2199</v>
      </c>
      <c r="E28" s="111" t="s">
        <v>56</v>
      </c>
      <c r="F28" s="113" t="s">
        <v>1233</v>
      </c>
      <c r="G28" s="113" t="s">
        <v>1233</v>
      </c>
      <c r="H28" s="113" t="s">
        <v>56</v>
      </c>
      <c r="I28" s="114" t="s">
        <v>1559</v>
      </c>
      <c r="J28" s="115" t="s">
        <v>1424</v>
      </c>
      <c r="K28" s="114" t="s">
        <v>2003</v>
      </c>
      <c r="L28" s="114"/>
      <c r="M28" s="114"/>
      <c r="N28" s="114"/>
      <c r="O28" s="121"/>
      <c r="P28" s="123"/>
      <c r="Q28" s="123"/>
      <c r="R28" s="114"/>
      <c r="S28" s="114"/>
      <c r="T28" s="114"/>
      <c r="U28" s="114"/>
      <c r="V28" s="114"/>
      <c r="W28" s="114"/>
      <c r="X28" s="118"/>
    </row>
    <row r="29">
      <c r="A29" s="115" t="s">
        <v>425</v>
      </c>
      <c r="B29" s="111" t="s">
        <v>1468</v>
      </c>
      <c r="C29" s="111" t="s">
        <v>1469</v>
      </c>
      <c r="D29" s="111" t="s">
        <v>2200</v>
      </c>
      <c r="E29" s="111" t="s">
        <v>56</v>
      </c>
      <c r="F29" s="113" t="s">
        <v>1233</v>
      </c>
      <c r="G29" s="113" t="s">
        <v>1233</v>
      </c>
      <c r="H29" s="113" t="s">
        <v>56</v>
      </c>
      <c r="I29" s="114" t="s">
        <v>1559</v>
      </c>
      <c r="J29" s="115" t="s">
        <v>1424</v>
      </c>
      <c r="K29" s="114" t="s">
        <v>2005</v>
      </c>
      <c r="L29" s="114"/>
      <c r="M29" s="114"/>
      <c r="N29" s="114"/>
      <c r="O29" s="121"/>
      <c r="P29" s="123"/>
      <c r="Q29" s="123"/>
      <c r="R29" s="114"/>
      <c r="S29" s="114"/>
      <c r="T29" s="114"/>
      <c r="U29" s="114"/>
      <c r="V29" s="114"/>
      <c r="W29" s="114"/>
      <c r="X29" s="118"/>
    </row>
    <row r="30">
      <c r="A30" s="115" t="s">
        <v>428</v>
      </c>
      <c r="B30" s="111" t="s">
        <v>1470</v>
      </c>
      <c r="C30" s="111" t="s">
        <v>1471</v>
      </c>
      <c r="D30" s="111" t="s">
        <v>2201</v>
      </c>
      <c r="E30" s="111" t="s">
        <v>56</v>
      </c>
      <c r="F30" s="113" t="s">
        <v>1233</v>
      </c>
      <c r="G30" s="113" t="s">
        <v>1233</v>
      </c>
      <c r="H30" s="113" t="s">
        <v>56</v>
      </c>
      <c r="I30" s="114" t="s">
        <v>1559</v>
      </c>
      <c r="J30" s="115" t="s">
        <v>1426</v>
      </c>
      <c r="K30" s="114" t="s">
        <v>2001</v>
      </c>
      <c r="L30" s="114"/>
      <c r="M30" s="114"/>
      <c r="N30" s="114"/>
      <c r="O30" s="121"/>
      <c r="P30" s="123"/>
      <c r="Q30" s="123"/>
      <c r="R30" s="114"/>
      <c r="S30" s="114"/>
      <c r="T30" s="114"/>
      <c r="U30" s="114"/>
      <c r="V30" s="114"/>
      <c r="W30" s="114"/>
      <c r="X30" s="118"/>
    </row>
    <row r="31">
      <c r="A31" s="115" t="s">
        <v>258</v>
      </c>
      <c r="B31" s="111" t="s">
        <v>1395</v>
      </c>
      <c r="C31" s="111" t="s">
        <v>1396</v>
      </c>
      <c r="D31" s="111" t="s">
        <v>2202</v>
      </c>
      <c r="E31" s="111" t="s">
        <v>56</v>
      </c>
      <c r="F31" s="113" t="s">
        <v>1233</v>
      </c>
      <c r="G31" s="113" t="s">
        <v>1233</v>
      </c>
      <c r="H31" s="113" t="s">
        <v>56</v>
      </c>
      <c r="I31" s="114" t="s">
        <v>1559</v>
      </c>
      <c r="J31" s="115" t="s">
        <v>1428</v>
      </c>
      <c r="K31" s="114" t="s">
        <v>2001</v>
      </c>
      <c r="L31" s="114"/>
      <c r="M31" s="114"/>
      <c r="N31" s="114"/>
      <c r="O31" s="121"/>
      <c r="P31" s="123"/>
      <c r="Q31" s="123"/>
      <c r="R31" s="114"/>
      <c r="S31" s="114"/>
      <c r="T31" s="114"/>
      <c r="U31" s="114"/>
      <c r="V31" s="114"/>
      <c r="W31" s="114"/>
      <c r="X31" s="118"/>
    </row>
    <row r="32">
      <c r="A32" s="115" t="s">
        <v>103</v>
      </c>
      <c r="B32" s="111" t="s">
        <v>1276</v>
      </c>
      <c r="C32" s="111" t="s">
        <v>1277</v>
      </c>
      <c r="D32" s="111" t="s">
        <v>2203</v>
      </c>
      <c r="E32" s="111" t="s">
        <v>56</v>
      </c>
      <c r="F32" s="113" t="s">
        <v>1233</v>
      </c>
      <c r="G32" s="113" t="s">
        <v>1233</v>
      </c>
      <c r="H32" s="113" t="s">
        <v>56</v>
      </c>
      <c r="I32" s="114" t="s">
        <v>1559</v>
      </c>
      <c r="J32" s="115" t="s">
        <v>1428</v>
      </c>
      <c r="K32" s="114" t="s">
        <v>2003</v>
      </c>
      <c r="L32" s="114"/>
      <c r="M32" s="114"/>
      <c r="N32" s="114"/>
      <c r="O32" s="121"/>
      <c r="P32" s="123"/>
      <c r="Q32" s="123"/>
      <c r="R32" s="114"/>
      <c r="S32" s="114"/>
      <c r="T32" s="114"/>
      <c r="U32" s="114"/>
      <c r="V32" s="114"/>
      <c r="W32" s="114"/>
      <c r="X32" s="118"/>
    </row>
    <row r="33">
      <c r="A33" s="115" t="s">
        <v>434</v>
      </c>
      <c r="B33" s="111" t="s">
        <v>1472</v>
      </c>
      <c r="C33" s="111" t="s">
        <v>1473</v>
      </c>
      <c r="D33" s="111" t="s">
        <v>2204</v>
      </c>
      <c r="E33" s="111" t="s">
        <v>56</v>
      </c>
      <c r="F33" s="113" t="s">
        <v>1233</v>
      </c>
      <c r="G33" s="113" t="s">
        <v>1233</v>
      </c>
      <c r="H33" s="113" t="s">
        <v>56</v>
      </c>
      <c r="I33" s="114" t="s">
        <v>1559</v>
      </c>
      <c r="J33" s="115" t="s">
        <v>1430</v>
      </c>
      <c r="K33" s="114" t="s">
        <v>2001</v>
      </c>
      <c r="L33" s="114"/>
      <c r="M33" s="114"/>
      <c r="N33" s="114"/>
      <c r="O33" s="121"/>
      <c r="P33" s="123"/>
      <c r="Q33" s="123"/>
      <c r="R33" s="114"/>
      <c r="S33" s="114"/>
      <c r="T33" s="114"/>
      <c r="U33" s="114"/>
      <c r="V33" s="114"/>
      <c r="W33" s="114"/>
      <c r="X33" s="118"/>
    </row>
    <row r="34">
      <c r="A34" s="115" t="s">
        <v>436</v>
      </c>
      <c r="B34" s="111" t="s">
        <v>1474</v>
      </c>
      <c r="C34" s="111" t="s">
        <v>1475</v>
      </c>
      <c r="D34" s="111" t="s">
        <v>2205</v>
      </c>
      <c r="E34" s="111" t="s">
        <v>56</v>
      </c>
      <c r="F34" s="113" t="s">
        <v>1233</v>
      </c>
      <c r="G34" s="113" t="s">
        <v>1233</v>
      </c>
      <c r="H34" s="113" t="s">
        <v>56</v>
      </c>
      <c r="I34" s="114" t="s">
        <v>1559</v>
      </c>
      <c r="J34" s="115" t="s">
        <v>1430</v>
      </c>
      <c r="K34" s="114" t="s">
        <v>2003</v>
      </c>
      <c r="L34" s="114"/>
      <c r="M34" s="114"/>
      <c r="N34" s="114"/>
      <c r="O34" s="121"/>
      <c r="P34" s="123"/>
      <c r="Q34" s="123"/>
      <c r="R34" s="114"/>
      <c r="S34" s="114"/>
      <c r="T34" s="114"/>
      <c r="U34" s="114"/>
      <c r="V34" s="114"/>
      <c r="W34" s="114"/>
      <c r="X34" s="118"/>
    </row>
    <row r="35">
      <c r="A35" s="115" t="s">
        <v>438</v>
      </c>
      <c r="B35" s="111" t="s">
        <v>1476</v>
      </c>
      <c r="C35" s="111" t="s">
        <v>1477</v>
      </c>
      <c r="D35" s="111" t="s">
        <v>2206</v>
      </c>
      <c r="E35" s="111" t="s">
        <v>56</v>
      </c>
      <c r="F35" s="113" t="s">
        <v>1233</v>
      </c>
      <c r="G35" s="113" t="s">
        <v>1233</v>
      </c>
      <c r="H35" s="113" t="s">
        <v>56</v>
      </c>
      <c r="I35" s="114" t="s">
        <v>1559</v>
      </c>
      <c r="J35" s="115" t="s">
        <v>1430</v>
      </c>
      <c r="K35" s="114" t="s">
        <v>2005</v>
      </c>
      <c r="L35" s="114"/>
      <c r="M35" s="114"/>
      <c r="N35" s="114"/>
      <c r="O35" s="121"/>
      <c r="P35" s="123"/>
      <c r="Q35" s="123"/>
      <c r="R35" s="114"/>
      <c r="S35" s="114"/>
      <c r="T35" s="114"/>
      <c r="U35" s="114"/>
      <c r="V35" s="114"/>
      <c r="W35" s="114"/>
      <c r="X35" s="118"/>
    </row>
    <row r="36">
      <c r="A36" s="115" t="s">
        <v>440</v>
      </c>
      <c r="B36" s="111" t="s">
        <v>1479</v>
      </c>
      <c r="C36" s="111" t="s">
        <v>1480</v>
      </c>
      <c r="D36" s="111" t="s">
        <v>2207</v>
      </c>
      <c r="E36" s="111" t="s">
        <v>56</v>
      </c>
      <c r="F36" s="113" t="s">
        <v>1233</v>
      </c>
      <c r="G36" s="113" t="s">
        <v>1233</v>
      </c>
      <c r="H36" s="113" t="s">
        <v>56</v>
      </c>
      <c r="I36" s="114" t="s">
        <v>1559</v>
      </c>
      <c r="J36" s="115" t="s">
        <v>1430</v>
      </c>
      <c r="K36" s="114" t="s">
        <v>2007</v>
      </c>
      <c r="L36" s="114"/>
      <c r="M36" s="114"/>
      <c r="N36" s="114"/>
      <c r="O36" s="121"/>
      <c r="P36" s="123"/>
      <c r="Q36" s="123"/>
      <c r="R36" s="114"/>
      <c r="S36" s="114"/>
      <c r="T36" s="114"/>
      <c r="U36" s="114"/>
      <c r="V36" s="114"/>
      <c r="W36" s="114"/>
      <c r="X36" s="118"/>
    </row>
    <row r="37">
      <c r="A37" s="115" t="s">
        <v>443</v>
      </c>
      <c r="B37" s="111" t="s">
        <v>1481</v>
      </c>
      <c r="C37" s="111" t="s">
        <v>1482</v>
      </c>
      <c r="D37" s="111" t="s">
        <v>2208</v>
      </c>
      <c r="E37" s="111" t="s">
        <v>56</v>
      </c>
      <c r="F37" s="113" t="s">
        <v>1233</v>
      </c>
      <c r="G37" s="113" t="s">
        <v>1233</v>
      </c>
      <c r="H37" s="113" t="s">
        <v>56</v>
      </c>
      <c r="I37" s="114" t="s">
        <v>1559</v>
      </c>
      <c r="J37" s="115" t="s">
        <v>1432</v>
      </c>
      <c r="K37" s="114" t="s">
        <v>2001</v>
      </c>
      <c r="L37" s="114"/>
      <c r="M37" s="114"/>
      <c r="N37" s="114"/>
      <c r="O37" s="121"/>
      <c r="P37" s="123"/>
      <c r="Q37" s="123"/>
      <c r="R37" s="114"/>
      <c r="S37" s="114"/>
      <c r="T37" s="114"/>
      <c r="U37" s="114"/>
      <c r="V37" s="114"/>
      <c r="W37" s="114"/>
      <c r="X37" s="118"/>
    </row>
    <row r="38">
      <c r="A38" s="115" t="s">
        <v>445</v>
      </c>
      <c r="B38" s="111" t="s">
        <v>1483</v>
      </c>
      <c r="C38" s="111" t="s">
        <v>1484</v>
      </c>
      <c r="D38" s="111" t="s">
        <v>2209</v>
      </c>
      <c r="E38" s="111" t="s">
        <v>56</v>
      </c>
      <c r="F38" s="113" t="s">
        <v>1233</v>
      </c>
      <c r="G38" s="113" t="s">
        <v>1233</v>
      </c>
      <c r="H38" s="113" t="s">
        <v>56</v>
      </c>
      <c r="I38" s="114" t="s">
        <v>1559</v>
      </c>
      <c r="J38" s="115" t="s">
        <v>1432</v>
      </c>
      <c r="K38" s="114" t="s">
        <v>2003</v>
      </c>
      <c r="L38" s="114"/>
      <c r="M38" s="114"/>
      <c r="N38" s="114"/>
      <c r="O38" s="121"/>
      <c r="P38" s="123"/>
      <c r="Q38" s="123"/>
      <c r="R38" s="114"/>
      <c r="S38" s="114"/>
      <c r="T38" s="114"/>
      <c r="U38" s="114"/>
      <c r="V38" s="114"/>
      <c r="W38" s="114"/>
      <c r="X38" s="118"/>
    </row>
    <row r="39">
      <c r="A39" s="115" t="s">
        <v>443</v>
      </c>
      <c r="B39" s="111" t="s">
        <v>1481</v>
      </c>
      <c r="C39" s="111" t="s">
        <v>1482</v>
      </c>
      <c r="D39" s="111" t="s">
        <v>2210</v>
      </c>
      <c r="E39" s="111" t="s">
        <v>56</v>
      </c>
      <c r="F39" s="113" t="s">
        <v>1233</v>
      </c>
      <c r="G39" s="113" t="s">
        <v>1233</v>
      </c>
      <c r="H39" s="113" t="s">
        <v>56</v>
      </c>
      <c r="I39" s="114" t="s">
        <v>1559</v>
      </c>
      <c r="J39" s="115" t="s">
        <v>1434</v>
      </c>
      <c r="K39" s="114" t="s">
        <v>2001</v>
      </c>
      <c r="L39" s="114"/>
      <c r="M39" s="114"/>
      <c r="N39" s="114"/>
      <c r="O39" s="121"/>
      <c r="P39" s="123"/>
      <c r="Q39" s="123"/>
      <c r="R39" s="114"/>
      <c r="S39" s="114"/>
      <c r="T39" s="114"/>
      <c r="U39" s="114"/>
      <c r="V39" s="114"/>
      <c r="W39" s="114"/>
      <c r="X39" s="118"/>
    </row>
    <row r="40">
      <c r="A40" s="115" t="s">
        <v>443</v>
      </c>
      <c r="B40" s="111" t="s">
        <v>1481</v>
      </c>
      <c r="C40" s="111" t="s">
        <v>1482</v>
      </c>
      <c r="D40" s="111" t="s">
        <v>2211</v>
      </c>
      <c r="E40" s="111" t="s">
        <v>56</v>
      </c>
      <c r="F40" s="113" t="s">
        <v>1233</v>
      </c>
      <c r="G40" s="113" t="s">
        <v>1233</v>
      </c>
      <c r="H40" s="113" t="s">
        <v>56</v>
      </c>
      <c r="I40" s="114" t="s">
        <v>1559</v>
      </c>
      <c r="J40" s="115" t="s">
        <v>1436</v>
      </c>
      <c r="K40" s="114" t="s">
        <v>2001</v>
      </c>
      <c r="L40" s="114"/>
      <c r="M40" s="114"/>
      <c r="N40" s="114"/>
      <c r="O40" s="121"/>
      <c r="P40" s="123"/>
      <c r="Q40" s="123"/>
      <c r="R40" s="114"/>
      <c r="S40" s="114"/>
      <c r="T40" s="114"/>
      <c r="U40" s="114"/>
      <c r="V40" s="114"/>
      <c r="W40" s="114"/>
      <c r="X40" s="118"/>
    </row>
    <row r="41">
      <c r="A41" s="115" t="s">
        <v>450</v>
      </c>
      <c r="B41" s="111" t="s">
        <v>1485</v>
      </c>
      <c r="C41" s="111" t="s">
        <v>1486</v>
      </c>
      <c r="D41" s="111" t="s">
        <v>2212</v>
      </c>
      <c r="E41" s="111" t="s">
        <v>56</v>
      </c>
      <c r="F41" s="113" t="s">
        <v>1233</v>
      </c>
      <c r="G41" s="113" t="s">
        <v>1233</v>
      </c>
      <c r="H41" s="113" t="s">
        <v>56</v>
      </c>
      <c r="I41" s="114" t="s">
        <v>1559</v>
      </c>
      <c r="J41" s="115" t="s">
        <v>1438</v>
      </c>
      <c r="K41" s="114" t="s">
        <v>2001</v>
      </c>
      <c r="L41" s="114"/>
      <c r="M41" s="114"/>
      <c r="N41" s="114"/>
      <c r="O41" s="121"/>
      <c r="P41" s="123"/>
      <c r="Q41" s="123"/>
      <c r="R41" s="114"/>
      <c r="S41" s="114"/>
      <c r="T41" s="114"/>
      <c r="U41" s="114"/>
      <c r="V41" s="114"/>
      <c r="W41" s="114"/>
      <c r="X41" s="118"/>
    </row>
    <row r="42">
      <c r="A42" s="115" t="s">
        <v>453</v>
      </c>
      <c r="B42" s="111" t="s">
        <v>1487</v>
      </c>
      <c r="C42" s="111" t="s">
        <v>1488</v>
      </c>
      <c r="D42" s="111" t="s">
        <v>2213</v>
      </c>
      <c r="E42" s="111" t="s">
        <v>56</v>
      </c>
      <c r="F42" s="113" t="s">
        <v>1233</v>
      </c>
      <c r="G42" s="113" t="s">
        <v>1233</v>
      </c>
      <c r="H42" s="113" t="s">
        <v>56</v>
      </c>
      <c r="I42" s="114" t="s">
        <v>1559</v>
      </c>
      <c r="J42" s="115" t="s">
        <v>1440</v>
      </c>
      <c r="K42" s="114" t="s">
        <v>2001</v>
      </c>
      <c r="L42" s="114"/>
      <c r="M42" s="114"/>
      <c r="N42" s="114"/>
      <c r="O42" s="121"/>
      <c r="P42" s="123"/>
      <c r="Q42" s="123"/>
      <c r="R42" s="114"/>
      <c r="S42" s="114"/>
      <c r="T42" s="114"/>
      <c r="U42" s="114"/>
      <c r="V42" s="114"/>
      <c r="W42" s="114"/>
      <c r="X42" s="118"/>
    </row>
    <row r="43">
      <c r="A43" s="115" t="s">
        <v>453</v>
      </c>
      <c r="B43" s="111" t="s">
        <v>1487</v>
      </c>
      <c r="C43" s="111" t="s">
        <v>1488</v>
      </c>
      <c r="D43" s="111" t="s">
        <v>2214</v>
      </c>
      <c r="E43" s="111" t="s">
        <v>56</v>
      </c>
      <c r="F43" s="113" t="s">
        <v>1233</v>
      </c>
      <c r="G43" s="113" t="s">
        <v>1233</v>
      </c>
      <c r="H43" s="113" t="s">
        <v>56</v>
      </c>
      <c r="I43" s="114" t="s">
        <v>1559</v>
      </c>
      <c r="J43" s="115" t="s">
        <v>1442</v>
      </c>
      <c r="K43" s="114" t="s">
        <v>2001</v>
      </c>
      <c r="L43" s="114"/>
      <c r="M43" s="114"/>
      <c r="N43" s="114"/>
      <c r="O43" s="121"/>
      <c r="P43" s="123"/>
      <c r="Q43" s="123"/>
      <c r="R43" s="114"/>
      <c r="S43" s="114"/>
      <c r="T43" s="114"/>
      <c r="U43" s="114"/>
      <c r="V43" s="114"/>
      <c r="W43" s="114"/>
      <c r="X43" s="118"/>
    </row>
    <row r="44">
      <c r="A44" s="115" t="s">
        <v>240</v>
      </c>
      <c r="B44" s="111" t="s">
        <v>1383</v>
      </c>
      <c r="C44" s="111" t="s">
        <v>1384</v>
      </c>
      <c r="D44" s="111" t="s">
        <v>2215</v>
      </c>
      <c r="E44" s="111" t="s">
        <v>56</v>
      </c>
      <c r="F44" s="113" t="s">
        <v>1233</v>
      </c>
      <c r="G44" s="113" t="s">
        <v>1233</v>
      </c>
      <c r="H44" s="113" t="s">
        <v>56</v>
      </c>
      <c r="I44" s="114" t="s">
        <v>1559</v>
      </c>
      <c r="J44" s="115" t="s">
        <v>1444</v>
      </c>
      <c r="K44" s="114" t="s">
        <v>2001</v>
      </c>
      <c r="L44" s="114"/>
      <c r="M44" s="114"/>
      <c r="N44" s="114"/>
      <c r="O44" s="121"/>
      <c r="P44" s="123"/>
      <c r="Q44" s="123"/>
      <c r="R44" s="114"/>
      <c r="S44" s="114"/>
      <c r="T44" s="114"/>
      <c r="U44" s="114"/>
      <c r="V44" s="114"/>
      <c r="W44" s="114"/>
      <c r="X44" s="118"/>
    </row>
    <row r="45">
      <c r="A45" s="115" t="s">
        <v>240</v>
      </c>
      <c r="B45" s="111" t="s">
        <v>1383</v>
      </c>
      <c r="C45" s="111" t="s">
        <v>1384</v>
      </c>
      <c r="D45" s="111" t="s">
        <v>2216</v>
      </c>
      <c r="E45" s="111" t="s">
        <v>56</v>
      </c>
      <c r="F45" s="113" t="s">
        <v>1233</v>
      </c>
      <c r="G45" s="113" t="s">
        <v>1233</v>
      </c>
      <c r="H45" s="113" t="s">
        <v>56</v>
      </c>
      <c r="I45" s="114" t="s">
        <v>1559</v>
      </c>
      <c r="J45" s="115" t="s">
        <v>1446</v>
      </c>
      <c r="K45" s="114" t="s">
        <v>2001</v>
      </c>
      <c r="L45" s="114"/>
      <c r="M45" s="114"/>
      <c r="N45" s="114"/>
      <c r="O45" s="121"/>
      <c r="P45" s="123"/>
      <c r="Q45" s="123"/>
      <c r="R45" s="114"/>
      <c r="S45" s="114"/>
      <c r="T45" s="114"/>
      <c r="U45" s="114"/>
      <c r="V45" s="114"/>
      <c r="W45" s="114"/>
      <c r="X45" s="118"/>
    </row>
    <row r="46">
      <c r="A46" s="115" t="s">
        <v>240</v>
      </c>
      <c r="B46" s="111" t="s">
        <v>1383</v>
      </c>
      <c r="C46" s="111" t="s">
        <v>1384</v>
      </c>
      <c r="D46" s="111" t="s">
        <v>2217</v>
      </c>
      <c r="E46" s="111" t="s">
        <v>56</v>
      </c>
      <c r="F46" s="113" t="s">
        <v>1233</v>
      </c>
      <c r="G46" s="113" t="s">
        <v>1233</v>
      </c>
      <c r="H46" s="113" t="s">
        <v>56</v>
      </c>
      <c r="I46" s="114" t="s">
        <v>1559</v>
      </c>
      <c r="J46" s="115" t="s">
        <v>1448</v>
      </c>
      <c r="K46" s="114" t="s">
        <v>2001</v>
      </c>
      <c r="L46" s="114"/>
      <c r="M46" s="114"/>
      <c r="N46" s="114"/>
      <c r="O46" s="121"/>
      <c r="P46" s="123"/>
      <c r="Q46" s="123"/>
      <c r="R46" s="114"/>
      <c r="S46" s="114"/>
      <c r="T46" s="114"/>
      <c r="U46" s="114"/>
      <c r="V46" s="114"/>
      <c r="W46" s="114"/>
      <c r="X46" s="118"/>
    </row>
    <row r="47">
      <c r="A47" s="115" t="s">
        <v>240</v>
      </c>
      <c r="B47" s="111" t="s">
        <v>1383</v>
      </c>
      <c r="C47" s="111" t="s">
        <v>1384</v>
      </c>
      <c r="D47" s="111" t="s">
        <v>2218</v>
      </c>
      <c r="E47" s="111" t="s">
        <v>56</v>
      </c>
      <c r="F47" s="113" t="s">
        <v>1233</v>
      </c>
      <c r="G47" s="113" t="s">
        <v>1233</v>
      </c>
      <c r="H47" s="113" t="s">
        <v>56</v>
      </c>
      <c r="I47" s="114" t="s">
        <v>1559</v>
      </c>
      <c r="J47" s="115" t="s">
        <v>1450</v>
      </c>
      <c r="K47" s="114" t="s">
        <v>2001</v>
      </c>
      <c r="L47" s="114"/>
      <c r="M47" s="114"/>
      <c r="N47" s="114"/>
      <c r="O47" s="121"/>
      <c r="P47" s="123"/>
      <c r="Q47" s="123"/>
      <c r="R47" s="114"/>
      <c r="S47" s="114"/>
      <c r="T47" s="114"/>
      <c r="U47" s="114"/>
      <c r="V47" s="114"/>
      <c r="W47" s="114"/>
      <c r="X47" s="118"/>
    </row>
    <row r="48">
      <c r="A48" s="115" t="s">
        <v>240</v>
      </c>
      <c r="B48" s="111" t="s">
        <v>1383</v>
      </c>
      <c r="C48" s="111" t="s">
        <v>1384</v>
      </c>
      <c r="D48" s="111" t="s">
        <v>2219</v>
      </c>
      <c r="E48" s="111" t="s">
        <v>56</v>
      </c>
      <c r="F48" s="113" t="s">
        <v>1233</v>
      </c>
      <c r="G48" s="113" t="s">
        <v>1233</v>
      </c>
      <c r="H48" s="113" t="s">
        <v>56</v>
      </c>
      <c r="I48" s="114" t="s">
        <v>1559</v>
      </c>
      <c r="J48" s="115" t="s">
        <v>1452</v>
      </c>
      <c r="K48" s="114" t="s">
        <v>2001</v>
      </c>
      <c r="L48" s="114"/>
      <c r="M48" s="114"/>
      <c r="N48" s="114"/>
      <c r="O48" s="121"/>
      <c r="P48" s="123"/>
      <c r="Q48" s="123"/>
      <c r="R48" s="114"/>
      <c r="S48" s="114"/>
      <c r="T48" s="114"/>
      <c r="U48" s="114"/>
      <c r="V48" s="114"/>
      <c r="W48" s="114"/>
      <c r="X48" s="118"/>
    </row>
    <row r="49">
      <c r="A49" s="115" t="s">
        <v>240</v>
      </c>
      <c r="B49" s="111" t="s">
        <v>1383</v>
      </c>
      <c r="C49" s="111" t="s">
        <v>1384</v>
      </c>
      <c r="D49" s="111" t="s">
        <v>2220</v>
      </c>
      <c r="E49" s="111" t="s">
        <v>56</v>
      </c>
      <c r="F49" s="113" t="s">
        <v>1233</v>
      </c>
      <c r="G49" s="113" t="s">
        <v>1233</v>
      </c>
      <c r="H49" s="113" t="s">
        <v>56</v>
      </c>
      <c r="I49" s="114" t="s">
        <v>1559</v>
      </c>
      <c r="J49" s="115" t="s">
        <v>1452</v>
      </c>
      <c r="K49" s="114" t="s">
        <v>2003</v>
      </c>
      <c r="L49" s="114"/>
      <c r="M49" s="114"/>
      <c r="N49" s="114"/>
      <c r="O49" s="121"/>
      <c r="P49" s="123"/>
      <c r="Q49" s="123"/>
      <c r="R49" s="114"/>
      <c r="S49" s="114"/>
      <c r="T49" s="114"/>
      <c r="U49" s="114"/>
      <c r="V49" s="114"/>
      <c r="W49" s="114"/>
      <c r="X49" s="118"/>
    </row>
    <row r="50">
      <c r="A50" s="115" t="s">
        <v>464</v>
      </c>
      <c r="B50" s="111" t="s">
        <v>1489</v>
      </c>
      <c r="C50" s="111" t="s">
        <v>1490</v>
      </c>
      <c r="D50" s="111" t="s">
        <v>2221</v>
      </c>
      <c r="E50" s="111" t="s">
        <v>56</v>
      </c>
      <c r="F50" s="113" t="s">
        <v>1233</v>
      </c>
      <c r="G50" s="113" t="s">
        <v>1233</v>
      </c>
      <c r="H50" s="113" t="s">
        <v>56</v>
      </c>
      <c r="I50" s="114" t="s">
        <v>1559</v>
      </c>
      <c r="J50" s="115" t="s">
        <v>1454</v>
      </c>
      <c r="K50" s="114" t="s">
        <v>2001</v>
      </c>
      <c r="L50" s="114"/>
      <c r="M50" s="114"/>
      <c r="N50" s="114"/>
      <c r="O50" s="121"/>
      <c r="P50" s="123"/>
      <c r="Q50" s="123"/>
      <c r="R50" s="114"/>
      <c r="S50" s="114"/>
      <c r="T50" s="114"/>
      <c r="U50" s="114"/>
      <c r="V50" s="114"/>
      <c r="W50" s="114"/>
      <c r="X50" s="118"/>
    </row>
    <row r="51">
      <c r="A51" s="115" t="s">
        <v>466</v>
      </c>
      <c r="B51" s="111" t="s">
        <v>1491</v>
      </c>
      <c r="C51" s="111" t="s">
        <v>1492</v>
      </c>
      <c r="D51" s="111" t="s">
        <v>2222</v>
      </c>
      <c r="E51" s="111" t="s">
        <v>56</v>
      </c>
      <c r="F51" s="113" t="s">
        <v>1233</v>
      </c>
      <c r="G51" s="113" t="s">
        <v>1233</v>
      </c>
      <c r="H51" s="113" t="s">
        <v>56</v>
      </c>
      <c r="I51" s="114" t="s">
        <v>1559</v>
      </c>
      <c r="J51" s="115" t="s">
        <v>1454</v>
      </c>
      <c r="K51" s="114" t="s">
        <v>2003</v>
      </c>
      <c r="L51" s="114"/>
      <c r="M51" s="114"/>
      <c r="N51" s="114"/>
      <c r="O51" s="121"/>
      <c r="P51" s="123"/>
      <c r="Q51" s="123"/>
      <c r="R51" s="114"/>
      <c r="S51" s="114"/>
      <c r="T51" s="114"/>
      <c r="U51" s="114"/>
      <c r="V51" s="114"/>
      <c r="W51" s="114"/>
      <c r="X51" s="118"/>
    </row>
    <row r="52">
      <c r="A52" s="115" t="s">
        <v>468</v>
      </c>
      <c r="B52" s="111" t="s">
        <v>1493</v>
      </c>
      <c r="C52" s="111" t="s">
        <v>1494</v>
      </c>
      <c r="D52" s="111" t="s">
        <v>2223</v>
      </c>
      <c r="E52" s="111" t="s">
        <v>56</v>
      </c>
      <c r="F52" s="113" t="s">
        <v>1233</v>
      </c>
      <c r="G52" s="113" t="s">
        <v>1233</v>
      </c>
      <c r="H52" s="113" t="s">
        <v>56</v>
      </c>
      <c r="I52" s="114" t="s">
        <v>1559</v>
      </c>
      <c r="J52" s="115" t="s">
        <v>1454</v>
      </c>
      <c r="K52" s="114" t="s">
        <v>2005</v>
      </c>
      <c r="L52" s="114"/>
      <c r="M52" s="114"/>
      <c r="N52" s="114"/>
      <c r="O52" s="121"/>
      <c r="P52" s="123"/>
      <c r="Q52" s="123"/>
      <c r="R52" s="114"/>
      <c r="S52" s="114"/>
      <c r="T52" s="114"/>
      <c r="U52" s="114"/>
      <c r="V52" s="114"/>
      <c r="W52" s="114"/>
      <c r="X52" s="118"/>
    </row>
    <row r="53">
      <c r="A53" s="115" t="s">
        <v>470</v>
      </c>
      <c r="B53" s="111" t="s">
        <v>1495</v>
      </c>
      <c r="C53" s="111" t="s">
        <v>1496</v>
      </c>
      <c r="D53" s="111" t="s">
        <v>2224</v>
      </c>
      <c r="E53" s="111" t="s">
        <v>56</v>
      </c>
      <c r="F53" s="113" t="s">
        <v>1233</v>
      </c>
      <c r="G53" s="113" t="s">
        <v>1233</v>
      </c>
      <c r="H53" s="113" t="s">
        <v>56</v>
      </c>
      <c r="I53" s="114" t="s">
        <v>1559</v>
      </c>
      <c r="J53" s="115" t="s">
        <v>1454</v>
      </c>
      <c r="K53" s="114" t="s">
        <v>2007</v>
      </c>
      <c r="L53" s="114"/>
      <c r="M53" s="114"/>
      <c r="N53" s="114"/>
      <c r="O53" s="121"/>
      <c r="P53" s="123"/>
      <c r="Q53" s="123"/>
      <c r="R53" s="114"/>
      <c r="S53" s="114"/>
      <c r="T53" s="114"/>
      <c r="U53" s="114"/>
      <c r="V53" s="114"/>
      <c r="W53" s="114"/>
      <c r="X53" s="118"/>
    </row>
    <row r="54">
      <c r="A54" s="115" t="s">
        <v>96</v>
      </c>
      <c r="B54" s="111" t="s">
        <v>1270</v>
      </c>
      <c r="C54" s="111" t="s">
        <v>1271</v>
      </c>
      <c r="D54" s="111" t="s">
        <v>2225</v>
      </c>
      <c r="E54" s="111" t="s">
        <v>56</v>
      </c>
      <c r="F54" s="113" t="s">
        <v>1233</v>
      </c>
      <c r="G54" s="113" t="s">
        <v>1233</v>
      </c>
      <c r="H54" s="113" t="s">
        <v>56</v>
      </c>
      <c r="I54" s="114" t="s">
        <v>1559</v>
      </c>
      <c r="J54" s="115" t="s">
        <v>1454</v>
      </c>
      <c r="K54" s="114" t="s">
        <v>2009</v>
      </c>
      <c r="L54" s="114"/>
      <c r="M54" s="114"/>
      <c r="N54" s="114"/>
      <c r="O54" s="121"/>
      <c r="P54" s="123"/>
      <c r="Q54" s="123"/>
      <c r="R54" s="114"/>
      <c r="S54" s="114"/>
      <c r="T54" s="114"/>
      <c r="U54" s="114"/>
      <c r="V54" s="114"/>
      <c r="W54" s="114"/>
      <c r="X54" s="118"/>
    </row>
    <row r="55">
      <c r="A55" s="115" t="s">
        <v>474</v>
      </c>
      <c r="B55" s="111" t="s">
        <v>1497</v>
      </c>
      <c r="C55" s="111" t="s">
        <v>1498</v>
      </c>
      <c r="D55" s="111" t="s">
        <v>2226</v>
      </c>
      <c r="E55" s="111" t="s">
        <v>56</v>
      </c>
      <c r="F55" s="113" t="s">
        <v>1233</v>
      </c>
      <c r="G55" s="113" t="s">
        <v>1233</v>
      </c>
      <c r="H55" s="113" t="s">
        <v>56</v>
      </c>
      <c r="I55" s="114" t="s">
        <v>1559</v>
      </c>
      <c r="J55" s="115" t="s">
        <v>1456</v>
      </c>
      <c r="K55" s="114" t="s">
        <v>2001</v>
      </c>
      <c r="L55" s="114"/>
      <c r="M55" s="114"/>
      <c r="N55" s="114"/>
      <c r="O55" s="121"/>
      <c r="P55" s="123"/>
      <c r="Q55" s="123"/>
      <c r="R55" s="114"/>
      <c r="S55" s="114"/>
      <c r="T55" s="114"/>
      <c r="U55" s="114"/>
      <c r="V55" s="114"/>
      <c r="W55" s="114"/>
      <c r="X55" s="118"/>
    </row>
    <row r="56">
      <c r="A56" s="115" t="s">
        <v>476</v>
      </c>
      <c r="B56" s="111" t="s">
        <v>1499</v>
      </c>
      <c r="C56" s="111" t="s">
        <v>1500</v>
      </c>
      <c r="D56" s="111" t="s">
        <v>2227</v>
      </c>
      <c r="E56" s="111" t="s">
        <v>56</v>
      </c>
      <c r="F56" s="113" t="s">
        <v>1233</v>
      </c>
      <c r="G56" s="113" t="s">
        <v>1233</v>
      </c>
      <c r="H56" s="113" t="s">
        <v>56</v>
      </c>
      <c r="I56" s="114" t="s">
        <v>1559</v>
      </c>
      <c r="J56" s="115" t="s">
        <v>1456</v>
      </c>
      <c r="K56" s="114" t="s">
        <v>2003</v>
      </c>
      <c r="L56" s="114"/>
      <c r="M56" s="114"/>
      <c r="N56" s="114"/>
      <c r="O56" s="121"/>
      <c r="P56" s="123"/>
      <c r="Q56" s="123"/>
      <c r="R56" s="114"/>
      <c r="S56" s="114"/>
      <c r="T56" s="114"/>
      <c r="U56" s="114"/>
      <c r="V56" s="114"/>
      <c r="W56" s="114"/>
      <c r="X56" s="118"/>
    </row>
    <row r="57">
      <c r="A57" s="115" t="s">
        <v>478</v>
      </c>
      <c r="B57" s="111" t="s">
        <v>1501</v>
      </c>
      <c r="C57" s="111" t="s">
        <v>1502</v>
      </c>
      <c r="D57" s="111" t="s">
        <v>2228</v>
      </c>
      <c r="E57" s="111" t="s">
        <v>56</v>
      </c>
      <c r="F57" s="113" t="s">
        <v>1233</v>
      </c>
      <c r="G57" s="113" t="s">
        <v>1233</v>
      </c>
      <c r="H57" s="113" t="s">
        <v>56</v>
      </c>
      <c r="I57" s="114" t="s">
        <v>1559</v>
      </c>
      <c r="J57" s="115" t="s">
        <v>1456</v>
      </c>
      <c r="K57" s="114" t="s">
        <v>2005</v>
      </c>
      <c r="L57" s="114"/>
      <c r="M57" s="114"/>
      <c r="N57" s="114"/>
      <c r="O57" s="121"/>
      <c r="P57" s="123"/>
      <c r="Q57" s="123"/>
      <c r="R57" s="114"/>
      <c r="S57" s="114"/>
      <c r="T57" s="114"/>
      <c r="U57" s="114"/>
      <c r="V57" s="114"/>
      <c r="W57" s="114"/>
      <c r="X57" s="118"/>
    </row>
    <row r="58">
      <c r="A58" s="115" t="s">
        <v>480</v>
      </c>
      <c r="B58" s="111" t="s">
        <v>1503</v>
      </c>
      <c r="C58" s="111" t="s">
        <v>1504</v>
      </c>
      <c r="D58" s="111" t="s">
        <v>2229</v>
      </c>
      <c r="E58" s="111" t="s">
        <v>56</v>
      </c>
      <c r="F58" s="113" t="s">
        <v>1233</v>
      </c>
      <c r="G58" s="113" t="s">
        <v>1233</v>
      </c>
      <c r="H58" s="113" t="s">
        <v>56</v>
      </c>
      <c r="I58" s="114" t="s">
        <v>1559</v>
      </c>
      <c r="J58" s="115" t="s">
        <v>1456</v>
      </c>
      <c r="K58" s="114" t="s">
        <v>2007</v>
      </c>
      <c r="L58" s="114"/>
      <c r="M58" s="114"/>
      <c r="N58" s="114"/>
      <c r="O58" s="121"/>
      <c r="P58" s="123"/>
      <c r="Q58" s="123"/>
      <c r="R58" s="114"/>
      <c r="S58" s="114"/>
      <c r="T58" s="114"/>
      <c r="U58" s="114"/>
      <c r="V58" s="114"/>
      <c r="W58" s="114"/>
      <c r="X58" s="118"/>
    </row>
    <row r="59">
      <c r="A59" s="115" t="s">
        <v>482</v>
      </c>
      <c r="B59" s="111" t="s">
        <v>1505</v>
      </c>
      <c r="C59" s="111" t="s">
        <v>1506</v>
      </c>
      <c r="D59" s="111" t="s">
        <v>2230</v>
      </c>
      <c r="E59" s="111" t="s">
        <v>56</v>
      </c>
      <c r="F59" s="113" t="s">
        <v>1233</v>
      </c>
      <c r="G59" s="113" t="s">
        <v>1233</v>
      </c>
      <c r="H59" s="113" t="s">
        <v>56</v>
      </c>
      <c r="I59" s="114" t="s">
        <v>1559</v>
      </c>
      <c r="J59" s="115" t="s">
        <v>1456</v>
      </c>
      <c r="K59" s="114" t="s">
        <v>2009</v>
      </c>
      <c r="L59" s="114"/>
      <c r="M59" s="114"/>
      <c r="N59" s="114"/>
      <c r="O59" s="121"/>
      <c r="P59" s="123"/>
      <c r="Q59" s="123"/>
      <c r="R59" s="114"/>
      <c r="S59" s="114"/>
      <c r="T59" s="114"/>
      <c r="U59" s="114"/>
      <c r="V59" s="114"/>
      <c r="W59" s="114"/>
      <c r="X59" s="118"/>
    </row>
    <row r="60">
      <c r="A60" s="115" t="s">
        <v>484</v>
      </c>
      <c r="B60" s="111" t="s">
        <v>1507</v>
      </c>
      <c r="C60" s="111" t="s">
        <v>1508</v>
      </c>
      <c r="D60" s="111" t="s">
        <v>2231</v>
      </c>
      <c r="E60" s="111" t="s">
        <v>56</v>
      </c>
      <c r="F60" s="113" t="s">
        <v>1233</v>
      </c>
      <c r="G60" s="113" t="s">
        <v>1233</v>
      </c>
      <c r="H60" s="113" t="s">
        <v>56</v>
      </c>
      <c r="I60" s="114" t="s">
        <v>1559</v>
      </c>
      <c r="J60" s="115" t="s">
        <v>1456</v>
      </c>
      <c r="K60" s="114" t="s">
        <v>2041</v>
      </c>
      <c r="L60" s="114"/>
      <c r="M60" s="114"/>
      <c r="N60" s="114"/>
      <c r="O60" s="121"/>
      <c r="P60" s="123"/>
      <c r="Q60" s="123"/>
      <c r="R60" s="114"/>
      <c r="S60" s="114"/>
      <c r="T60" s="114"/>
      <c r="U60" s="114"/>
      <c r="V60" s="114"/>
      <c r="W60" s="114"/>
      <c r="X60" s="118"/>
    </row>
    <row r="61">
      <c r="A61" s="115" t="s">
        <v>486</v>
      </c>
      <c r="B61" s="111" t="s">
        <v>1509</v>
      </c>
      <c r="C61" s="111" t="s">
        <v>1510</v>
      </c>
      <c r="D61" s="111" t="s">
        <v>2232</v>
      </c>
      <c r="E61" s="111" t="s">
        <v>56</v>
      </c>
      <c r="F61" s="113" t="s">
        <v>1233</v>
      </c>
      <c r="G61" s="113" t="s">
        <v>1233</v>
      </c>
      <c r="H61" s="113" t="s">
        <v>56</v>
      </c>
      <c r="I61" s="114" t="s">
        <v>1559</v>
      </c>
      <c r="J61" s="115" t="s">
        <v>1456</v>
      </c>
      <c r="K61" s="114" t="s">
        <v>2043</v>
      </c>
      <c r="L61" s="114"/>
      <c r="M61" s="114"/>
      <c r="N61" s="114"/>
      <c r="O61" s="121"/>
      <c r="P61" s="123"/>
      <c r="Q61" s="123"/>
      <c r="R61" s="114"/>
      <c r="S61" s="114"/>
      <c r="T61" s="114"/>
      <c r="U61" s="114"/>
      <c r="V61" s="114"/>
      <c r="W61" s="114"/>
      <c r="X61" s="118"/>
    </row>
    <row r="62">
      <c r="A62" s="115" t="s">
        <v>488</v>
      </c>
      <c r="B62" s="111" t="s">
        <v>1511</v>
      </c>
      <c r="C62" s="111" t="s">
        <v>1512</v>
      </c>
      <c r="D62" s="111" t="s">
        <v>2233</v>
      </c>
      <c r="E62" s="111" t="s">
        <v>56</v>
      </c>
      <c r="F62" s="113" t="s">
        <v>1233</v>
      </c>
      <c r="G62" s="113" t="s">
        <v>1233</v>
      </c>
      <c r="H62" s="113" t="s">
        <v>56</v>
      </c>
      <c r="I62" s="114" t="s">
        <v>1559</v>
      </c>
      <c r="J62" s="115" t="s">
        <v>1456</v>
      </c>
      <c r="K62" s="114" t="s">
        <v>2045</v>
      </c>
      <c r="L62" s="114"/>
      <c r="M62" s="114"/>
      <c r="N62" s="114"/>
      <c r="O62" s="121"/>
      <c r="P62" s="123"/>
      <c r="Q62" s="123"/>
      <c r="R62" s="114"/>
      <c r="S62" s="114"/>
      <c r="T62" s="114"/>
      <c r="U62" s="114"/>
      <c r="V62" s="114"/>
      <c r="W62" s="114"/>
      <c r="X62" s="118"/>
    </row>
    <row r="63">
      <c r="A63" s="115" t="s">
        <v>490</v>
      </c>
      <c r="B63" s="111" t="s">
        <v>1513</v>
      </c>
      <c r="C63" s="111" t="s">
        <v>1514</v>
      </c>
      <c r="D63" s="111" t="s">
        <v>2234</v>
      </c>
      <c r="E63" s="111" t="s">
        <v>56</v>
      </c>
      <c r="F63" s="113" t="s">
        <v>1233</v>
      </c>
      <c r="G63" s="113" t="s">
        <v>1233</v>
      </c>
      <c r="H63" s="113" t="s">
        <v>56</v>
      </c>
      <c r="I63" s="114" t="s">
        <v>1559</v>
      </c>
      <c r="J63" s="115" t="s">
        <v>1456</v>
      </c>
      <c r="K63" s="114" t="s">
        <v>2047</v>
      </c>
      <c r="L63" s="114"/>
      <c r="M63" s="114"/>
      <c r="N63" s="114"/>
      <c r="O63" s="121"/>
      <c r="P63" s="123"/>
      <c r="Q63" s="123"/>
      <c r="R63" s="114"/>
      <c r="S63" s="114"/>
      <c r="T63" s="114"/>
      <c r="U63" s="114"/>
      <c r="V63" s="114"/>
      <c r="W63" s="114"/>
      <c r="X63" s="118"/>
    </row>
    <row r="64">
      <c r="A64" s="115" t="s">
        <v>450</v>
      </c>
      <c r="B64" s="111" t="s">
        <v>1485</v>
      </c>
      <c r="C64" s="111" t="s">
        <v>1486</v>
      </c>
      <c r="D64" s="111" t="s">
        <v>2235</v>
      </c>
      <c r="E64" s="111" t="s">
        <v>56</v>
      </c>
      <c r="F64" s="113" t="s">
        <v>1233</v>
      </c>
      <c r="G64" s="113" t="s">
        <v>1233</v>
      </c>
      <c r="H64" s="113" t="s">
        <v>56</v>
      </c>
      <c r="I64" s="114" t="s">
        <v>1559</v>
      </c>
      <c r="J64" s="115" t="s">
        <v>1456</v>
      </c>
      <c r="K64" s="114" t="s">
        <v>2119</v>
      </c>
      <c r="L64" s="114"/>
      <c r="M64" s="114"/>
      <c r="N64" s="114"/>
      <c r="O64" s="121"/>
      <c r="P64" s="123"/>
      <c r="Q64" s="123"/>
      <c r="R64" s="114"/>
      <c r="S64" s="114"/>
      <c r="T64" s="114"/>
      <c r="U64" s="114"/>
      <c r="V64" s="114"/>
      <c r="W64" s="114"/>
      <c r="X64" s="118"/>
    </row>
    <row r="65">
      <c r="A65" s="115" t="s">
        <v>494</v>
      </c>
      <c r="B65" s="111" t="s">
        <v>1515</v>
      </c>
      <c r="C65" s="111" t="s">
        <v>1516</v>
      </c>
      <c r="D65" s="111" t="s">
        <v>2236</v>
      </c>
      <c r="E65" s="111" t="s">
        <v>56</v>
      </c>
      <c r="F65" s="113" t="s">
        <v>1233</v>
      </c>
      <c r="G65" s="113" t="s">
        <v>1233</v>
      </c>
      <c r="H65" s="113" t="s">
        <v>56</v>
      </c>
      <c r="I65" s="114" t="s">
        <v>1559</v>
      </c>
      <c r="J65" s="115" t="s">
        <v>1458</v>
      </c>
      <c r="K65" s="114" t="s">
        <v>2001</v>
      </c>
      <c r="L65" s="114"/>
      <c r="M65" s="114"/>
      <c r="N65" s="114"/>
      <c r="O65" s="121"/>
      <c r="P65" s="123"/>
      <c r="Q65" s="123"/>
      <c r="R65" s="114"/>
      <c r="S65" s="114"/>
      <c r="T65" s="114"/>
      <c r="U65" s="114"/>
      <c r="V65" s="114"/>
      <c r="W65" s="114"/>
      <c r="X65" s="118"/>
    </row>
    <row r="66">
      <c r="A66" s="115" t="s">
        <v>496</v>
      </c>
      <c r="B66" s="111" t="s">
        <v>1517</v>
      </c>
      <c r="C66" s="111" t="s">
        <v>1518</v>
      </c>
      <c r="D66" s="111" t="s">
        <v>2237</v>
      </c>
      <c r="E66" s="111" t="s">
        <v>56</v>
      </c>
      <c r="F66" s="113" t="s">
        <v>1233</v>
      </c>
      <c r="G66" s="113" t="s">
        <v>1233</v>
      </c>
      <c r="H66" s="113" t="s">
        <v>56</v>
      </c>
      <c r="I66" s="114" t="s">
        <v>1559</v>
      </c>
      <c r="J66" s="115" t="s">
        <v>1458</v>
      </c>
      <c r="K66" s="114" t="s">
        <v>2003</v>
      </c>
      <c r="L66" s="114"/>
      <c r="M66" s="114"/>
      <c r="N66" s="114"/>
      <c r="O66" s="121"/>
      <c r="P66" s="123"/>
      <c r="Q66" s="123"/>
      <c r="R66" s="114"/>
      <c r="S66" s="114"/>
      <c r="T66" s="114"/>
      <c r="U66" s="114"/>
      <c r="V66" s="114"/>
      <c r="W66" s="114"/>
      <c r="X66" s="118"/>
    </row>
    <row r="67">
      <c r="A67" s="115" t="s">
        <v>498</v>
      </c>
      <c r="B67" s="111" t="s">
        <v>1519</v>
      </c>
      <c r="C67" s="111" t="s">
        <v>1520</v>
      </c>
      <c r="D67" s="111" t="s">
        <v>2238</v>
      </c>
      <c r="E67" s="111" t="s">
        <v>56</v>
      </c>
      <c r="F67" s="113" t="s">
        <v>1233</v>
      </c>
      <c r="G67" s="113" t="s">
        <v>1233</v>
      </c>
      <c r="H67" s="113" t="s">
        <v>56</v>
      </c>
      <c r="I67" s="114" t="s">
        <v>1559</v>
      </c>
      <c r="J67" s="115" t="s">
        <v>1458</v>
      </c>
      <c r="K67" s="114" t="s">
        <v>2005</v>
      </c>
      <c r="L67" s="114"/>
      <c r="M67" s="114"/>
      <c r="N67" s="114"/>
      <c r="O67" s="121"/>
      <c r="P67" s="123"/>
      <c r="Q67" s="123"/>
      <c r="R67" s="114"/>
      <c r="S67" s="114"/>
      <c r="T67" s="114"/>
      <c r="U67" s="114"/>
      <c r="V67" s="114"/>
      <c r="W67" s="114"/>
      <c r="X67" s="118"/>
    </row>
    <row r="68">
      <c r="A68" s="115" t="s">
        <v>500</v>
      </c>
      <c r="B68" s="111" t="s">
        <v>1521</v>
      </c>
      <c r="C68" s="111" t="s">
        <v>1522</v>
      </c>
      <c r="D68" s="111" t="s">
        <v>2239</v>
      </c>
      <c r="E68" s="111" t="s">
        <v>56</v>
      </c>
      <c r="F68" s="113" t="s">
        <v>1233</v>
      </c>
      <c r="G68" s="113" t="s">
        <v>1233</v>
      </c>
      <c r="H68" s="113" t="s">
        <v>56</v>
      </c>
      <c r="I68" s="114" t="s">
        <v>1559</v>
      </c>
      <c r="J68" s="115" t="s">
        <v>1458</v>
      </c>
      <c r="K68" s="114" t="s">
        <v>2007</v>
      </c>
      <c r="L68" s="114"/>
      <c r="M68" s="114"/>
      <c r="N68" s="114"/>
      <c r="O68" s="121"/>
      <c r="P68" s="123"/>
      <c r="Q68" s="123"/>
      <c r="R68" s="114"/>
      <c r="S68" s="114"/>
      <c r="T68" s="114"/>
      <c r="U68" s="114"/>
      <c r="V68" s="114"/>
      <c r="W68" s="114"/>
      <c r="X68" s="118"/>
    </row>
    <row r="69">
      <c r="A69" s="115" t="s">
        <v>502</v>
      </c>
      <c r="B69" s="111" t="s">
        <v>1523</v>
      </c>
      <c r="C69" s="111" t="s">
        <v>1524</v>
      </c>
      <c r="D69" s="111" t="s">
        <v>2240</v>
      </c>
      <c r="E69" s="111" t="s">
        <v>56</v>
      </c>
      <c r="F69" s="113" t="s">
        <v>1233</v>
      </c>
      <c r="G69" s="113" t="s">
        <v>1233</v>
      </c>
      <c r="H69" s="113" t="s">
        <v>56</v>
      </c>
      <c r="I69" s="114" t="s">
        <v>1559</v>
      </c>
      <c r="J69" s="115" t="s">
        <v>1458</v>
      </c>
      <c r="K69" s="114" t="s">
        <v>2009</v>
      </c>
      <c r="L69" s="114"/>
      <c r="M69" s="114"/>
      <c r="N69" s="114"/>
      <c r="O69" s="121"/>
      <c r="P69" s="123"/>
      <c r="Q69" s="123"/>
      <c r="R69" s="114"/>
      <c r="S69" s="114"/>
      <c r="T69" s="114"/>
      <c r="U69" s="114"/>
      <c r="V69" s="114"/>
      <c r="W69" s="114"/>
      <c r="X69" s="118"/>
    </row>
    <row r="70">
      <c r="A70" s="115" t="s">
        <v>504</v>
      </c>
      <c r="B70" s="111" t="s">
        <v>1525</v>
      </c>
      <c r="C70" s="111" t="s">
        <v>1526</v>
      </c>
      <c r="D70" s="111" t="s">
        <v>2241</v>
      </c>
      <c r="E70" s="111" t="s">
        <v>56</v>
      </c>
      <c r="F70" s="113" t="s">
        <v>1233</v>
      </c>
      <c r="G70" s="113" t="s">
        <v>1233</v>
      </c>
      <c r="H70" s="113" t="s">
        <v>56</v>
      </c>
      <c r="I70" s="114" t="s">
        <v>1559</v>
      </c>
      <c r="J70" s="115" t="s">
        <v>1458</v>
      </c>
      <c r="K70" s="114" t="s">
        <v>2041</v>
      </c>
      <c r="L70" s="114"/>
      <c r="M70" s="114"/>
      <c r="N70" s="114"/>
      <c r="O70" s="121"/>
      <c r="P70" s="123"/>
      <c r="Q70" s="123"/>
      <c r="R70" s="114"/>
      <c r="S70" s="114"/>
      <c r="T70" s="114"/>
      <c r="U70" s="114"/>
      <c r="V70" s="114"/>
      <c r="W70" s="114"/>
      <c r="X70" s="118"/>
    </row>
    <row r="71">
      <c r="A71" s="115" t="s">
        <v>507</v>
      </c>
      <c r="B71" s="111" t="s">
        <v>1527</v>
      </c>
      <c r="C71" s="111" t="s">
        <v>1528</v>
      </c>
      <c r="D71" s="111" t="s">
        <v>2242</v>
      </c>
      <c r="E71" s="111" t="s">
        <v>56</v>
      </c>
      <c r="F71" s="113" t="s">
        <v>1233</v>
      </c>
      <c r="G71" s="113" t="s">
        <v>1233</v>
      </c>
      <c r="H71" s="113" t="s">
        <v>56</v>
      </c>
      <c r="I71" s="114" t="s">
        <v>1559</v>
      </c>
      <c r="J71" s="115" t="s">
        <v>1460</v>
      </c>
      <c r="K71" s="114" t="s">
        <v>2001</v>
      </c>
      <c r="L71" s="114"/>
      <c r="M71" s="114"/>
      <c r="N71" s="114"/>
      <c r="O71" s="121"/>
      <c r="P71" s="123"/>
      <c r="Q71" s="123"/>
      <c r="R71" s="114"/>
      <c r="S71" s="114"/>
      <c r="T71" s="114"/>
      <c r="U71" s="114"/>
      <c r="V71" s="114"/>
      <c r="W71" s="114"/>
      <c r="X71" s="118"/>
    </row>
    <row r="72">
      <c r="A72" s="115" t="s">
        <v>486</v>
      </c>
      <c r="B72" s="111" t="s">
        <v>1509</v>
      </c>
      <c r="C72" s="111" t="s">
        <v>1510</v>
      </c>
      <c r="D72" s="111" t="s">
        <v>2243</v>
      </c>
      <c r="E72" s="111" t="s">
        <v>56</v>
      </c>
      <c r="F72" s="113" t="s">
        <v>1233</v>
      </c>
      <c r="G72" s="113" t="s">
        <v>1233</v>
      </c>
      <c r="H72" s="113" t="s">
        <v>56</v>
      </c>
      <c r="I72" s="114" t="s">
        <v>1559</v>
      </c>
      <c r="J72" s="115" t="s">
        <v>1462</v>
      </c>
      <c r="K72" s="114" t="s">
        <v>2001</v>
      </c>
      <c r="L72" s="114"/>
      <c r="M72" s="114"/>
      <c r="N72" s="114"/>
      <c r="O72" s="121"/>
      <c r="P72" s="123"/>
      <c r="Q72" s="123"/>
      <c r="R72" s="114"/>
      <c r="S72" s="114"/>
      <c r="T72" s="114"/>
      <c r="U72" s="114"/>
      <c r="V72" s="114"/>
      <c r="W72" s="114"/>
      <c r="X72" s="118"/>
    </row>
    <row r="73">
      <c r="A73" s="115" t="s">
        <v>315</v>
      </c>
      <c r="B73" s="111" t="s">
        <v>1422</v>
      </c>
      <c r="C73" s="111" t="s">
        <v>1423</v>
      </c>
      <c r="D73" s="111" t="s">
        <v>2244</v>
      </c>
      <c r="E73" s="111" t="s">
        <v>56</v>
      </c>
      <c r="F73" s="113" t="s">
        <v>1233</v>
      </c>
      <c r="G73" s="113" t="s">
        <v>1233</v>
      </c>
      <c r="H73" s="113" t="s">
        <v>56</v>
      </c>
      <c r="I73" s="114" t="s">
        <v>1559</v>
      </c>
      <c r="J73" s="115" t="s">
        <v>1462</v>
      </c>
      <c r="K73" s="114" t="s">
        <v>2003</v>
      </c>
      <c r="L73" s="114"/>
      <c r="M73" s="114"/>
      <c r="N73" s="114"/>
      <c r="O73" s="121"/>
      <c r="P73" s="123"/>
      <c r="Q73" s="123"/>
      <c r="R73" s="114"/>
      <c r="S73" s="114"/>
      <c r="T73" s="114"/>
      <c r="U73" s="114"/>
      <c r="V73" s="114"/>
      <c r="W73" s="114"/>
      <c r="X73" s="118"/>
    </row>
    <row r="74">
      <c r="A74" s="115" t="s">
        <v>182</v>
      </c>
      <c r="B74" s="111" t="s">
        <v>1339</v>
      </c>
      <c r="C74" s="111" t="s">
        <v>1340</v>
      </c>
      <c r="D74" s="111" t="s">
        <v>2245</v>
      </c>
      <c r="E74" s="111" t="s">
        <v>56</v>
      </c>
      <c r="F74" s="113" t="s">
        <v>1233</v>
      </c>
      <c r="G74" s="113" t="s">
        <v>1233</v>
      </c>
      <c r="H74" s="113" t="s">
        <v>56</v>
      </c>
      <c r="I74" s="114" t="s">
        <v>1559</v>
      </c>
      <c r="J74" s="115" t="s">
        <v>1462</v>
      </c>
      <c r="K74" s="114" t="s">
        <v>2005</v>
      </c>
      <c r="L74" s="114"/>
      <c r="M74" s="114"/>
      <c r="N74" s="114"/>
      <c r="O74" s="121"/>
      <c r="P74" s="123"/>
      <c r="Q74" s="123"/>
      <c r="R74" s="114"/>
      <c r="S74" s="114"/>
      <c r="T74" s="114"/>
      <c r="U74" s="114"/>
      <c r="V74" s="114"/>
      <c r="W74" s="114"/>
      <c r="X74" s="118"/>
    </row>
    <row r="75">
      <c r="A75" s="115" t="s">
        <v>103</v>
      </c>
      <c r="B75" s="111" t="s">
        <v>1276</v>
      </c>
      <c r="C75" s="111" t="s">
        <v>1277</v>
      </c>
      <c r="D75" s="111" t="s">
        <v>2246</v>
      </c>
      <c r="E75" s="111" t="s">
        <v>56</v>
      </c>
      <c r="F75" s="113" t="s">
        <v>1233</v>
      </c>
      <c r="G75" s="113" t="s">
        <v>1233</v>
      </c>
      <c r="H75" s="113" t="s">
        <v>56</v>
      </c>
      <c r="I75" s="114" t="s">
        <v>1559</v>
      </c>
      <c r="J75" s="115" t="s">
        <v>1462</v>
      </c>
      <c r="K75" s="114" t="s">
        <v>2007</v>
      </c>
      <c r="L75" s="114"/>
      <c r="M75" s="114"/>
      <c r="N75" s="114"/>
      <c r="O75" s="121"/>
      <c r="P75" s="123"/>
      <c r="Q75" s="123"/>
      <c r="R75" s="114"/>
      <c r="S75" s="114"/>
      <c r="T75" s="114"/>
      <c r="U75" s="114"/>
      <c r="V75" s="114"/>
      <c r="W75" s="114"/>
      <c r="X75" s="118"/>
    </row>
    <row r="76">
      <c r="A76" s="115" t="s">
        <v>515</v>
      </c>
      <c r="B76" s="111" t="s">
        <v>1529</v>
      </c>
      <c r="C76" s="111" t="s">
        <v>1530</v>
      </c>
      <c r="D76" s="111" t="s">
        <v>2247</v>
      </c>
      <c r="E76" s="111" t="s">
        <v>56</v>
      </c>
      <c r="F76" s="113" t="s">
        <v>1233</v>
      </c>
      <c r="G76" s="113" t="s">
        <v>1233</v>
      </c>
      <c r="H76" s="113" t="s">
        <v>56</v>
      </c>
      <c r="I76" s="114" t="s">
        <v>1559</v>
      </c>
      <c r="J76" s="115" t="s">
        <v>1464</v>
      </c>
      <c r="K76" s="114" t="s">
        <v>2001</v>
      </c>
      <c r="L76" s="114"/>
      <c r="M76" s="114"/>
      <c r="N76" s="114"/>
      <c r="O76" s="121"/>
      <c r="P76" s="123"/>
      <c r="Q76" s="123"/>
      <c r="R76" s="114"/>
      <c r="S76" s="114"/>
      <c r="T76" s="114"/>
      <c r="U76" s="114"/>
      <c r="V76" s="114"/>
      <c r="W76" s="114"/>
      <c r="X76" s="118"/>
    </row>
    <row r="77">
      <c r="A77" s="115" t="s">
        <v>517</v>
      </c>
      <c r="B77" s="111" t="s">
        <v>1531</v>
      </c>
      <c r="C77" s="111" t="s">
        <v>1532</v>
      </c>
      <c r="D77" s="111" t="s">
        <v>2248</v>
      </c>
      <c r="E77" s="111" t="s">
        <v>56</v>
      </c>
      <c r="F77" s="113" t="s">
        <v>1233</v>
      </c>
      <c r="G77" s="113" t="s">
        <v>1233</v>
      </c>
      <c r="H77" s="113" t="s">
        <v>56</v>
      </c>
      <c r="I77" s="114" t="s">
        <v>1559</v>
      </c>
      <c r="J77" s="115" t="s">
        <v>1464</v>
      </c>
      <c r="K77" s="114" t="s">
        <v>2003</v>
      </c>
      <c r="L77" s="114"/>
      <c r="M77" s="114"/>
      <c r="N77" s="114"/>
      <c r="O77" s="121"/>
      <c r="P77" s="123"/>
      <c r="Q77" s="123"/>
      <c r="R77" s="114"/>
      <c r="S77" s="114"/>
      <c r="T77" s="114"/>
      <c r="U77" s="114"/>
      <c r="V77" s="114"/>
      <c r="W77" s="114"/>
      <c r="X77" s="118"/>
    </row>
    <row r="78">
      <c r="A78" s="115" t="s">
        <v>78</v>
      </c>
      <c r="B78" s="111" t="s">
        <v>1254</v>
      </c>
      <c r="C78" s="111" t="s">
        <v>1255</v>
      </c>
      <c r="D78" s="111" t="s">
        <v>2249</v>
      </c>
      <c r="E78" s="111" t="s">
        <v>56</v>
      </c>
      <c r="F78" s="113" t="s">
        <v>1233</v>
      </c>
      <c r="G78" s="113" t="s">
        <v>1233</v>
      </c>
      <c r="H78" s="113" t="s">
        <v>56</v>
      </c>
      <c r="I78" s="114" t="s">
        <v>1559</v>
      </c>
      <c r="J78" s="115" t="s">
        <v>1464</v>
      </c>
      <c r="K78" s="114" t="s">
        <v>2005</v>
      </c>
      <c r="L78" s="114"/>
      <c r="M78" s="114"/>
      <c r="N78" s="114"/>
      <c r="O78" s="121"/>
      <c r="P78" s="123"/>
      <c r="Q78" s="123"/>
      <c r="R78" s="114"/>
      <c r="S78" s="114"/>
      <c r="T78" s="114"/>
      <c r="U78" s="114"/>
      <c r="V78" s="114"/>
      <c r="W78" s="114"/>
      <c r="X78" s="118"/>
    </row>
    <row r="79">
      <c r="A79" s="115" t="s">
        <v>520</v>
      </c>
      <c r="B79" s="111" t="s">
        <v>1533</v>
      </c>
      <c r="C79" s="111" t="s">
        <v>1534</v>
      </c>
      <c r="D79" s="111" t="s">
        <v>2250</v>
      </c>
      <c r="E79" s="111" t="s">
        <v>56</v>
      </c>
      <c r="F79" s="113" t="s">
        <v>1233</v>
      </c>
      <c r="G79" s="113" t="s">
        <v>1233</v>
      </c>
      <c r="H79" s="113" t="s">
        <v>56</v>
      </c>
      <c r="I79" s="114" t="s">
        <v>1559</v>
      </c>
      <c r="J79" s="115" t="s">
        <v>1464</v>
      </c>
      <c r="K79" s="114" t="s">
        <v>2007</v>
      </c>
      <c r="L79" s="114"/>
      <c r="M79" s="114"/>
      <c r="N79" s="114"/>
      <c r="O79" s="121"/>
      <c r="P79" s="123"/>
      <c r="Q79" s="123"/>
      <c r="R79" s="114"/>
      <c r="S79" s="114"/>
      <c r="T79" s="114"/>
      <c r="U79" s="114"/>
      <c r="V79" s="114"/>
      <c r="W79" s="114"/>
      <c r="X79" s="118"/>
    </row>
    <row r="80">
      <c r="A80" s="115" t="s">
        <v>522</v>
      </c>
      <c r="B80" s="111" t="s">
        <v>1535</v>
      </c>
      <c r="C80" s="111" t="s">
        <v>1536</v>
      </c>
      <c r="D80" s="111" t="s">
        <v>2251</v>
      </c>
      <c r="E80" s="111" t="s">
        <v>56</v>
      </c>
      <c r="F80" s="113" t="s">
        <v>1233</v>
      </c>
      <c r="G80" s="113" t="s">
        <v>1233</v>
      </c>
      <c r="H80" s="113" t="s">
        <v>56</v>
      </c>
      <c r="I80" s="114" t="s">
        <v>1559</v>
      </c>
      <c r="J80" s="115" t="s">
        <v>1464</v>
      </c>
      <c r="K80" s="114" t="s">
        <v>2009</v>
      </c>
      <c r="L80" s="114"/>
      <c r="M80" s="114"/>
      <c r="N80" s="114"/>
      <c r="O80" s="121"/>
      <c r="P80" s="123"/>
      <c r="Q80" s="123"/>
      <c r="R80" s="114"/>
      <c r="S80" s="114"/>
      <c r="T80" s="114"/>
      <c r="U80" s="114"/>
      <c r="V80" s="114"/>
      <c r="W80" s="114"/>
      <c r="X80" s="118"/>
    </row>
    <row r="81">
      <c r="A81" s="115" t="s">
        <v>524</v>
      </c>
      <c r="B81" s="111" t="s">
        <v>1537</v>
      </c>
      <c r="C81" s="111" t="s">
        <v>1538</v>
      </c>
      <c r="D81" s="111" t="s">
        <v>2252</v>
      </c>
      <c r="E81" s="111" t="s">
        <v>56</v>
      </c>
      <c r="F81" s="113" t="s">
        <v>1233</v>
      </c>
      <c r="G81" s="113" t="s">
        <v>1233</v>
      </c>
      <c r="H81" s="113" t="s">
        <v>56</v>
      </c>
      <c r="I81" s="114" t="s">
        <v>1559</v>
      </c>
      <c r="J81" s="115" t="s">
        <v>1464</v>
      </c>
      <c r="K81" s="114" t="s">
        <v>2041</v>
      </c>
      <c r="L81" s="114"/>
      <c r="M81" s="114"/>
      <c r="N81" s="114"/>
      <c r="O81" s="121"/>
      <c r="P81" s="123"/>
      <c r="Q81" s="123"/>
      <c r="R81" s="114"/>
      <c r="S81" s="114"/>
      <c r="T81" s="114"/>
      <c r="U81" s="114"/>
      <c r="V81" s="114"/>
      <c r="W81" s="114"/>
      <c r="X81" s="118"/>
    </row>
    <row r="82">
      <c r="A82" s="115" t="s">
        <v>526</v>
      </c>
      <c r="B82" s="111" t="s">
        <v>1539</v>
      </c>
      <c r="C82" s="111" t="s">
        <v>1540</v>
      </c>
      <c r="D82" s="111" t="s">
        <v>2253</v>
      </c>
      <c r="E82" s="111" t="s">
        <v>56</v>
      </c>
      <c r="F82" s="113" t="s">
        <v>1233</v>
      </c>
      <c r="G82" s="113" t="s">
        <v>1233</v>
      </c>
      <c r="H82" s="113" t="s">
        <v>56</v>
      </c>
      <c r="I82" s="114" t="s">
        <v>1559</v>
      </c>
      <c r="J82" s="115" t="s">
        <v>1464</v>
      </c>
      <c r="K82" s="114" t="s">
        <v>2043</v>
      </c>
      <c r="L82" s="114"/>
      <c r="M82" s="114"/>
      <c r="N82" s="114"/>
      <c r="O82" s="121"/>
      <c r="P82" s="123"/>
      <c r="Q82" s="123"/>
      <c r="R82" s="114"/>
      <c r="S82" s="114"/>
      <c r="T82" s="114"/>
      <c r="U82" s="114"/>
      <c r="V82" s="114"/>
      <c r="W82" s="114"/>
      <c r="X82" s="118"/>
    </row>
    <row r="83">
      <c r="A83" s="115" t="s">
        <v>528</v>
      </c>
      <c r="B83" s="111" t="s">
        <v>1541</v>
      </c>
      <c r="C83" s="111" t="s">
        <v>1542</v>
      </c>
      <c r="D83" s="111" t="s">
        <v>2254</v>
      </c>
      <c r="E83" s="111" t="s">
        <v>56</v>
      </c>
      <c r="F83" s="113" t="s">
        <v>1233</v>
      </c>
      <c r="G83" s="113" t="s">
        <v>1233</v>
      </c>
      <c r="H83" s="113" t="s">
        <v>56</v>
      </c>
      <c r="I83" s="114" t="s">
        <v>1559</v>
      </c>
      <c r="J83" s="115" t="s">
        <v>1464</v>
      </c>
      <c r="K83" s="114" t="s">
        <v>2045</v>
      </c>
      <c r="L83" s="114"/>
      <c r="M83" s="114"/>
      <c r="N83" s="114"/>
      <c r="O83" s="121"/>
      <c r="P83" s="123"/>
      <c r="Q83" s="123"/>
      <c r="R83" s="114"/>
      <c r="S83" s="114"/>
      <c r="T83" s="114"/>
      <c r="U83" s="114"/>
      <c r="V83" s="114"/>
      <c r="W83" s="114"/>
      <c r="X83" s="118"/>
    </row>
  </sheetData>
  <mergeCells count="4">
    <mergeCell ref="A1:B1"/>
    <mergeCell ref="F1:H1"/>
    <mergeCell ref="I1:P1"/>
    <mergeCell ref="Q1:X1"/>
  </mergeCells>
  <conditionalFormatting sqref="G3 O3 L4:L83 T4:T83">
    <cfRule type="cellIs" dxfId="3" priority="1" operator="equal">
      <formula>"Yes"</formula>
    </cfRule>
  </conditionalFormatting>
  <conditionalFormatting sqref="G3 O3 L4:L83 T4:T83">
    <cfRule type="cellIs" dxfId="4" priority="2" operator="equal">
      <formula>"No"</formula>
    </cfRule>
  </conditionalFormatting>
  <conditionalFormatting sqref="G3 O3 L4:L83 T4:T83">
    <cfRule type="cellIs" dxfId="5" priority="3" operator="equal">
      <formula>"Maybe"</formula>
    </cfRule>
  </conditionalFormatting>
  <conditionalFormatting sqref="H3 M4:M83 U4:U83">
    <cfRule type="cellIs" dxfId="3" priority="4" operator="equal">
      <formula>"No Issues"</formula>
    </cfRule>
  </conditionalFormatting>
  <conditionalFormatting sqref="H3 M4:M83 U4:U83">
    <cfRule type="cellIs" dxfId="4" priority="5" operator="equal">
      <formula>"Unresolved Issue"</formula>
    </cfRule>
  </conditionalFormatting>
  <conditionalFormatting sqref="H3 M4:M83 U4:U83">
    <cfRule type="cellIs" dxfId="6" priority="6" operator="equal">
      <formula>"Repaired Issue"</formula>
    </cfRule>
  </conditionalFormatting>
  <conditionalFormatting sqref="H3 M4:M83 U4:U83">
    <cfRule type="cellIs" dxfId="7" priority="7" operator="equal">
      <formula>"To Check (RCC)"</formula>
    </cfRule>
  </conditionalFormatting>
  <dataValidations>
    <dataValidation type="list" allowBlank="1" sqref="O3 L4:L83 T4:T83">
      <formula1>"Yes,Maybe,No"</formula1>
    </dataValidation>
    <dataValidation type="list" allowBlank="1" sqref="M4:M83 U4:U83">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 r:id="rId159" ref="F83"/>
    <hyperlink r:id="rId160" ref="G83"/>
  </hyperlinks>
  <drawing r:id="rId16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0">IF($A$3:$A80&lt;&gt;"", XLOOKUP($A$3:$A80, Sourcepull!$B$3:$B80, Sourcepull!$A$3:$A80, ""), "")</f>
        <v/>
      </c>
      <c r="C3" s="57" t="str">
        <f t="array" ref="C3:C80">if($A$3:$A80&lt;&gt;"","SP-"&amp;$B$3:$B80&amp;"-"&amp;$A$3:$A80&amp;".pdf", "")</f>
        <v>SP--Keep this row hidden / do not edit!.pdf</v>
      </c>
      <c r="D3" s="57" t="str">
        <f t="array" ref="D3:D80">if($J$3:$J80&lt;&gt;"","R1-"&amp;$J$3:$J80&amp;"-"&amp;$K$3:$K80&amp;"-"&amp;$B$3:$B80&amp;"-"&amp;$A$3:$A80&amp;".pdf", "")</f>
        <v/>
      </c>
      <c r="E3" s="57" t="str">
        <f t="array" ref="E3:E80">if($R$3:$R80&lt;&gt;"","R2-"&amp;$R$3:$R80&amp;"-"&amp;$S$3:$S80&amp;"-"&amp;$B$3:$B80&amp;"-"&amp;$A$3:$A80&amp;".pdf", "")</f>
        <v/>
      </c>
      <c r="F3" s="107" t="str">
        <f t="array" ref="F3:F80">if($C$3:$C80 &lt;&gt; "", hyperlink("https://drive.google.com/drive/search?q=parent:" &amp; Properties!$C$8 &amp; "%20" &amp; char(34) &amp; $C$3:$C80 &amp; char(34), "➔"), "")</f>
        <v>➔</v>
      </c>
      <c r="G3" s="107" t="str">
        <f t="array" ref="G3:G80">if($D$3:$D80 &lt;&gt; "", hyperlink("https://drive.google.com/drive/search?q=parent:" &amp; Properties!$C$9 &amp; "%20" &amp; char(34) &amp; $D$3:$D80 &amp; char(34), "➔"), "")</f>
        <v/>
      </c>
      <c r="H3" s="107" t="str">
        <f t="array" ref="H3:H80">if($E$3:$E80 &lt;&gt; "", hyperlink("https://drive.google.com/drive/search?q=parent:" &amp; Properties!$C$10 &amp; "%20" &amp; char(34) &amp; $E$3:$E80 &amp; char(34), "➔"), "")</f>
        <v/>
      </c>
      <c r="I3" s="57"/>
      <c r="J3" s="57"/>
      <c r="K3" s="57"/>
      <c r="L3" s="57"/>
      <c r="M3" s="57"/>
      <c r="N3" s="57"/>
      <c r="O3" s="57"/>
      <c r="P3" s="108"/>
      <c r="Q3" s="109"/>
      <c r="R3" s="57"/>
      <c r="S3" s="57"/>
      <c r="T3" s="57"/>
      <c r="U3" s="57"/>
      <c r="V3" s="57"/>
      <c r="W3" s="57"/>
      <c r="X3" s="57"/>
    </row>
    <row r="4">
      <c r="A4" s="110" t="s">
        <v>531</v>
      </c>
      <c r="B4" s="111" t="s">
        <v>1543</v>
      </c>
      <c r="C4" s="111" t="s">
        <v>1544</v>
      </c>
      <c r="D4" s="111" t="s">
        <v>2255</v>
      </c>
      <c r="E4" s="111" t="s">
        <v>56</v>
      </c>
      <c r="F4" s="112" t="s">
        <v>1233</v>
      </c>
      <c r="G4" s="113" t="s">
        <v>1233</v>
      </c>
      <c r="H4" s="113" t="s">
        <v>56</v>
      </c>
      <c r="I4" s="114" t="s">
        <v>1800</v>
      </c>
      <c r="J4" s="115" t="s">
        <v>1466</v>
      </c>
      <c r="K4" s="114" t="s">
        <v>2001</v>
      </c>
      <c r="L4" s="114"/>
      <c r="M4" s="114"/>
      <c r="N4" s="114"/>
      <c r="O4" s="114"/>
      <c r="P4" s="116"/>
      <c r="Q4" s="117"/>
      <c r="R4" s="114"/>
      <c r="S4" s="114"/>
      <c r="T4" s="114"/>
      <c r="U4" s="114"/>
      <c r="V4" s="114"/>
      <c r="W4" s="114"/>
      <c r="X4" s="118"/>
    </row>
    <row r="5">
      <c r="A5" s="115" t="s">
        <v>533</v>
      </c>
      <c r="B5" s="111" t="s">
        <v>1545</v>
      </c>
      <c r="C5" s="111" t="s">
        <v>1546</v>
      </c>
      <c r="D5" s="111" t="s">
        <v>2256</v>
      </c>
      <c r="E5" s="111" t="s">
        <v>56</v>
      </c>
      <c r="F5" s="113" t="s">
        <v>1233</v>
      </c>
      <c r="G5" s="113" t="s">
        <v>1233</v>
      </c>
      <c r="H5" s="113" t="s">
        <v>56</v>
      </c>
      <c r="I5" s="114" t="s">
        <v>1800</v>
      </c>
      <c r="J5" s="115" t="s">
        <v>1466</v>
      </c>
      <c r="K5" s="114" t="s">
        <v>2003</v>
      </c>
      <c r="L5" s="114"/>
      <c r="M5" s="114"/>
      <c r="N5" s="119"/>
      <c r="O5" s="114"/>
      <c r="P5" s="120"/>
      <c r="Q5" s="117"/>
      <c r="R5" s="114"/>
      <c r="S5" s="114"/>
      <c r="T5" s="114"/>
      <c r="U5" s="114"/>
      <c r="V5" s="114"/>
      <c r="W5" s="114"/>
      <c r="X5" s="118"/>
    </row>
    <row r="6">
      <c r="A6" s="115" t="s">
        <v>535</v>
      </c>
      <c r="B6" s="111" t="s">
        <v>1547</v>
      </c>
      <c r="C6" s="111" t="s">
        <v>1548</v>
      </c>
      <c r="D6" s="111" t="s">
        <v>2257</v>
      </c>
      <c r="E6" s="111" t="s">
        <v>56</v>
      </c>
      <c r="F6" s="113" t="s">
        <v>1233</v>
      </c>
      <c r="G6" s="113" t="s">
        <v>1233</v>
      </c>
      <c r="H6" s="113" t="s">
        <v>56</v>
      </c>
      <c r="I6" s="114" t="s">
        <v>1800</v>
      </c>
      <c r="J6" s="115" t="s">
        <v>1466</v>
      </c>
      <c r="K6" s="114" t="s">
        <v>2005</v>
      </c>
      <c r="L6" s="114"/>
      <c r="M6" s="114"/>
      <c r="N6" s="114"/>
      <c r="O6" s="121"/>
      <c r="P6" s="116"/>
      <c r="Q6" s="117"/>
      <c r="R6" s="114"/>
      <c r="S6" s="114"/>
      <c r="T6" s="114"/>
      <c r="U6" s="114"/>
      <c r="V6" s="114"/>
      <c r="W6" s="114"/>
      <c r="X6" s="118"/>
    </row>
    <row r="7">
      <c r="A7" s="115" t="s">
        <v>538</v>
      </c>
      <c r="B7" s="111" t="s">
        <v>1549</v>
      </c>
      <c r="C7" s="111" t="s">
        <v>1550</v>
      </c>
      <c r="D7" s="111" t="s">
        <v>2258</v>
      </c>
      <c r="E7" s="111" t="s">
        <v>56</v>
      </c>
      <c r="F7" s="113" t="s">
        <v>1233</v>
      </c>
      <c r="G7" s="113" t="s">
        <v>1233</v>
      </c>
      <c r="H7" s="113" t="s">
        <v>56</v>
      </c>
      <c r="I7" s="114" t="s">
        <v>1800</v>
      </c>
      <c r="J7" s="115" t="s">
        <v>1468</v>
      </c>
      <c r="K7" s="114" t="s">
        <v>2001</v>
      </c>
      <c r="L7" s="114"/>
      <c r="M7" s="114"/>
      <c r="N7" s="114"/>
      <c r="O7" s="121"/>
      <c r="P7" s="122"/>
      <c r="Q7" s="123"/>
      <c r="R7" s="114"/>
      <c r="S7" s="114"/>
      <c r="T7" s="114"/>
      <c r="U7" s="114"/>
      <c r="V7" s="114"/>
      <c r="W7" s="114"/>
      <c r="X7" s="118"/>
    </row>
    <row r="8">
      <c r="A8" s="115" t="s">
        <v>538</v>
      </c>
      <c r="B8" s="111" t="s">
        <v>1549</v>
      </c>
      <c r="C8" s="111" t="s">
        <v>1550</v>
      </c>
      <c r="D8" s="111" t="s">
        <v>2259</v>
      </c>
      <c r="E8" s="111" t="s">
        <v>56</v>
      </c>
      <c r="F8" s="113" t="s">
        <v>1233</v>
      </c>
      <c r="G8" s="113" t="s">
        <v>1233</v>
      </c>
      <c r="H8" s="113" t="s">
        <v>56</v>
      </c>
      <c r="I8" s="114" t="s">
        <v>1800</v>
      </c>
      <c r="J8" s="115" t="s">
        <v>1470</v>
      </c>
      <c r="K8" s="114" t="s">
        <v>2001</v>
      </c>
      <c r="L8" s="114"/>
      <c r="M8" s="114"/>
      <c r="N8" s="114"/>
      <c r="O8" s="121"/>
      <c r="P8" s="122"/>
      <c r="Q8" s="123"/>
      <c r="R8" s="114"/>
      <c r="S8" s="114"/>
      <c r="T8" s="114"/>
      <c r="U8" s="114"/>
      <c r="V8" s="114"/>
      <c r="W8" s="114"/>
      <c r="X8" s="118"/>
    </row>
    <row r="9">
      <c r="A9" s="115" t="s">
        <v>543</v>
      </c>
      <c r="B9" s="111" t="s">
        <v>1551</v>
      </c>
      <c r="C9" s="111" t="s">
        <v>1552</v>
      </c>
      <c r="D9" s="111" t="s">
        <v>2260</v>
      </c>
      <c r="E9" s="111" t="s">
        <v>56</v>
      </c>
      <c r="F9" s="113" t="s">
        <v>1233</v>
      </c>
      <c r="G9" s="113" t="s">
        <v>1233</v>
      </c>
      <c r="H9" s="113" t="s">
        <v>56</v>
      </c>
      <c r="I9" s="114" t="s">
        <v>1800</v>
      </c>
      <c r="J9" s="115" t="s">
        <v>1472</v>
      </c>
      <c r="K9" s="114" t="s">
        <v>2001</v>
      </c>
      <c r="L9" s="114"/>
      <c r="M9" s="114"/>
      <c r="N9" s="114"/>
      <c r="O9" s="121"/>
      <c r="P9" s="122"/>
      <c r="Q9" s="123"/>
      <c r="R9" s="114"/>
      <c r="S9" s="114"/>
      <c r="T9" s="114"/>
      <c r="U9" s="114"/>
      <c r="V9" s="114"/>
      <c r="W9" s="114"/>
      <c r="X9" s="118"/>
    </row>
    <row r="10">
      <c r="A10" s="115" t="s">
        <v>478</v>
      </c>
      <c r="B10" s="111" t="s">
        <v>1501</v>
      </c>
      <c r="C10" s="111" t="s">
        <v>1502</v>
      </c>
      <c r="D10" s="111" t="s">
        <v>2261</v>
      </c>
      <c r="E10" s="111" t="s">
        <v>56</v>
      </c>
      <c r="F10" s="113" t="s">
        <v>1233</v>
      </c>
      <c r="G10" s="113" t="s">
        <v>1233</v>
      </c>
      <c r="H10" s="113" t="s">
        <v>56</v>
      </c>
      <c r="I10" s="114" t="s">
        <v>1800</v>
      </c>
      <c r="J10" s="115" t="s">
        <v>1474</v>
      </c>
      <c r="K10" s="114" t="s">
        <v>2001</v>
      </c>
      <c r="L10" s="114"/>
      <c r="M10" s="114"/>
      <c r="N10" s="114"/>
      <c r="O10" s="121"/>
      <c r="P10" s="122"/>
      <c r="Q10" s="123"/>
      <c r="R10" s="114"/>
      <c r="S10" s="114"/>
      <c r="T10" s="114"/>
      <c r="U10" s="114"/>
      <c r="V10" s="114"/>
      <c r="W10" s="114"/>
      <c r="X10" s="118"/>
    </row>
    <row r="11">
      <c r="A11" s="115" t="s">
        <v>240</v>
      </c>
      <c r="B11" s="111" t="s">
        <v>1383</v>
      </c>
      <c r="C11" s="111" t="s">
        <v>1384</v>
      </c>
      <c r="D11" s="111" t="s">
        <v>2262</v>
      </c>
      <c r="E11" s="111" t="s">
        <v>56</v>
      </c>
      <c r="F11" s="113" t="s">
        <v>1233</v>
      </c>
      <c r="G11" s="113" t="s">
        <v>1233</v>
      </c>
      <c r="H11" s="113" t="s">
        <v>56</v>
      </c>
      <c r="I11" s="114" t="s">
        <v>1800</v>
      </c>
      <c r="J11" s="115" t="s">
        <v>1474</v>
      </c>
      <c r="K11" s="114" t="s">
        <v>2003</v>
      </c>
      <c r="L11" s="114"/>
      <c r="M11" s="114"/>
      <c r="N11" s="114"/>
      <c r="O11" s="121"/>
      <c r="P11" s="122"/>
      <c r="Q11" s="123"/>
      <c r="R11" s="114"/>
      <c r="S11" s="114"/>
      <c r="T11" s="114"/>
      <c r="U11" s="114"/>
      <c r="V11" s="114"/>
      <c r="W11" s="114"/>
      <c r="X11" s="118"/>
    </row>
    <row r="12">
      <c r="A12" s="115" t="s">
        <v>464</v>
      </c>
      <c r="B12" s="111" t="s">
        <v>1489</v>
      </c>
      <c r="C12" s="111" t="s">
        <v>1490</v>
      </c>
      <c r="D12" s="111" t="s">
        <v>2263</v>
      </c>
      <c r="E12" s="111" t="s">
        <v>56</v>
      </c>
      <c r="F12" s="113" t="s">
        <v>1233</v>
      </c>
      <c r="G12" s="113" t="s">
        <v>1233</v>
      </c>
      <c r="H12" s="113" t="s">
        <v>56</v>
      </c>
      <c r="I12" s="114" t="s">
        <v>1800</v>
      </c>
      <c r="J12" s="115" t="s">
        <v>1476</v>
      </c>
      <c r="K12" s="114" t="s">
        <v>2001</v>
      </c>
      <c r="L12" s="114"/>
      <c r="M12" s="114"/>
      <c r="N12" s="114"/>
      <c r="O12" s="121"/>
      <c r="P12" s="123"/>
      <c r="Q12" s="123"/>
      <c r="R12" s="114"/>
      <c r="S12" s="114"/>
      <c r="T12" s="114"/>
      <c r="U12" s="114"/>
      <c r="V12" s="114"/>
      <c r="W12" s="114"/>
      <c r="X12" s="118"/>
    </row>
    <row r="13">
      <c r="A13" s="115" t="s">
        <v>488</v>
      </c>
      <c r="B13" s="111" t="s">
        <v>1511</v>
      </c>
      <c r="C13" s="111" t="s">
        <v>1512</v>
      </c>
      <c r="D13" s="111" t="s">
        <v>2264</v>
      </c>
      <c r="E13" s="111" t="s">
        <v>56</v>
      </c>
      <c r="F13" s="113" t="s">
        <v>1233</v>
      </c>
      <c r="G13" s="113" t="s">
        <v>1233</v>
      </c>
      <c r="H13" s="113" t="s">
        <v>56</v>
      </c>
      <c r="I13" s="114" t="s">
        <v>1800</v>
      </c>
      <c r="J13" s="115" t="s">
        <v>1479</v>
      </c>
      <c r="K13" s="114" t="s">
        <v>2001</v>
      </c>
      <c r="L13" s="114"/>
      <c r="M13" s="114"/>
      <c r="N13" s="114"/>
      <c r="O13" s="121"/>
      <c r="P13" s="123"/>
      <c r="Q13" s="123"/>
      <c r="R13" s="114"/>
      <c r="S13" s="114"/>
      <c r="T13" s="114"/>
      <c r="U13" s="114"/>
      <c r="V13" s="114"/>
      <c r="W13" s="114"/>
      <c r="X13" s="118"/>
    </row>
    <row r="14">
      <c r="A14" s="115" t="s">
        <v>482</v>
      </c>
      <c r="B14" s="111" t="s">
        <v>1505</v>
      </c>
      <c r="C14" s="111" t="s">
        <v>1506</v>
      </c>
      <c r="D14" s="111" t="s">
        <v>2265</v>
      </c>
      <c r="E14" s="111" t="s">
        <v>56</v>
      </c>
      <c r="F14" s="113" t="s">
        <v>1233</v>
      </c>
      <c r="G14" s="113" t="s">
        <v>1233</v>
      </c>
      <c r="H14" s="113" t="s">
        <v>56</v>
      </c>
      <c r="I14" s="114" t="s">
        <v>1800</v>
      </c>
      <c r="J14" s="115" t="s">
        <v>1479</v>
      </c>
      <c r="K14" s="114" t="s">
        <v>2003</v>
      </c>
      <c r="L14" s="114"/>
      <c r="M14" s="114"/>
      <c r="N14" s="114"/>
      <c r="O14" s="121"/>
      <c r="P14" s="123"/>
      <c r="Q14" s="123"/>
      <c r="R14" s="114"/>
      <c r="S14" s="114"/>
      <c r="T14" s="114"/>
      <c r="U14" s="114"/>
      <c r="V14" s="114"/>
      <c r="W14" s="114"/>
      <c r="X14" s="118"/>
    </row>
    <row r="15">
      <c r="A15" s="115" t="s">
        <v>502</v>
      </c>
      <c r="B15" s="111" t="s">
        <v>1523</v>
      </c>
      <c r="C15" s="111" t="s">
        <v>1524</v>
      </c>
      <c r="D15" s="111" t="s">
        <v>2266</v>
      </c>
      <c r="E15" s="111" t="s">
        <v>56</v>
      </c>
      <c r="F15" s="113" t="s">
        <v>1233</v>
      </c>
      <c r="G15" s="113" t="s">
        <v>1233</v>
      </c>
      <c r="H15" s="113" t="s">
        <v>56</v>
      </c>
      <c r="I15" s="114" t="s">
        <v>1800</v>
      </c>
      <c r="J15" s="115" t="s">
        <v>1481</v>
      </c>
      <c r="K15" s="114" t="s">
        <v>2001</v>
      </c>
      <c r="L15" s="114"/>
      <c r="M15" s="114"/>
      <c r="N15" s="114"/>
      <c r="O15" s="121"/>
      <c r="P15" s="123"/>
      <c r="Q15" s="123"/>
      <c r="R15" s="114"/>
      <c r="S15" s="114"/>
      <c r="T15" s="114"/>
      <c r="U15" s="114"/>
      <c r="V15" s="114"/>
      <c r="W15" s="114"/>
      <c r="X15" s="118"/>
    </row>
    <row r="16">
      <c r="A16" s="115" t="s">
        <v>558</v>
      </c>
      <c r="B16" s="111" t="s">
        <v>1555</v>
      </c>
      <c r="C16" s="111" t="s">
        <v>1556</v>
      </c>
      <c r="D16" s="111" t="s">
        <v>2267</v>
      </c>
      <c r="E16" s="111" t="s">
        <v>56</v>
      </c>
      <c r="F16" s="113" t="s">
        <v>1233</v>
      </c>
      <c r="G16" s="113" t="s">
        <v>1233</v>
      </c>
      <c r="H16" s="113" t="s">
        <v>56</v>
      </c>
      <c r="I16" s="114" t="s">
        <v>1800</v>
      </c>
      <c r="J16" s="115" t="s">
        <v>1483</v>
      </c>
      <c r="K16" s="114" t="s">
        <v>2001</v>
      </c>
      <c r="L16" s="114"/>
      <c r="M16" s="114"/>
      <c r="N16" s="114"/>
      <c r="O16" s="121"/>
      <c r="P16" s="123"/>
      <c r="Q16" s="123"/>
      <c r="R16" s="114"/>
      <c r="S16" s="114"/>
      <c r="T16" s="114"/>
      <c r="U16" s="114"/>
      <c r="V16" s="114"/>
      <c r="W16" s="114"/>
      <c r="X16" s="118"/>
    </row>
    <row r="17">
      <c r="A17" s="115" t="s">
        <v>486</v>
      </c>
      <c r="B17" s="111" t="s">
        <v>1509</v>
      </c>
      <c r="C17" s="111" t="s">
        <v>1510</v>
      </c>
      <c r="D17" s="111" t="s">
        <v>2268</v>
      </c>
      <c r="E17" s="111" t="s">
        <v>56</v>
      </c>
      <c r="F17" s="113" t="s">
        <v>1233</v>
      </c>
      <c r="G17" s="113" t="s">
        <v>1233</v>
      </c>
      <c r="H17" s="113" t="s">
        <v>56</v>
      </c>
      <c r="I17" s="114" t="s">
        <v>1800</v>
      </c>
      <c r="J17" s="115" t="s">
        <v>1483</v>
      </c>
      <c r="K17" s="114" t="s">
        <v>2003</v>
      </c>
      <c r="L17" s="114"/>
      <c r="M17" s="114"/>
      <c r="N17" s="114"/>
      <c r="O17" s="121"/>
      <c r="P17" s="123"/>
      <c r="Q17" s="123"/>
      <c r="R17" s="114"/>
      <c r="S17" s="114"/>
      <c r="T17" s="114"/>
      <c r="U17" s="114"/>
      <c r="V17" s="114"/>
      <c r="W17" s="114"/>
      <c r="X17" s="118"/>
    </row>
    <row r="18">
      <c r="A18" s="115" t="s">
        <v>531</v>
      </c>
      <c r="B18" s="111" t="s">
        <v>1543</v>
      </c>
      <c r="C18" s="111" t="s">
        <v>1544</v>
      </c>
      <c r="D18" s="111" t="s">
        <v>2269</v>
      </c>
      <c r="E18" s="111" t="s">
        <v>56</v>
      </c>
      <c r="F18" s="113" t="s">
        <v>1233</v>
      </c>
      <c r="G18" s="113" t="s">
        <v>1233</v>
      </c>
      <c r="H18" s="113" t="s">
        <v>56</v>
      </c>
      <c r="I18" s="114" t="s">
        <v>1800</v>
      </c>
      <c r="J18" s="115" t="s">
        <v>1485</v>
      </c>
      <c r="K18" s="114" t="s">
        <v>2001</v>
      </c>
      <c r="L18" s="114"/>
      <c r="M18" s="114"/>
      <c r="N18" s="114"/>
      <c r="O18" s="121"/>
      <c r="P18" s="123"/>
      <c r="Q18" s="123"/>
      <c r="R18" s="114"/>
      <c r="S18" s="114"/>
      <c r="T18" s="114"/>
      <c r="U18" s="114"/>
      <c r="V18" s="114"/>
      <c r="W18" s="114"/>
      <c r="X18" s="118"/>
    </row>
    <row r="19">
      <c r="A19" s="115" t="s">
        <v>488</v>
      </c>
      <c r="B19" s="111" t="s">
        <v>1511</v>
      </c>
      <c r="C19" s="111" t="s">
        <v>1512</v>
      </c>
      <c r="D19" s="111" t="s">
        <v>2270</v>
      </c>
      <c r="E19" s="111" t="s">
        <v>56</v>
      </c>
      <c r="F19" s="113" t="s">
        <v>1233</v>
      </c>
      <c r="G19" s="113" t="s">
        <v>1233</v>
      </c>
      <c r="H19" s="113" t="s">
        <v>56</v>
      </c>
      <c r="I19" s="114" t="s">
        <v>1800</v>
      </c>
      <c r="J19" s="115" t="s">
        <v>1487</v>
      </c>
      <c r="K19" s="114" t="s">
        <v>2001</v>
      </c>
      <c r="L19" s="114"/>
      <c r="M19" s="114"/>
      <c r="N19" s="114"/>
      <c r="O19" s="121"/>
      <c r="P19" s="123"/>
      <c r="Q19" s="123"/>
      <c r="R19" s="114"/>
      <c r="S19" s="114"/>
      <c r="T19" s="114"/>
      <c r="U19" s="114"/>
      <c r="V19" s="114"/>
      <c r="W19" s="114"/>
      <c r="X19" s="118"/>
    </row>
    <row r="20">
      <c r="A20" s="115" t="s">
        <v>563</v>
      </c>
      <c r="B20" s="111" t="s">
        <v>1557</v>
      </c>
      <c r="C20" s="111" t="s">
        <v>1558</v>
      </c>
      <c r="D20" s="111" t="s">
        <v>2271</v>
      </c>
      <c r="E20" s="111" t="s">
        <v>56</v>
      </c>
      <c r="F20" s="113" t="s">
        <v>1233</v>
      </c>
      <c r="G20" s="113" t="s">
        <v>1233</v>
      </c>
      <c r="H20" s="113" t="s">
        <v>56</v>
      </c>
      <c r="I20" s="114" t="s">
        <v>1800</v>
      </c>
      <c r="J20" s="115" t="s">
        <v>1487</v>
      </c>
      <c r="K20" s="114" t="s">
        <v>2003</v>
      </c>
      <c r="L20" s="114"/>
      <c r="M20" s="114"/>
      <c r="N20" s="114"/>
      <c r="O20" s="121"/>
      <c r="P20" s="123"/>
      <c r="Q20" s="123"/>
      <c r="R20" s="114"/>
      <c r="S20" s="114"/>
      <c r="T20" s="114"/>
      <c r="U20" s="114"/>
      <c r="V20" s="114"/>
      <c r="W20" s="114"/>
      <c r="X20" s="118"/>
    </row>
    <row r="21">
      <c r="A21" s="115" t="s">
        <v>453</v>
      </c>
      <c r="B21" s="111" t="s">
        <v>1487</v>
      </c>
      <c r="C21" s="111" t="s">
        <v>1488</v>
      </c>
      <c r="D21" s="111" t="s">
        <v>2272</v>
      </c>
      <c r="E21" s="111" t="s">
        <v>56</v>
      </c>
      <c r="F21" s="113" t="s">
        <v>1233</v>
      </c>
      <c r="G21" s="113" t="s">
        <v>1233</v>
      </c>
      <c r="H21" s="113" t="s">
        <v>56</v>
      </c>
      <c r="I21" s="114" t="s">
        <v>1800</v>
      </c>
      <c r="J21" s="115" t="s">
        <v>1487</v>
      </c>
      <c r="K21" s="114" t="s">
        <v>2005</v>
      </c>
      <c r="L21" s="114"/>
      <c r="M21" s="114"/>
      <c r="N21" s="114"/>
      <c r="O21" s="121"/>
      <c r="P21" s="123"/>
      <c r="Q21" s="123"/>
      <c r="R21" s="114"/>
      <c r="S21" s="114"/>
      <c r="T21" s="114"/>
      <c r="U21" s="114"/>
      <c r="V21" s="114"/>
      <c r="W21" s="114"/>
      <c r="X21" s="118"/>
    </row>
    <row r="22">
      <c r="A22" s="115" t="s">
        <v>450</v>
      </c>
      <c r="B22" s="111" t="s">
        <v>1485</v>
      </c>
      <c r="C22" s="111" t="s">
        <v>1486</v>
      </c>
      <c r="D22" s="111" t="s">
        <v>2273</v>
      </c>
      <c r="E22" s="111" t="s">
        <v>56</v>
      </c>
      <c r="F22" s="113" t="s">
        <v>1233</v>
      </c>
      <c r="G22" s="113" t="s">
        <v>1233</v>
      </c>
      <c r="H22" s="113" t="s">
        <v>56</v>
      </c>
      <c r="I22" s="114" t="s">
        <v>1800</v>
      </c>
      <c r="J22" s="115" t="s">
        <v>1487</v>
      </c>
      <c r="K22" s="114" t="s">
        <v>2007</v>
      </c>
      <c r="L22" s="114"/>
      <c r="M22" s="114"/>
      <c r="N22" s="114"/>
      <c r="O22" s="121"/>
      <c r="P22" s="123"/>
      <c r="Q22" s="123"/>
      <c r="R22" s="114"/>
      <c r="S22" s="114"/>
      <c r="T22" s="114"/>
      <c r="U22" s="114"/>
      <c r="V22" s="114"/>
      <c r="W22" s="114"/>
      <c r="X22" s="118"/>
    </row>
    <row r="23">
      <c r="A23" s="115" t="s">
        <v>531</v>
      </c>
      <c r="B23" s="111" t="s">
        <v>1543</v>
      </c>
      <c r="C23" s="111" t="s">
        <v>1544</v>
      </c>
      <c r="D23" s="111" t="s">
        <v>2274</v>
      </c>
      <c r="E23" s="111" t="s">
        <v>56</v>
      </c>
      <c r="F23" s="113" t="s">
        <v>1233</v>
      </c>
      <c r="G23" s="113" t="s">
        <v>1233</v>
      </c>
      <c r="H23" s="113" t="s">
        <v>56</v>
      </c>
      <c r="I23" s="114" t="s">
        <v>1800</v>
      </c>
      <c r="J23" s="115" t="s">
        <v>1489</v>
      </c>
      <c r="K23" s="114" t="s">
        <v>2001</v>
      </c>
      <c r="L23" s="114"/>
      <c r="M23" s="114"/>
      <c r="N23" s="114"/>
      <c r="O23" s="121"/>
      <c r="P23" s="123"/>
      <c r="Q23" s="123"/>
      <c r="R23" s="114"/>
      <c r="S23" s="114"/>
      <c r="T23" s="114"/>
      <c r="U23" s="114"/>
      <c r="V23" s="114"/>
      <c r="W23" s="114"/>
      <c r="X23" s="118"/>
    </row>
    <row r="24">
      <c r="A24" s="115" t="s">
        <v>569</v>
      </c>
      <c r="B24" s="111" t="s">
        <v>1560</v>
      </c>
      <c r="C24" s="111" t="s">
        <v>1561</v>
      </c>
      <c r="D24" s="111" t="s">
        <v>2275</v>
      </c>
      <c r="E24" s="111" t="s">
        <v>56</v>
      </c>
      <c r="F24" s="113" t="s">
        <v>1233</v>
      </c>
      <c r="G24" s="113" t="s">
        <v>1233</v>
      </c>
      <c r="H24" s="113" t="s">
        <v>56</v>
      </c>
      <c r="I24" s="114" t="s">
        <v>1800</v>
      </c>
      <c r="J24" s="115" t="s">
        <v>1491</v>
      </c>
      <c r="K24" s="114" t="s">
        <v>2001</v>
      </c>
      <c r="L24" s="114"/>
      <c r="M24" s="114"/>
      <c r="N24" s="114"/>
      <c r="O24" s="121"/>
      <c r="P24" s="123"/>
      <c r="Q24" s="123"/>
      <c r="R24" s="114"/>
      <c r="S24" s="114"/>
      <c r="T24" s="114"/>
      <c r="U24" s="114"/>
      <c r="V24" s="114"/>
      <c r="W24" s="114"/>
      <c r="X24" s="118"/>
    </row>
    <row r="25">
      <c r="A25" s="115" t="s">
        <v>103</v>
      </c>
      <c r="B25" s="111" t="s">
        <v>1276</v>
      </c>
      <c r="C25" s="111" t="s">
        <v>1277</v>
      </c>
      <c r="D25" s="111" t="s">
        <v>2276</v>
      </c>
      <c r="E25" s="111" t="s">
        <v>56</v>
      </c>
      <c r="F25" s="113" t="s">
        <v>1233</v>
      </c>
      <c r="G25" s="113" t="s">
        <v>1233</v>
      </c>
      <c r="H25" s="113" t="s">
        <v>56</v>
      </c>
      <c r="I25" s="114" t="s">
        <v>1800</v>
      </c>
      <c r="J25" s="115" t="s">
        <v>1491</v>
      </c>
      <c r="K25" s="114" t="s">
        <v>2003</v>
      </c>
      <c r="L25" s="114"/>
      <c r="M25" s="114"/>
      <c r="N25" s="114"/>
      <c r="O25" s="121"/>
      <c r="P25" s="123"/>
      <c r="Q25" s="123"/>
      <c r="R25" s="114"/>
      <c r="S25" s="114"/>
      <c r="T25" s="114"/>
      <c r="U25" s="114"/>
      <c r="V25" s="114"/>
      <c r="W25" s="114"/>
      <c r="X25" s="118"/>
    </row>
    <row r="26">
      <c r="A26" s="115" t="s">
        <v>573</v>
      </c>
      <c r="B26" s="111" t="s">
        <v>1562</v>
      </c>
      <c r="C26" s="111" t="s">
        <v>1563</v>
      </c>
      <c r="D26" s="111" t="s">
        <v>2277</v>
      </c>
      <c r="E26" s="111" t="s">
        <v>56</v>
      </c>
      <c r="F26" s="113" t="s">
        <v>1233</v>
      </c>
      <c r="G26" s="113" t="s">
        <v>1233</v>
      </c>
      <c r="H26" s="113" t="s">
        <v>56</v>
      </c>
      <c r="I26" s="114" t="s">
        <v>1800</v>
      </c>
      <c r="J26" s="115" t="s">
        <v>1493</v>
      </c>
      <c r="K26" s="114" t="s">
        <v>2001</v>
      </c>
      <c r="L26" s="114"/>
      <c r="M26" s="114"/>
      <c r="N26" s="114"/>
      <c r="O26" s="121"/>
      <c r="P26" s="123"/>
      <c r="Q26" s="123"/>
      <c r="R26" s="114"/>
      <c r="S26" s="114"/>
      <c r="T26" s="114"/>
      <c r="U26" s="114"/>
      <c r="V26" s="114"/>
      <c r="W26" s="114"/>
      <c r="X26" s="118"/>
    </row>
    <row r="27">
      <c r="A27" s="115" t="s">
        <v>576</v>
      </c>
      <c r="B27" s="111" t="s">
        <v>1564</v>
      </c>
      <c r="C27" s="111" t="s">
        <v>1565</v>
      </c>
      <c r="D27" s="111" t="s">
        <v>2278</v>
      </c>
      <c r="E27" s="111" t="s">
        <v>56</v>
      </c>
      <c r="F27" s="113" t="s">
        <v>1233</v>
      </c>
      <c r="G27" s="113" t="s">
        <v>1233</v>
      </c>
      <c r="H27" s="113" t="s">
        <v>56</v>
      </c>
      <c r="I27" s="114" t="s">
        <v>1800</v>
      </c>
      <c r="J27" s="115" t="s">
        <v>1495</v>
      </c>
      <c r="K27" s="114" t="s">
        <v>2001</v>
      </c>
      <c r="L27" s="114"/>
      <c r="M27" s="114"/>
      <c r="N27" s="114"/>
      <c r="O27" s="121"/>
      <c r="P27" s="123"/>
      <c r="Q27" s="123"/>
      <c r="R27" s="114"/>
      <c r="S27" s="114"/>
      <c r="T27" s="114"/>
      <c r="U27" s="114"/>
      <c r="V27" s="114"/>
      <c r="W27" s="114"/>
      <c r="X27" s="118"/>
    </row>
    <row r="28">
      <c r="A28" s="115" t="s">
        <v>137</v>
      </c>
      <c r="B28" s="111" t="s">
        <v>1304</v>
      </c>
      <c r="C28" s="111" t="s">
        <v>1305</v>
      </c>
      <c r="D28" s="111" t="s">
        <v>2279</v>
      </c>
      <c r="E28" s="111" t="s">
        <v>56</v>
      </c>
      <c r="F28" s="113" t="s">
        <v>1233</v>
      </c>
      <c r="G28" s="113" t="s">
        <v>1233</v>
      </c>
      <c r="H28" s="113" t="s">
        <v>56</v>
      </c>
      <c r="I28" s="114" t="s">
        <v>1800</v>
      </c>
      <c r="J28" s="115" t="s">
        <v>1497</v>
      </c>
      <c r="K28" s="114" t="s">
        <v>2001</v>
      </c>
      <c r="L28" s="114"/>
      <c r="M28" s="114"/>
      <c r="N28" s="114"/>
      <c r="O28" s="121"/>
      <c r="P28" s="123"/>
      <c r="Q28" s="123"/>
      <c r="R28" s="114"/>
      <c r="S28" s="114"/>
      <c r="T28" s="114"/>
      <c r="U28" s="114"/>
      <c r="V28" s="114"/>
      <c r="W28" s="114"/>
      <c r="X28" s="118"/>
    </row>
    <row r="29">
      <c r="A29" s="115" t="s">
        <v>103</v>
      </c>
      <c r="B29" s="111" t="s">
        <v>1276</v>
      </c>
      <c r="C29" s="111" t="s">
        <v>1277</v>
      </c>
      <c r="D29" s="111" t="s">
        <v>2280</v>
      </c>
      <c r="E29" s="111" t="s">
        <v>56</v>
      </c>
      <c r="F29" s="113" t="s">
        <v>1233</v>
      </c>
      <c r="G29" s="113" t="s">
        <v>1233</v>
      </c>
      <c r="H29" s="113" t="s">
        <v>56</v>
      </c>
      <c r="I29" s="114" t="s">
        <v>1800</v>
      </c>
      <c r="J29" s="115" t="s">
        <v>1499</v>
      </c>
      <c r="K29" s="114" t="s">
        <v>2001</v>
      </c>
      <c r="L29" s="114"/>
      <c r="M29" s="114"/>
      <c r="N29" s="114"/>
      <c r="O29" s="121"/>
      <c r="P29" s="123"/>
      <c r="Q29" s="123"/>
      <c r="R29" s="114"/>
      <c r="S29" s="114"/>
      <c r="T29" s="114"/>
      <c r="U29" s="114"/>
      <c r="V29" s="114"/>
      <c r="W29" s="114"/>
      <c r="X29" s="118"/>
    </row>
    <row r="30">
      <c r="A30" s="115" t="s">
        <v>101</v>
      </c>
      <c r="B30" s="111" t="s">
        <v>1274</v>
      </c>
      <c r="C30" s="111" t="s">
        <v>1275</v>
      </c>
      <c r="D30" s="111" t="s">
        <v>2281</v>
      </c>
      <c r="E30" s="111" t="s">
        <v>56</v>
      </c>
      <c r="F30" s="113" t="s">
        <v>1233</v>
      </c>
      <c r="G30" s="113" t="s">
        <v>1233</v>
      </c>
      <c r="H30" s="113" t="s">
        <v>56</v>
      </c>
      <c r="I30" s="114" t="s">
        <v>1800</v>
      </c>
      <c r="J30" s="115" t="s">
        <v>1499</v>
      </c>
      <c r="K30" s="114" t="s">
        <v>2003</v>
      </c>
      <c r="L30" s="114"/>
      <c r="M30" s="114"/>
      <c r="N30" s="114"/>
      <c r="O30" s="121"/>
      <c r="P30" s="123"/>
      <c r="Q30" s="123"/>
      <c r="R30" s="114"/>
      <c r="S30" s="114"/>
      <c r="T30" s="114"/>
      <c r="U30" s="114"/>
      <c r="V30" s="114"/>
      <c r="W30" s="114"/>
      <c r="X30" s="118"/>
    </row>
    <row r="31">
      <c r="A31" s="115" t="s">
        <v>101</v>
      </c>
      <c r="B31" s="111" t="s">
        <v>1274</v>
      </c>
      <c r="C31" s="111" t="s">
        <v>1275</v>
      </c>
      <c r="D31" s="111" t="s">
        <v>2282</v>
      </c>
      <c r="E31" s="111" t="s">
        <v>56</v>
      </c>
      <c r="F31" s="113" t="s">
        <v>1233</v>
      </c>
      <c r="G31" s="113" t="s">
        <v>1233</v>
      </c>
      <c r="H31" s="113" t="s">
        <v>56</v>
      </c>
      <c r="I31" s="114" t="s">
        <v>1800</v>
      </c>
      <c r="J31" s="115" t="s">
        <v>1499</v>
      </c>
      <c r="K31" s="114" t="s">
        <v>2005</v>
      </c>
      <c r="L31" s="114"/>
      <c r="M31" s="114"/>
      <c r="N31" s="114"/>
      <c r="O31" s="121"/>
      <c r="P31" s="123"/>
      <c r="Q31" s="123"/>
      <c r="R31" s="114"/>
      <c r="S31" s="114"/>
      <c r="T31" s="114"/>
      <c r="U31" s="114"/>
      <c r="V31" s="114"/>
      <c r="W31" s="114"/>
      <c r="X31" s="118"/>
    </row>
    <row r="32">
      <c r="A32" s="115" t="s">
        <v>111</v>
      </c>
      <c r="B32" s="111" t="s">
        <v>1284</v>
      </c>
      <c r="C32" s="111" t="s">
        <v>1285</v>
      </c>
      <c r="D32" s="111" t="s">
        <v>2283</v>
      </c>
      <c r="E32" s="111" t="s">
        <v>56</v>
      </c>
      <c r="F32" s="113" t="s">
        <v>1233</v>
      </c>
      <c r="G32" s="113" t="s">
        <v>1233</v>
      </c>
      <c r="H32" s="113" t="s">
        <v>56</v>
      </c>
      <c r="I32" s="114" t="s">
        <v>1800</v>
      </c>
      <c r="J32" s="115" t="s">
        <v>1499</v>
      </c>
      <c r="K32" s="114" t="s">
        <v>2007</v>
      </c>
      <c r="L32" s="114"/>
      <c r="M32" s="114"/>
      <c r="N32" s="114"/>
      <c r="O32" s="121"/>
      <c r="P32" s="123"/>
      <c r="Q32" s="123"/>
      <c r="R32" s="114"/>
      <c r="S32" s="114"/>
      <c r="T32" s="114"/>
      <c r="U32" s="114"/>
      <c r="V32" s="114"/>
      <c r="W32" s="114"/>
      <c r="X32" s="118"/>
    </row>
    <row r="33">
      <c r="A33" s="115" t="s">
        <v>583</v>
      </c>
      <c r="B33" s="111" t="s">
        <v>1566</v>
      </c>
      <c r="C33" s="111" t="s">
        <v>1567</v>
      </c>
      <c r="D33" s="111" t="s">
        <v>2284</v>
      </c>
      <c r="E33" s="111" t="s">
        <v>56</v>
      </c>
      <c r="F33" s="113" t="s">
        <v>1233</v>
      </c>
      <c r="G33" s="113" t="s">
        <v>1233</v>
      </c>
      <c r="H33" s="113" t="s">
        <v>56</v>
      </c>
      <c r="I33" s="114" t="s">
        <v>1800</v>
      </c>
      <c r="J33" s="115" t="s">
        <v>1501</v>
      </c>
      <c r="K33" s="114" t="s">
        <v>2001</v>
      </c>
      <c r="L33" s="114"/>
      <c r="M33" s="114"/>
      <c r="N33" s="114"/>
      <c r="O33" s="121"/>
      <c r="P33" s="123"/>
      <c r="Q33" s="123"/>
      <c r="R33" s="114"/>
      <c r="S33" s="114"/>
      <c r="T33" s="114"/>
      <c r="U33" s="114"/>
      <c r="V33" s="114"/>
      <c r="W33" s="114"/>
      <c r="X33" s="118"/>
    </row>
    <row r="34">
      <c r="A34" s="115" t="s">
        <v>586</v>
      </c>
      <c r="B34" s="111" t="s">
        <v>1568</v>
      </c>
      <c r="C34" s="111" t="s">
        <v>1569</v>
      </c>
      <c r="D34" s="111" t="s">
        <v>2285</v>
      </c>
      <c r="E34" s="111" t="s">
        <v>56</v>
      </c>
      <c r="F34" s="113" t="s">
        <v>1233</v>
      </c>
      <c r="G34" s="113" t="s">
        <v>1233</v>
      </c>
      <c r="H34" s="113" t="s">
        <v>56</v>
      </c>
      <c r="I34" s="114" t="s">
        <v>1800</v>
      </c>
      <c r="J34" s="115" t="s">
        <v>1503</v>
      </c>
      <c r="K34" s="114" t="s">
        <v>2001</v>
      </c>
      <c r="L34" s="114"/>
      <c r="M34" s="114"/>
      <c r="N34" s="114"/>
      <c r="O34" s="121"/>
      <c r="P34" s="123"/>
      <c r="Q34" s="123"/>
      <c r="R34" s="114"/>
      <c r="S34" s="114"/>
      <c r="T34" s="114"/>
      <c r="U34" s="114"/>
      <c r="V34" s="114"/>
      <c r="W34" s="114"/>
      <c r="X34" s="118"/>
    </row>
    <row r="35">
      <c r="A35" s="115" t="s">
        <v>588</v>
      </c>
      <c r="B35" s="111" t="s">
        <v>1570</v>
      </c>
      <c r="C35" s="111" t="s">
        <v>1571</v>
      </c>
      <c r="D35" s="111" t="s">
        <v>2286</v>
      </c>
      <c r="E35" s="111" t="s">
        <v>56</v>
      </c>
      <c r="F35" s="113" t="s">
        <v>1233</v>
      </c>
      <c r="G35" s="113" t="s">
        <v>1233</v>
      </c>
      <c r="H35" s="113" t="s">
        <v>56</v>
      </c>
      <c r="I35" s="114" t="s">
        <v>1800</v>
      </c>
      <c r="J35" s="115" t="s">
        <v>1503</v>
      </c>
      <c r="K35" s="114" t="s">
        <v>2003</v>
      </c>
      <c r="L35" s="114"/>
      <c r="M35" s="114"/>
      <c r="N35" s="114"/>
      <c r="O35" s="121"/>
      <c r="P35" s="123"/>
      <c r="Q35" s="123"/>
      <c r="R35" s="114"/>
      <c r="S35" s="114"/>
      <c r="T35" s="114"/>
      <c r="U35" s="114"/>
      <c r="V35" s="114"/>
      <c r="W35" s="114"/>
      <c r="X35" s="118"/>
    </row>
    <row r="36">
      <c r="A36" s="115" t="s">
        <v>591</v>
      </c>
      <c r="B36" s="111" t="s">
        <v>1572</v>
      </c>
      <c r="C36" s="111" t="s">
        <v>1573</v>
      </c>
      <c r="D36" s="111" t="s">
        <v>2287</v>
      </c>
      <c r="E36" s="111" t="s">
        <v>56</v>
      </c>
      <c r="F36" s="113" t="s">
        <v>1233</v>
      </c>
      <c r="G36" s="113" t="s">
        <v>1233</v>
      </c>
      <c r="H36" s="113" t="s">
        <v>56</v>
      </c>
      <c r="I36" s="114" t="s">
        <v>1800</v>
      </c>
      <c r="J36" s="115" t="s">
        <v>1505</v>
      </c>
      <c r="K36" s="114" t="s">
        <v>2001</v>
      </c>
      <c r="L36" s="114"/>
      <c r="M36" s="114"/>
      <c r="N36" s="114"/>
      <c r="O36" s="121"/>
      <c r="P36" s="123"/>
      <c r="Q36" s="123"/>
      <c r="R36" s="114"/>
      <c r="S36" s="114"/>
      <c r="T36" s="114"/>
      <c r="U36" s="114"/>
      <c r="V36" s="114"/>
      <c r="W36" s="114"/>
      <c r="X36" s="118"/>
    </row>
    <row r="37">
      <c r="A37" s="115" t="s">
        <v>593</v>
      </c>
      <c r="B37" s="111" t="s">
        <v>1574</v>
      </c>
      <c r="C37" s="111" t="s">
        <v>1575</v>
      </c>
      <c r="D37" s="111" t="s">
        <v>2288</v>
      </c>
      <c r="E37" s="111" t="s">
        <v>56</v>
      </c>
      <c r="F37" s="113" t="s">
        <v>1233</v>
      </c>
      <c r="G37" s="113" t="s">
        <v>1233</v>
      </c>
      <c r="H37" s="113" t="s">
        <v>56</v>
      </c>
      <c r="I37" s="114" t="s">
        <v>1800</v>
      </c>
      <c r="J37" s="115" t="s">
        <v>1505</v>
      </c>
      <c r="K37" s="114" t="s">
        <v>2003</v>
      </c>
      <c r="L37" s="114"/>
      <c r="M37" s="114"/>
      <c r="N37" s="114"/>
      <c r="O37" s="121"/>
      <c r="P37" s="123"/>
      <c r="Q37" s="123"/>
      <c r="R37" s="114"/>
      <c r="S37" s="114"/>
      <c r="T37" s="114"/>
      <c r="U37" s="114"/>
      <c r="V37" s="114"/>
      <c r="W37" s="114"/>
      <c r="X37" s="118"/>
    </row>
    <row r="38">
      <c r="A38" s="115" t="s">
        <v>595</v>
      </c>
      <c r="B38" s="111" t="s">
        <v>1576</v>
      </c>
      <c r="C38" s="111" t="s">
        <v>1577</v>
      </c>
      <c r="D38" s="111" t="s">
        <v>2289</v>
      </c>
      <c r="E38" s="111" t="s">
        <v>56</v>
      </c>
      <c r="F38" s="113" t="s">
        <v>1233</v>
      </c>
      <c r="G38" s="113" t="s">
        <v>1233</v>
      </c>
      <c r="H38" s="113" t="s">
        <v>56</v>
      </c>
      <c r="I38" s="114" t="s">
        <v>1800</v>
      </c>
      <c r="J38" s="115" t="s">
        <v>1505</v>
      </c>
      <c r="K38" s="114" t="s">
        <v>2005</v>
      </c>
      <c r="L38" s="114"/>
      <c r="M38" s="114"/>
      <c r="N38" s="114"/>
      <c r="O38" s="121"/>
      <c r="P38" s="123"/>
      <c r="Q38" s="123"/>
      <c r="R38" s="114"/>
      <c r="S38" s="114"/>
      <c r="T38" s="114"/>
      <c r="U38" s="114"/>
      <c r="V38" s="114"/>
      <c r="W38" s="114"/>
      <c r="X38" s="118"/>
    </row>
    <row r="39">
      <c r="A39" s="115" t="s">
        <v>597</v>
      </c>
      <c r="B39" s="111" t="s">
        <v>1578</v>
      </c>
      <c r="C39" s="111" t="s">
        <v>1579</v>
      </c>
      <c r="D39" s="111" t="s">
        <v>2290</v>
      </c>
      <c r="E39" s="111" t="s">
        <v>56</v>
      </c>
      <c r="F39" s="113" t="s">
        <v>1233</v>
      </c>
      <c r="G39" s="113" t="s">
        <v>1233</v>
      </c>
      <c r="H39" s="113" t="s">
        <v>56</v>
      </c>
      <c r="I39" s="114" t="s">
        <v>1800</v>
      </c>
      <c r="J39" s="115" t="s">
        <v>1505</v>
      </c>
      <c r="K39" s="114" t="s">
        <v>2007</v>
      </c>
      <c r="L39" s="114"/>
      <c r="M39" s="114"/>
      <c r="N39" s="114"/>
      <c r="O39" s="121"/>
      <c r="P39" s="123"/>
      <c r="Q39" s="123"/>
      <c r="R39" s="114"/>
      <c r="S39" s="114"/>
      <c r="T39" s="114"/>
      <c r="U39" s="114"/>
      <c r="V39" s="114"/>
      <c r="W39" s="114"/>
      <c r="X39" s="118"/>
    </row>
    <row r="40">
      <c r="A40" s="115" t="s">
        <v>600</v>
      </c>
      <c r="B40" s="111" t="s">
        <v>1580</v>
      </c>
      <c r="C40" s="111" t="s">
        <v>1581</v>
      </c>
      <c r="D40" s="111" t="s">
        <v>2291</v>
      </c>
      <c r="E40" s="111" t="s">
        <v>56</v>
      </c>
      <c r="F40" s="113" t="s">
        <v>1233</v>
      </c>
      <c r="G40" s="113" t="s">
        <v>1233</v>
      </c>
      <c r="H40" s="113" t="s">
        <v>56</v>
      </c>
      <c r="I40" s="114" t="s">
        <v>1800</v>
      </c>
      <c r="J40" s="115" t="s">
        <v>1507</v>
      </c>
      <c r="K40" s="114" t="s">
        <v>2001</v>
      </c>
      <c r="L40" s="114"/>
      <c r="M40" s="114"/>
      <c r="N40" s="114"/>
      <c r="O40" s="121"/>
      <c r="P40" s="123"/>
      <c r="Q40" s="123"/>
      <c r="R40" s="114"/>
      <c r="S40" s="114"/>
      <c r="T40" s="114"/>
      <c r="U40" s="114"/>
      <c r="V40" s="114"/>
      <c r="W40" s="114"/>
      <c r="X40" s="118"/>
    </row>
    <row r="41">
      <c r="A41" s="115" t="s">
        <v>602</v>
      </c>
      <c r="B41" s="111" t="s">
        <v>1582</v>
      </c>
      <c r="C41" s="111" t="s">
        <v>1583</v>
      </c>
      <c r="D41" s="111" t="s">
        <v>2292</v>
      </c>
      <c r="E41" s="111" t="s">
        <v>56</v>
      </c>
      <c r="F41" s="113" t="s">
        <v>1233</v>
      </c>
      <c r="G41" s="113" t="s">
        <v>1233</v>
      </c>
      <c r="H41" s="113" t="s">
        <v>56</v>
      </c>
      <c r="I41" s="114" t="s">
        <v>1800</v>
      </c>
      <c r="J41" s="115" t="s">
        <v>1507</v>
      </c>
      <c r="K41" s="114" t="s">
        <v>2003</v>
      </c>
      <c r="L41" s="114"/>
      <c r="M41" s="114"/>
      <c r="N41" s="114"/>
      <c r="O41" s="121"/>
      <c r="P41" s="123"/>
      <c r="Q41" s="123"/>
      <c r="R41" s="114"/>
      <c r="S41" s="114"/>
      <c r="T41" s="114"/>
      <c r="U41" s="114"/>
      <c r="V41" s="114"/>
      <c r="W41" s="114"/>
      <c r="X41" s="118"/>
    </row>
    <row r="42">
      <c r="A42" s="115" t="s">
        <v>366</v>
      </c>
      <c r="B42" s="111" t="s">
        <v>1442</v>
      </c>
      <c r="C42" s="111" t="s">
        <v>1443</v>
      </c>
      <c r="D42" s="111" t="s">
        <v>2293</v>
      </c>
      <c r="E42" s="111" t="s">
        <v>56</v>
      </c>
      <c r="F42" s="113" t="s">
        <v>1233</v>
      </c>
      <c r="G42" s="113" t="s">
        <v>1233</v>
      </c>
      <c r="H42" s="113" t="s">
        <v>56</v>
      </c>
      <c r="I42" s="114" t="s">
        <v>1800</v>
      </c>
      <c r="J42" s="115" t="s">
        <v>1507</v>
      </c>
      <c r="K42" s="114" t="s">
        <v>2005</v>
      </c>
      <c r="L42" s="114"/>
      <c r="M42" s="114"/>
      <c r="N42" s="114"/>
      <c r="O42" s="121"/>
      <c r="P42" s="123"/>
      <c r="Q42" s="123"/>
      <c r="R42" s="114"/>
      <c r="S42" s="114"/>
      <c r="T42" s="114"/>
      <c r="U42" s="114"/>
      <c r="V42" s="114"/>
      <c r="W42" s="114"/>
      <c r="X42" s="118"/>
    </row>
    <row r="43">
      <c r="A43" s="115" t="s">
        <v>586</v>
      </c>
      <c r="B43" s="111" t="s">
        <v>1568</v>
      </c>
      <c r="C43" s="111" t="s">
        <v>1569</v>
      </c>
      <c r="D43" s="111" t="s">
        <v>2294</v>
      </c>
      <c r="E43" s="111" t="s">
        <v>56</v>
      </c>
      <c r="F43" s="113" t="s">
        <v>1233</v>
      </c>
      <c r="G43" s="113" t="s">
        <v>1233</v>
      </c>
      <c r="H43" s="113" t="s">
        <v>56</v>
      </c>
      <c r="I43" s="114" t="s">
        <v>1800</v>
      </c>
      <c r="J43" s="115" t="s">
        <v>1507</v>
      </c>
      <c r="K43" s="114" t="s">
        <v>2007</v>
      </c>
      <c r="L43" s="114"/>
      <c r="M43" s="114"/>
      <c r="N43" s="114"/>
      <c r="O43" s="121"/>
      <c r="P43" s="123"/>
      <c r="Q43" s="123"/>
      <c r="R43" s="114"/>
      <c r="S43" s="114"/>
      <c r="T43" s="114"/>
      <c r="U43" s="114"/>
      <c r="V43" s="114"/>
      <c r="W43" s="114"/>
      <c r="X43" s="118"/>
    </row>
    <row r="44">
      <c r="A44" s="115" t="s">
        <v>126</v>
      </c>
      <c r="B44" s="111" t="s">
        <v>1296</v>
      </c>
      <c r="C44" s="111" t="s">
        <v>1297</v>
      </c>
      <c r="D44" s="111" t="s">
        <v>2295</v>
      </c>
      <c r="E44" s="111" t="s">
        <v>56</v>
      </c>
      <c r="F44" s="113" t="s">
        <v>1233</v>
      </c>
      <c r="G44" s="113" t="s">
        <v>1233</v>
      </c>
      <c r="H44" s="113" t="s">
        <v>56</v>
      </c>
      <c r="I44" s="114" t="s">
        <v>1800</v>
      </c>
      <c r="J44" s="115" t="s">
        <v>1507</v>
      </c>
      <c r="K44" s="114" t="s">
        <v>2009</v>
      </c>
      <c r="L44" s="114"/>
      <c r="M44" s="114"/>
      <c r="N44" s="114"/>
      <c r="O44" s="121"/>
      <c r="P44" s="123"/>
      <c r="Q44" s="123"/>
      <c r="R44" s="114"/>
      <c r="S44" s="114"/>
      <c r="T44" s="114"/>
      <c r="U44" s="114"/>
      <c r="V44" s="114"/>
      <c r="W44" s="114"/>
      <c r="X44" s="118"/>
    </row>
    <row r="45">
      <c r="A45" s="115" t="s">
        <v>600</v>
      </c>
      <c r="B45" s="111" t="s">
        <v>1580</v>
      </c>
      <c r="C45" s="111" t="s">
        <v>1581</v>
      </c>
      <c r="D45" s="111" t="s">
        <v>2296</v>
      </c>
      <c r="E45" s="111" t="s">
        <v>56</v>
      </c>
      <c r="F45" s="113" t="s">
        <v>1233</v>
      </c>
      <c r="G45" s="113" t="s">
        <v>1233</v>
      </c>
      <c r="H45" s="113" t="s">
        <v>56</v>
      </c>
      <c r="I45" s="114" t="s">
        <v>1800</v>
      </c>
      <c r="J45" s="115" t="s">
        <v>1509</v>
      </c>
      <c r="K45" s="114" t="s">
        <v>2001</v>
      </c>
      <c r="L45" s="114"/>
      <c r="M45" s="114"/>
      <c r="N45" s="114"/>
      <c r="O45" s="121"/>
      <c r="P45" s="123"/>
      <c r="Q45" s="123"/>
      <c r="R45" s="114"/>
      <c r="S45" s="114"/>
      <c r="T45" s="114"/>
      <c r="U45" s="114"/>
      <c r="V45" s="114"/>
      <c r="W45" s="114"/>
      <c r="X45" s="118"/>
    </row>
    <row r="46">
      <c r="A46" s="115" t="s">
        <v>610</v>
      </c>
      <c r="B46" s="111" t="s">
        <v>1584</v>
      </c>
      <c r="C46" s="111" t="s">
        <v>1585</v>
      </c>
      <c r="D46" s="111" t="s">
        <v>2297</v>
      </c>
      <c r="E46" s="111" t="s">
        <v>56</v>
      </c>
      <c r="F46" s="113" t="s">
        <v>1233</v>
      </c>
      <c r="G46" s="113" t="s">
        <v>1233</v>
      </c>
      <c r="H46" s="113" t="s">
        <v>56</v>
      </c>
      <c r="I46" s="114" t="s">
        <v>1800</v>
      </c>
      <c r="J46" s="115" t="s">
        <v>1511</v>
      </c>
      <c r="K46" s="114" t="s">
        <v>2001</v>
      </c>
      <c r="L46" s="114"/>
      <c r="M46" s="114"/>
      <c r="N46" s="114"/>
      <c r="O46" s="121"/>
      <c r="P46" s="123"/>
      <c r="Q46" s="123"/>
      <c r="R46" s="114"/>
      <c r="S46" s="114"/>
      <c r="T46" s="114"/>
      <c r="U46" s="114"/>
      <c r="V46" s="114"/>
      <c r="W46" s="114"/>
      <c r="X46" s="118"/>
    </row>
    <row r="47">
      <c r="A47" s="115" t="s">
        <v>423</v>
      </c>
      <c r="B47" s="111" t="s">
        <v>1466</v>
      </c>
      <c r="C47" s="111" t="s">
        <v>1467</v>
      </c>
      <c r="D47" s="111" t="s">
        <v>2298</v>
      </c>
      <c r="E47" s="111" t="s">
        <v>56</v>
      </c>
      <c r="F47" s="113" t="s">
        <v>1233</v>
      </c>
      <c r="G47" s="113" t="s">
        <v>1233</v>
      </c>
      <c r="H47" s="113" t="s">
        <v>56</v>
      </c>
      <c r="I47" s="114" t="s">
        <v>1800</v>
      </c>
      <c r="J47" s="115" t="s">
        <v>1511</v>
      </c>
      <c r="K47" s="114" t="s">
        <v>2003</v>
      </c>
      <c r="L47" s="114"/>
      <c r="M47" s="114"/>
      <c r="N47" s="114"/>
      <c r="O47" s="121"/>
      <c r="P47" s="123"/>
      <c r="Q47" s="123"/>
      <c r="R47" s="114"/>
      <c r="S47" s="114"/>
      <c r="T47" s="114"/>
      <c r="U47" s="114"/>
      <c r="V47" s="114"/>
      <c r="W47" s="114"/>
      <c r="X47" s="118"/>
    </row>
    <row r="48">
      <c r="A48" s="115" t="s">
        <v>466</v>
      </c>
      <c r="B48" s="111" t="s">
        <v>1491</v>
      </c>
      <c r="C48" s="111" t="s">
        <v>1492</v>
      </c>
      <c r="D48" s="111" t="s">
        <v>2299</v>
      </c>
      <c r="E48" s="111" t="s">
        <v>56</v>
      </c>
      <c r="F48" s="113" t="s">
        <v>1233</v>
      </c>
      <c r="G48" s="113" t="s">
        <v>1233</v>
      </c>
      <c r="H48" s="113" t="s">
        <v>56</v>
      </c>
      <c r="I48" s="114" t="s">
        <v>1800</v>
      </c>
      <c r="J48" s="115" t="s">
        <v>1513</v>
      </c>
      <c r="K48" s="114" t="s">
        <v>2001</v>
      </c>
      <c r="L48" s="114"/>
      <c r="M48" s="114"/>
      <c r="N48" s="114"/>
      <c r="O48" s="121"/>
      <c r="P48" s="123"/>
      <c r="Q48" s="123"/>
      <c r="R48" s="114"/>
      <c r="S48" s="114"/>
      <c r="T48" s="114"/>
      <c r="U48" s="114"/>
      <c r="V48" s="114"/>
      <c r="W48" s="114"/>
      <c r="X48" s="118"/>
    </row>
    <row r="49">
      <c r="A49" s="115" t="s">
        <v>496</v>
      </c>
      <c r="B49" s="111" t="s">
        <v>1517</v>
      </c>
      <c r="C49" s="111" t="s">
        <v>1518</v>
      </c>
      <c r="D49" s="111" t="s">
        <v>2300</v>
      </c>
      <c r="E49" s="111" t="s">
        <v>56</v>
      </c>
      <c r="F49" s="113" t="s">
        <v>1233</v>
      </c>
      <c r="G49" s="113" t="s">
        <v>1233</v>
      </c>
      <c r="H49" s="113" t="s">
        <v>56</v>
      </c>
      <c r="I49" s="114" t="s">
        <v>1800</v>
      </c>
      <c r="J49" s="115" t="s">
        <v>1513</v>
      </c>
      <c r="K49" s="114" t="s">
        <v>2003</v>
      </c>
      <c r="L49" s="114"/>
      <c r="M49" s="114"/>
      <c r="N49" s="114"/>
      <c r="O49" s="121"/>
      <c r="P49" s="123"/>
      <c r="Q49" s="123"/>
      <c r="R49" s="114"/>
      <c r="S49" s="114"/>
      <c r="T49" s="114"/>
      <c r="U49" s="114"/>
      <c r="V49" s="114"/>
      <c r="W49" s="114"/>
      <c r="X49" s="118"/>
    </row>
    <row r="50">
      <c r="A50" s="115" t="s">
        <v>616</v>
      </c>
      <c r="B50" s="111" t="s">
        <v>1586</v>
      </c>
      <c r="C50" s="111" t="s">
        <v>1587</v>
      </c>
      <c r="D50" s="111" t="s">
        <v>2301</v>
      </c>
      <c r="E50" s="111" t="s">
        <v>56</v>
      </c>
      <c r="F50" s="113" t="s">
        <v>1233</v>
      </c>
      <c r="G50" s="113" t="s">
        <v>1233</v>
      </c>
      <c r="H50" s="113" t="s">
        <v>56</v>
      </c>
      <c r="I50" s="114" t="s">
        <v>1800</v>
      </c>
      <c r="J50" s="115" t="s">
        <v>1513</v>
      </c>
      <c r="K50" s="114" t="s">
        <v>2005</v>
      </c>
      <c r="L50" s="114"/>
      <c r="M50" s="114"/>
      <c r="N50" s="114"/>
      <c r="O50" s="121"/>
      <c r="P50" s="123"/>
      <c r="Q50" s="123"/>
      <c r="R50" s="114"/>
      <c r="S50" s="114"/>
      <c r="T50" s="114"/>
      <c r="U50" s="114"/>
      <c r="V50" s="114"/>
      <c r="W50" s="114"/>
      <c r="X50" s="118"/>
    </row>
    <row r="51">
      <c r="A51" s="115" t="s">
        <v>619</v>
      </c>
      <c r="B51" s="111" t="s">
        <v>1588</v>
      </c>
      <c r="C51" s="111" t="s">
        <v>1589</v>
      </c>
      <c r="D51" s="111" t="s">
        <v>2302</v>
      </c>
      <c r="E51" s="111" t="s">
        <v>56</v>
      </c>
      <c r="F51" s="113" t="s">
        <v>1233</v>
      </c>
      <c r="G51" s="113" t="s">
        <v>1233</v>
      </c>
      <c r="H51" s="113" t="s">
        <v>56</v>
      </c>
      <c r="I51" s="114" t="s">
        <v>1800</v>
      </c>
      <c r="J51" s="115" t="s">
        <v>1515</v>
      </c>
      <c r="K51" s="114" t="s">
        <v>2001</v>
      </c>
      <c r="L51" s="114"/>
      <c r="M51" s="114"/>
      <c r="N51" s="114"/>
      <c r="O51" s="121"/>
      <c r="P51" s="123"/>
      <c r="Q51" s="123"/>
      <c r="R51" s="114"/>
      <c r="S51" s="114"/>
      <c r="T51" s="114"/>
      <c r="U51" s="114"/>
      <c r="V51" s="114"/>
      <c r="W51" s="114"/>
      <c r="X51" s="118"/>
    </row>
    <row r="52">
      <c r="A52" s="115" t="s">
        <v>619</v>
      </c>
      <c r="B52" s="111" t="s">
        <v>1588</v>
      </c>
      <c r="C52" s="111" t="s">
        <v>1589</v>
      </c>
      <c r="D52" s="111" t="s">
        <v>2303</v>
      </c>
      <c r="E52" s="111" t="s">
        <v>56</v>
      </c>
      <c r="F52" s="113" t="s">
        <v>1233</v>
      </c>
      <c r="G52" s="113" t="s">
        <v>1233</v>
      </c>
      <c r="H52" s="113" t="s">
        <v>56</v>
      </c>
      <c r="I52" s="114" t="s">
        <v>1800</v>
      </c>
      <c r="J52" s="115" t="s">
        <v>1517</v>
      </c>
      <c r="K52" s="114" t="s">
        <v>2001</v>
      </c>
      <c r="L52" s="114"/>
      <c r="M52" s="114"/>
      <c r="N52" s="114"/>
      <c r="O52" s="121"/>
      <c r="P52" s="123"/>
      <c r="Q52" s="123"/>
      <c r="R52" s="114"/>
      <c r="S52" s="114"/>
      <c r="T52" s="114"/>
      <c r="U52" s="114"/>
      <c r="V52" s="114"/>
      <c r="W52" s="114"/>
      <c r="X52" s="118"/>
    </row>
    <row r="53">
      <c r="A53" s="115" t="s">
        <v>494</v>
      </c>
      <c r="B53" s="111" t="s">
        <v>1515</v>
      </c>
      <c r="C53" s="111" t="s">
        <v>1516</v>
      </c>
      <c r="D53" s="111" t="s">
        <v>2304</v>
      </c>
      <c r="E53" s="111" t="s">
        <v>56</v>
      </c>
      <c r="F53" s="113" t="s">
        <v>1233</v>
      </c>
      <c r="G53" s="113" t="s">
        <v>1233</v>
      </c>
      <c r="H53" s="113" t="s">
        <v>56</v>
      </c>
      <c r="I53" s="114" t="s">
        <v>1800</v>
      </c>
      <c r="J53" s="115" t="s">
        <v>1517</v>
      </c>
      <c r="K53" s="114" t="s">
        <v>2003</v>
      </c>
      <c r="L53" s="114"/>
      <c r="M53" s="114"/>
      <c r="N53" s="114"/>
      <c r="O53" s="121"/>
      <c r="P53" s="123"/>
      <c r="Q53" s="123"/>
      <c r="R53" s="114"/>
      <c r="S53" s="114"/>
      <c r="T53" s="114"/>
      <c r="U53" s="114"/>
      <c r="V53" s="114"/>
      <c r="W53" s="114"/>
      <c r="X53" s="118"/>
    </row>
    <row r="54">
      <c r="A54" s="115" t="s">
        <v>625</v>
      </c>
      <c r="B54" s="111" t="s">
        <v>1590</v>
      </c>
      <c r="C54" s="111" t="s">
        <v>1591</v>
      </c>
      <c r="D54" s="111" t="s">
        <v>2305</v>
      </c>
      <c r="E54" s="111" t="s">
        <v>56</v>
      </c>
      <c r="F54" s="113" t="s">
        <v>1233</v>
      </c>
      <c r="G54" s="113" t="s">
        <v>1233</v>
      </c>
      <c r="H54" s="113" t="s">
        <v>56</v>
      </c>
      <c r="I54" s="114" t="s">
        <v>1800</v>
      </c>
      <c r="J54" s="115" t="s">
        <v>1519</v>
      </c>
      <c r="K54" s="114" t="s">
        <v>2001</v>
      </c>
      <c r="L54" s="114"/>
      <c r="M54" s="114"/>
      <c r="N54" s="114"/>
      <c r="O54" s="121"/>
      <c r="P54" s="123"/>
      <c r="Q54" s="123"/>
      <c r="R54" s="114"/>
      <c r="S54" s="114"/>
      <c r="T54" s="114"/>
      <c r="U54" s="114"/>
      <c r="V54" s="114"/>
      <c r="W54" s="114"/>
      <c r="X54" s="118"/>
    </row>
    <row r="55">
      <c r="A55" s="115" t="s">
        <v>131</v>
      </c>
      <c r="B55" s="111" t="s">
        <v>1300</v>
      </c>
      <c r="C55" s="111" t="s">
        <v>1301</v>
      </c>
      <c r="D55" s="111" t="s">
        <v>2306</v>
      </c>
      <c r="E55" s="111" t="s">
        <v>56</v>
      </c>
      <c r="F55" s="113" t="s">
        <v>1233</v>
      </c>
      <c r="G55" s="113" t="s">
        <v>1233</v>
      </c>
      <c r="H55" s="113" t="s">
        <v>56</v>
      </c>
      <c r="I55" s="114" t="s">
        <v>1800</v>
      </c>
      <c r="J55" s="115" t="s">
        <v>1521</v>
      </c>
      <c r="K55" s="114" t="s">
        <v>2001</v>
      </c>
      <c r="L55" s="114"/>
      <c r="M55" s="114"/>
      <c r="N55" s="114"/>
      <c r="O55" s="121"/>
      <c r="P55" s="123"/>
      <c r="Q55" s="123"/>
      <c r="R55" s="114"/>
      <c r="S55" s="114"/>
      <c r="T55" s="114"/>
      <c r="U55" s="114"/>
      <c r="V55" s="114"/>
      <c r="W55" s="114"/>
      <c r="X55" s="118"/>
    </row>
    <row r="56">
      <c r="A56" s="115" t="s">
        <v>629</v>
      </c>
      <c r="B56" s="111" t="s">
        <v>1592</v>
      </c>
      <c r="C56" s="111" t="s">
        <v>1593</v>
      </c>
      <c r="D56" s="111" t="s">
        <v>2307</v>
      </c>
      <c r="E56" s="111" t="s">
        <v>56</v>
      </c>
      <c r="F56" s="113" t="s">
        <v>1233</v>
      </c>
      <c r="G56" s="113" t="s">
        <v>1233</v>
      </c>
      <c r="H56" s="113" t="s">
        <v>56</v>
      </c>
      <c r="I56" s="114" t="s">
        <v>1800</v>
      </c>
      <c r="J56" s="115" t="s">
        <v>1521</v>
      </c>
      <c r="K56" s="114" t="s">
        <v>2003</v>
      </c>
      <c r="L56" s="114"/>
      <c r="M56" s="114"/>
      <c r="N56" s="114"/>
      <c r="O56" s="121"/>
      <c r="P56" s="123"/>
      <c r="Q56" s="123"/>
      <c r="R56" s="114"/>
      <c r="S56" s="114"/>
      <c r="T56" s="114"/>
      <c r="U56" s="114"/>
      <c r="V56" s="114"/>
      <c r="W56" s="114"/>
      <c r="X56" s="118"/>
    </row>
    <row r="57">
      <c r="A57" s="115" t="s">
        <v>632</v>
      </c>
      <c r="B57" s="111" t="s">
        <v>1594</v>
      </c>
      <c r="C57" s="111" t="s">
        <v>1595</v>
      </c>
      <c r="D57" s="111" t="s">
        <v>2308</v>
      </c>
      <c r="E57" s="111" t="s">
        <v>56</v>
      </c>
      <c r="F57" s="113" t="s">
        <v>1233</v>
      </c>
      <c r="G57" s="113" t="s">
        <v>1233</v>
      </c>
      <c r="H57" s="113" t="s">
        <v>56</v>
      </c>
      <c r="I57" s="114" t="s">
        <v>1800</v>
      </c>
      <c r="J57" s="115" t="s">
        <v>1523</v>
      </c>
      <c r="K57" s="114" t="s">
        <v>2001</v>
      </c>
      <c r="L57" s="114"/>
      <c r="M57" s="114"/>
      <c r="N57" s="114"/>
      <c r="O57" s="121"/>
      <c r="P57" s="123"/>
      <c r="Q57" s="123"/>
      <c r="R57" s="114"/>
      <c r="S57" s="114"/>
      <c r="T57" s="114"/>
      <c r="U57" s="114"/>
      <c r="V57" s="114"/>
      <c r="W57" s="114"/>
      <c r="X57" s="118"/>
    </row>
    <row r="58">
      <c r="A58" s="115" t="s">
        <v>522</v>
      </c>
      <c r="B58" s="111" t="s">
        <v>1535</v>
      </c>
      <c r="C58" s="111" t="s">
        <v>1536</v>
      </c>
      <c r="D58" s="111" t="s">
        <v>2309</v>
      </c>
      <c r="E58" s="111" t="s">
        <v>56</v>
      </c>
      <c r="F58" s="113" t="s">
        <v>1233</v>
      </c>
      <c r="G58" s="113" t="s">
        <v>1233</v>
      </c>
      <c r="H58" s="113" t="s">
        <v>56</v>
      </c>
      <c r="I58" s="114" t="s">
        <v>1800</v>
      </c>
      <c r="J58" s="115" t="s">
        <v>1523</v>
      </c>
      <c r="K58" s="114" t="s">
        <v>2003</v>
      </c>
      <c r="L58" s="114"/>
      <c r="M58" s="114"/>
      <c r="N58" s="114"/>
      <c r="O58" s="121"/>
      <c r="P58" s="123"/>
      <c r="Q58" s="123"/>
      <c r="R58" s="114"/>
      <c r="S58" s="114"/>
      <c r="T58" s="114"/>
      <c r="U58" s="114"/>
      <c r="V58" s="114"/>
      <c r="W58" s="114"/>
      <c r="X58" s="118"/>
    </row>
    <row r="59">
      <c r="A59" s="115" t="s">
        <v>180</v>
      </c>
      <c r="B59" s="111" t="s">
        <v>1337</v>
      </c>
      <c r="C59" s="111" t="s">
        <v>1338</v>
      </c>
      <c r="D59" s="111" t="s">
        <v>2310</v>
      </c>
      <c r="E59" s="111" t="s">
        <v>56</v>
      </c>
      <c r="F59" s="113" t="s">
        <v>1233</v>
      </c>
      <c r="G59" s="113" t="s">
        <v>1233</v>
      </c>
      <c r="H59" s="113" t="s">
        <v>56</v>
      </c>
      <c r="I59" s="114" t="s">
        <v>1800</v>
      </c>
      <c r="J59" s="115" t="s">
        <v>1525</v>
      </c>
      <c r="K59" s="114" t="s">
        <v>2001</v>
      </c>
      <c r="L59" s="114"/>
      <c r="M59" s="114"/>
      <c r="N59" s="114"/>
      <c r="O59" s="121"/>
      <c r="P59" s="123"/>
      <c r="Q59" s="123"/>
      <c r="R59" s="114"/>
      <c r="S59" s="114"/>
      <c r="T59" s="114"/>
      <c r="U59" s="114"/>
      <c r="V59" s="114"/>
      <c r="W59" s="114"/>
      <c r="X59" s="118"/>
    </row>
    <row r="60">
      <c r="A60" s="115" t="s">
        <v>182</v>
      </c>
      <c r="B60" s="111" t="s">
        <v>1339</v>
      </c>
      <c r="C60" s="111" t="s">
        <v>1340</v>
      </c>
      <c r="D60" s="111" t="s">
        <v>2311</v>
      </c>
      <c r="E60" s="111" t="s">
        <v>56</v>
      </c>
      <c r="F60" s="113" t="s">
        <v>1233</v>
      </c>
      <c r="G60" s="113" t="s">
        <v>1233</v>
      </c>
      <c r="H60" s="113" t="s">
        <v>56</v>
      </c>
      <c r="I60" s="114" t="s">
        <v>1800</v>
      </c>
      <c r="J60" s="115" t="s">
        <v>1525</v>
      </c>
      <c r="K60" s="114" t="s">
        <v>2003</v>
      </c>
      <c r="L60" s="114"/>
      <c r="M60" s="114"/>
      <c r="N60" s="114"/>
      <c r="O60" s="121"/>
      <c r="P60" s="123"/>
      <c r="Q60" s="123"/>
      <c r="R60" s="114"/>
      <c r="S60" s="114"/>
      <c r="T60" s="114"/>
      <c r="U60" s="114"/>
      <c r="V60" s="114"/>
      <c r="W60" s="114"/>
      <c r="X60" s="118"/>
    </row>
    <row r="61">
      <c r="A61" s="115" t="s">
        <v>638</v>
      </c>
      <c r="B61" s="111" t="s">
        <v>1596</v>
      </c>
      <c r="C61" s="111" t="s">
        <v>1597</v>
      </c>
      <c r="D61" s="111" t="s">
        <v>2312</v>
      </c>
      <c r="E61" s="111" t="s">
        <v>56</v>
      </c>
      <c r="F61" s="113" t="s">
        <v>1233</v>
      </c>
      <c r="G61" s="113" t="s">
        <v>1233</v>
      </c>
      <c r="H61" s="113" t="s">
        <v>56</v>
      </c>
      <c r="I61" s="114" t="s">
        <v>1800</v>
      </c>
      <c r="J61" s="115" t="s">
        <v>1525</v>
      </c>
      <c r="K61" s="114" t="s">
        <v>2005</v>
      </c>
      <c r="L61" s="114"/>
      <c r="M61" s="114"/>
      <c r="N61" s="114"/>
      <c r="O61" s="121"/>
      <c r="P61" s="123"/>
      <c r="Q61" s="123"/>
      <c r="R61" s="114"/>
      <c r="S61" s="114"/>
      <c r="T61" s="114"/>
      <c r="U61" s="114"/>
      <c r="V61" s="114"/>
      <c r="W61" s="114"/>
      <c r="X61" s="118"/>
    </row>
    <row r="62">
      <c r="A62" s="115" t="s">
        <v>478</v>
      </c>
      <c r="B62" s="111" t="s">
        <v>1501</v>
      </c>
      <c r="C62" s="111" t="s">
        <v>1502</v>
      </c>
      <c r="D62" s="111" t="s">
        <v>2313</v>
      </c>
      <c r="E62" s="111" t="s">
        <v>56</v>
      </c>
      <c r="F62" s="113" t="s">
        <v>1233</v>
      </c>
      <c r="G62" s="113" t="s">
        <v>1233</v>
      </c>
      <c r="H62" s="113" t="s">
        <v>56</v>
      </c>
      <c r="I62" s="114" t="s">
        <v>1800</v>
      </c>
      <c r="J62" s="115" t="s">
        <v>1525</v>
      </c>
      <c r="K62" s="114" t="s">
        <v>2007</v>
      </c>
      <c r="L62" s="114"/>
      <c r="M62" s="114"/>
      <c r="N62" s="114"/>
      <c r="O62" s="121"/>
      <c r="P62" s="123"/>
      <c r="Q62" s="123"/>
      <c r="R62" s="114"/>
      <c r="S62" s="114"/>
      <c r="T62" s="114"/>
      <c r="U62" s="114"/>
      <c r="V62" s="114"/>
      <c r="W62" s="114"/>
      <c r="X62" s="118"/>
    </row>
    <row r="63">
      <c r="A63" s="115" t="s">
        <v>640</v>
      </c>
      <c r="B63" s="111" t="s">
        <v>1598</v>
      </c>
      <c r="C63" s="111" t="s">
        <v>1599</v>
      </c>
      <c r="D63" s="111" t="s">
        <v>2314</v>
      </c>
      <c r="E63" s="111" t="s">
        <v>56</v>
      </c>
      <c r="F63" s="113" t="s">
        <v>1233</v>
      </c>
      <c r="G63" s="113" t="s">
        <v>1233</v>
      </c>
      <c r="H63" s="113" t="s">
        <v>56</v>
      </c>
      <c r="I63" s="114" t="s">
        <v>1800</v>
      </c>
      <c r="J63" s="115" t="s">
        <v>1525</v>
      </c>
      <c r="K63" s="114" t="s">
        <v>2009</v>
      </c>
      <c r="L63" s="114"/>
      <c r="M63" s="114"/>
      <c r="N63" s="114"/>
      <c r="O63" s="121"/>
      <c r="P63" s="123"/>
      <c r="Q63" s="123"/>
      <c r="R63" s="114"/>
      <c r="S63" s="114"/>
      <c r="T63" s="114"/>
      <c r="U63" s="114"/>
      <c r="V63" s="114"/>
      <c r="W63" s="114"/>
      <c r="X63" s="118"/>
    </row>
    <row r="64">
      <c r="A64" s="115" t="s">
        <v>640</v>
      </c>
      <c r="B64" s="111" t="s">
        <v>1598</v>
      </c>
      <c r="C64" s="111" t="s">
        <v>1599</v>
      </c>
      <c r="D64" s="111" t="s">
        <v>2315</v>
      </c>
      <c r="E64" s="111" t="s">
        <v>56</v>
      </c>
      <c r="F64" s="113" t="s">
        <v>1233</v>
      </c>
      <c r="G64" s="113" t="s">
        <v>1233</v>
      </c>
      <c r="H64" s="113" t="s">
        <v>56</v>
      </c>
      <c r="I64" s="114" t="s">
        <v>1800</v>
      </c>
      <c r="J64" s="115" t="s">
        <v>1527</v>
      </c>
      <c r="K64" s="114" t="s">
        <v>2001</v>
      </c>
      <c r="L64" s="114"/>
      <c r="M64" s="114"/>
      <c r="N64" s="114"/>
      <c r="O64" s="121"/>
      <c r="P64" s="123"/>
      <c r="Q64" s="123"/>
      <c r="R64" s="114"/>
      <c r="S64" s="114"/>
      <c r="T64" s="114"/>
      <c r="U64" s="114"/>
      <c r="V64" s="114"/>
      <c r="W64" s="114"/>
      <c r="X64" s="118"/>
    </row>
    <row r="65">
      <c r="A65" s="115" t="s">
        <v>644</v>
      </c>
      <c r="B65" s="111" t="s">
        <v>1600</v>
      </c>
      <c r="C65" s="111" t="s">
        <v>1601</v>
      </c>
      <c r="D65" s="111" t="s">
        <v>2316</v>
      </c>
      <c r="E65" s="111" t="s">
        <v>56</v>
      </c>
      <c r="F65" s="113" t="s">
        <v>1233</v>
      </c>
      <c r="G65" s="113" t="s">
        <v>1233</v>
      </c>
      <c r="H65" s="113" t="s">
        <v>56</v>
      </c>
      <c r="I65" s="114" t="s">
        <v>1800</v>
      </c>
      <c r="J65" s="115" t="s">
        <v>1527</v>
      </c>
      <c r="K65" s="114" t="s">
        <v>2003</v>
      </c>
      <c r="L65" s="114"/>
      <c r="M65" s="114"/>
      <c r="N65" s="114"/>
      <c r="O65" s="121"/>
      <c r="P65" s="123"/>
      <c r="Q65" s="123"/>
      <c r="R65" s="114"/>
      <c r="S65" s="114"/>
      <c r="T65" s="114"/>
      <c r="U65" s="114"/>
      <c r="V65" s="114"/>
      <c r="W65" s="114"/>
      <c r="X65" s="118"/>
    </row>
    <row r="66">
      <c r="A66" s="115" t="s">
        <v>646</v>
      </c>
      <c r="B66" s="111" t="s">
        <v>1602</v>
      </c>
      <c r="C66" s="111" t="s">
        <v>1603</v>
      </c>
      <c r="D66" s="111" t="s">
        <v>2317</v>
      </c>
      <c r="E66" s="111" t="s">
        <v>56</v>
      </c>
      <c r="F66" s="113" t="s">
        <v>1233</v>
      </c>
      <c r="G66" s="113" t="s">
        <v>1233</v>
      </c>
      <c r="H66" s="113" t="s">
        <v>56</v>
      </c>
      <c r="I66" s="114" t="s">
        <v>1800</v>
      </c>
      <c r="J66" s="115" t="s">
        <v>1527</v>
      </c>
      <c r="K66" s="114" t="s">
        <v>2005</v>
      </c>
      <c r="L66" s="114"/>
      <c r="M66" s="114"/>
      <c r="N66" s="114"/>
      <c r="O66" s="121"/>
      <c r="P66" s="123"/>
      <c r="Q66" s="123"/>
      <c r="R66" s="114"/>
      <c r="S66" s="114"/>
      <c r="T66" s="114"/>
      <c r="U66" s="114"/>
      <c r="V66" s="114"/>
      <c r="W66" s="114"/>
      <c r="X66" s="118"/>
    </row>
    <row r="67">
      <c r="A67" s="115" t="s">
        <v>649</v>
      </c>
      <c r="B67" s="111" t="s">
        <v>1604</v>
      </c>
      <c r="C67" s="111" t="s">
        <v>1605</v>
      </c>
      <c r="D67" s="111" t="s">
        <v>2318</v>
      </c>
      <c r="E67" s="111" t="s">
        <v>56</v>
      </c>
      <c r="F67" s="113" t="s">
        <v>1233</v>
      </c>
      <c r="G67" s="113" t="s">
        <v>1233</v>
      </c>
      <c r="H67" s="113" t="s">
        <v>56</v>
      </c>
      <c r="I67" s="114" t="s">
        <v>1800</v>
      </c>
      <c r="J67" s="115" t="s">
        <v>1529</v>
      </c>
      <c r="K67" s="114" t="s">
        <v>2001</v>
      </c>
      <c r="L67" s="114"/>
      <c r="M67" s="114"/>
      <c r="N67" s="114"/>
      <c r="O67" s="121"/>
      <c r="P67" s="123"/>
      <c r="Q67" s="123"/>
      <c r="R67" s="114"/>
      <c r="S67" s="114"/>
      <c r="T67" s="114"/>
      <c r="U67" s="114"/>
      <c r="V67" s="114"/>
      <c r="W67" s="114"/>
      <c r="X67" s="118"/>
    </row>
    <row r="68">
      <c r="A68" s="115" t="s">
        <v>651</v>
      </c>
      <c r="B68" s="111" t="s">
        <v>1606</v>
      </c>
      <c r="C68" s="111" t="s">
        <v>1607</v>
      </c>
      <c r="D68" s="111" t="s">
        <v>2319</v>
      </c>
      <c r="E68" s="111" t="s">
        <v>56</v>
      </c>
      <c r="F68" s="113" t="s">
        <v>1233</v>
      </c>
      <c r="G68" s="113" t="s">
        <v>1233</v>
      </c>
      <c r="H68" s="113" t="s">
        <v>56</v>
      </c>
      <c r="I68" s="114" t="s">
        <v>1800</v>
      </c>
      <c r="J68" s="115" t="s">
        <v>1529</v>
      </c>
      <c r="K68" s="114" t="s">
        <v>2003</v>
      </c>
      <c r="L68" s="114"/>
      <c r="M68" s="114"/>
      <c r="N68" s="114"/>
      <c r="O68" s="121"/>
      <c r="P68" s="123"/>
      <c r="Q68" s="123"/>
      <c r="R68" s="114"/>
      <c r="S68" s="114"/>
      <c r="T68" s="114"/>
      <c r="U68" s="114"/>
      <c r="V68" s="114"/>
      <c r="W68" s="114"/>
      <c r="X68" s="118"/>
    </row>
    <row r="69">
      <c r="A69" s="115" t="s">
        <v>653</v>
      </c>
      <c r="B69" s="111" t="s">
        <v>1608</v>
      </c>
      <c r="C69" s="111" t="s">
        <v>1609</v>
      </c>
      <c r="D69" s="111" t="s">
        <v>2320</v>
      </c>
      <c r="E69" s="111" t="s">
        <v>56</v>
      </c>
      <c r="F69" s="113" t="s">
        <v>1233</v>
      </c>
      <c r="G69" s="113" t="s">
        <v>1233</v>
      </c>
      <c r="H69" s="113" t="s">
        <v>56</v>
      </c>
      <c r="I69" s="114" t="s">
        <v>1800</v>
      </c>
      <c r="J69" s="115" t="s">
        <v>1529</v>
      </c>
      <c r="K69" s="114" t="s">
        <v>2005</v>
      </c>
      <c r="L69" s="114"/>
      <c r="M69" s="114"/>
      <c r="N69" s="114"/>
      <c r="O69" s="121"/>
      <c r="P69" s="123"/>
      <c r="Q69" s="123"/>
      <c r="R69" s="114"/>
      <c r="S69" s="114"/>
      <c r="T69" s="114"/>
      <c r="U69" s="114"/>
      <c r="V69" s="114"/>
      <c r="W69" s="114"/>
      <c r="X69" s="118"/>
    </row>
    <row r="70">
      <c r="A70" s="115" t="s">
        <v>655</v>
      </c>
      <c r="B70" s="111" t="s">
        <v>1610</v>
      </c>
      <c r="C70" s="111" t="s">
        <v>1611</v>
      </c>
      <c r="D70" s="111" t="s">
        <v>2321</v>
      </c>
      <c r="E70" s="111" t="s">
        <v>56</v>
      </c>
      <c r="F70" s="113" t="s">
        <v>1233</v>
      </c>
      <c r="G70" s="113" t="s">
        <v>1233</v>
      </c>
      <c r="H70" s="113" t="s">
        <v>56</v>
      </c>
      <c r="I70" s="114" t="s">
        <v>1800</v>
      </c>
      <c r="J70" s="115" t="s">
        <v>1529</v>
      </c>
      <c r="K70" s="114" t="s">
        <v>2007</v>
      </c>
      <c r="L70" s="114"/>
      <c r="M70" s="114"/>
      <c r="N70" s="114"/>
      <c r="O70" s="121"/>
      <c r="P70" s="123"/>
      <c r="Q70" s="123"/>
      <c r="R70" s="114"/>
      <c r="S70" s="114"/>
      <c r="T70" s="114"/>
      <c r="U70" s="114"/>
      <c r="V70" s="114"/>
      <c r="W70" s="114"/>
      <c r="X70" s="118"/>
    </row>
    <row r="71">
      <c r="A71" s="115" t="s">
        <v>657</v>
      </c>
      <c r="B71" s="111" t="s">
        <v>1612</v>
      </c>
      <c r="C71" s="111" t="s">
        <v>1613</v>
      </c>
      <c r="D71" s="111" t="s">
        <v>2322</v>
      </c>
      <c r="E71" s="111" t="s">
        <v>56</v>
      </c>
      <c r="F71" s="113" t="s">
        <v>1233</v>
      </c>
      <c r="G71" s="113" t="s">
        <v>1233</v>
      </c>
      <c r="H71" s="113" t="s">
        <v>56</v>
      </c>
      <c r="I71" s="114" t="s">
        <v>1800</v>
      </c>
      <c r="J71" s="115" t="s">
        <v>1529</v>
      </c>
      <c r="K71" s="114" t="s">
        <v>2009</v>
      </c>
      <c r="L71" s="114"/>
      <c r="M71" s="114"/>
      <c r="N71" s="114"/>
      <c r="O71" s="121"/>
      <c r="P71" s="123"/>
      <c r="Q71" s="123"/>
      <c r="R71" s="114"/>
      <c r="S71" s="114"/>
      <c r="T71" s="114"/>
      <c r="U71" s="114"/>
      <c r="V71" s="114"/>
      <c r="W71" s="114"/>
      <c r="X71" s="118"/>
    </row>
    <row r="72">
      <c r="A72" s="115" t="s">
        <v>649</v>
      </c>
      <c r="B72" s="111" t="s">
        <v>1604</v>
      </c>
      <c r="C72" s="111" t="s">
        <v>1605</v>
      </c>
      <c r="D72" s="111" t="s">
        <v>2323</v>
      </c>
      <c r="E72" s="111" t="s">
        <v>56</v>
      </c>
      <c r="F72" s="113" t="s">
        <v>1233</v>
      </c>
      <c r="G72" s="113" t="s">
        <v>1233</v>
      </c>
      <c r="H72" s="113" t="s">
        <v>56</v>
      </c>
      <c r="I72" s="114" t="s">
        <v>1800</v>
      </c>
      <c r="J72" s="115" t="s">
        <v>1531</v>
      </c>
      <c r="K72" s="114" t="s">
        <v>2001</v>
      </c>
      <c r="L72" s="114"/>
      <c r="M72" s="114"/>
      <c r="N72" s="114"/>
      <c r="O72" s="121"/>
      <c r="P72" s="123"/>
      <c r="Q72" s="123"/>
      <c r="R72" s="114"/>
      <c r="S72" s="114"/>
      <c r="T72" s="114"/>
      <c r="U72" s="114"/>
      <c r="V72" s="114"/>
      <c r="W72" s="114"/>
      <c r="X72" s="118"/>
    </row>
    <row r="73">
      <c r="A73" s="115" t="s">
        <v>661</v>
      </c>
      <c r="B73" s="111" t="s">
        <v>1614</v>
      </c>
      <c r="C73" s="111" t="s">
        <v>1615</v>
      </c>
      <c r="D73" s="111" t="s">
        <v>2324</v>
      </c>
      <c r="E73" s="111" t="s">
        <v>56</v>
      </c>
      <c r="F73" s="113" t="s">
        <v>1233</v>
      </c>
      <c r="G73" s="113" t="s">
        <v>1233</v>
      </c>
      <c r="H73" s="113" t="s">
        <v>56</v>
      </c>
      <c r="I73" s="114" t="s">
        <v>1800</v>
      </c>
      <c r="J73" s="115" t="s">
        <v>1531</v>
      </c>
      <c r="K73" s="114" t="s">
        <v>2003</v>
      </c>
      <c r="L73" s="114"/>
      <c r="M73" s="114"/>
      <c r="N73" s="114"/>
      <c r="O73" s="121"/>
      <c r="P73" s="123"/>
      <c r="Q73" s="123"/>
      <c r="R73" s="114"/>
      <c r="S73" s="114"/>
      <c r="T73" s="114"/>
      <c r="U73" s="114"/>
      <c r="V73" s="114"/>
      <c r="W73" s="114"/>
      <c r="X73" s="118"/>
    </row>
    <row r="74">
      <c r="A74" s="115" t="s">
        <v>223</v>
      </c>
      <c r="B74" s="111" t="s">
        <v>1371</v>
      </c>
      <c r="C74" s="111" t="s">
        <v>1372</v>
      </c>
      <c r="D74" s="111" t="s">
        <v>2325</v>
      </c>
      <c r="E74" s="111" t="s">
        <v>56</v>
      </c>
      <c r="F74" s="113" t="s">
        <v>1233</v>
      </c>
      <c r="G74" s="113" t="s">
        <v>1233</v>
      </c>
      <c r="H74" s="113" t="s">
        <v>56</v>
      </c>
      <c r="I74" s="114" t="s">
        <v>1800</v>
      </c>
      <c r="J74" s="115" t="s">
        <v>1533</v>
      </c>
      <c r="K74" s="114" t="s">
        <v>2001</v>
      </c>
      <c r="L74" s="114"/>
      <c r="M74" s="114"/>
      <c r="N74" s="114"/>
      <c r="O74" s="121"/>
      <c r="P74" s="123"/>
      <c r="Q74" s="123"/>
      <c r="R74" s="114"/>
      <c r="S74" s="114"/>
      <c r="T74" s="114"/>
      <c r="U74" s="114"/>
      <c r="V74" s="114"/>
      <c r="W74" s="114"/>
      <c r="X74" s="118"/>
    </row>
    <row r="75">
      <c r="A75" s="115" t="s">
        <v>664</v>
      </c>
      <c r="B75" s="111" t="s">
        <v>1616</v>
      </c>
      <c r="C75" s="111" t="s">
        <v>1617</v>
      </c>
      <c r="D75" s="111" t="s">
        <v>2326</v>
      </c>
      <c r="E75" s="111" t="s">
        <v>56</v>
      </c>
      <c r="F75" s="113" t="s">
        <v>1233</v>
      </c>
      <c r="G75" s="113" t="s">
        <v>1233</v>
      </c>
      <c r="H75" s="113" t="s">
        <v>56</v>
      </c>
      <c r="I75" s="114" t="s">
        <v>1800</v>
      </c>
      <c r="J75" s="115" t="s">
        <v>1533</v>
      </c>
      <c r="K75" s="114" t="s">
        <v>2003</v>
      </c>
      <c r="L75" s="114"/>
      <c r="M75" s="114"/>
      <c r="N75" s="114"/>
      <c r="O75" s="121"/>
      <c r="P75" s="123"/>
      <c r="Q75" s="123"/>
      <c r="R75" s="114"/>
      <c r="S75" s="114"/>
      <c r="T75" s="114"/>
      <c r="U75" s="114"/>
      <c r="V75" s="114"/>
      <c r="W75" s="114"/>
      <c r="X75" s="118"/>
    </row>
    <row r="76">
      <c r="A76" s="115" t="s">
        <v>666</v>
      </c>
      <c r="B76" s="111" t="s">
        <v>1618</v>
      </c>
      <c r="C76" s="111" t="s">
        <v>1619</v>
      </c>
      <c r="D76" s="111" t="s">
        <v>2327</v>
      </c>
      <c r="E76" s="111" t="s">
        <v>56</v>
      </c>
      <c r="F76" s="113" t="s">
        <v>1233</v>
      </c>
      <c r="G76" s="113" t="s">
        <v>1233</v>
      </c>
      <c r="H76" s="113" t="s">
        <v>56</v>
      </c>
      <c r="I76" s="114" t="s">
        <v>1800</v>
      </c>
      <c r="J76" s="115" t="s">
        <v>1533</v>
      </c>
      <c r="K76" s="114" t="s">
        <v>2005</v>
      </c>
      <c r="L76" s="114"/>
      <c r="M76" s="114"/>
      <c r="N76" s="114"/>
      <c r="O76" s="121"/>
      <c r="P76" s="123"/>
      <c r="Q76" s="123"/>
      <c r="R76" s="114"/>
      <c r="S76" s="114"/>
      <c r="T76" s="114"/>
      <c r="U76" s="114"/>
      <c r="V76" s="114"/>
      <c r="W76" s="114"/>
      <c r="X76" s="118"/>
    </row>
    <row r="77">
      <c r="A77" s="115" t="s">
        <v>669</v>
      </c>
      <c r="B77" s="111" t="s">
        <v>1620</v>
      </c>
      <c r="C77" s="111" t="s">
        <v>1621</v>
      </c>
      <c r="D77" s="111" t="s">
        <v>2328</v>
      </c>
      <c r="E77" s="111" t="s">
        <v>56</v>
      </c>
      <c r="F77" s="113" t="s">
        <v>1233</v>
      </c>
      <c r="G77" s="113" t="s">
        <v>1233</v>
      </c>
      <c r="H77" s="113" t="s">
        <v>56</v>
      </c>
      <c r="I77" s="114" t="s">
        <v>1800</v>
      </c>
      <c r="J77" s="115" t="s">
        <v>1535</v>
      </c>
      <c r="K77" s="114" t="s">
        <v>2001</v>
      </c>
      <c r="L77" s="114"/>
      <c r="M77" s="114"/>
      <c r="N77" s="114"/>
      <c r="O77" s="121"/>
      <c r="P77" s="123"/>
      <c r="Q77" s="123"/>
      <c r="R77" s="114"/>
      <c r="S77" s="114"/>
      <c r="T77" s="114"/>
      <c r="U77" s="114"/>
      <c r="V77" s="114"/>
      <c r="W77" s="114"/>
      <c r="X77" s="118"/>
    </row>
    <row r="78">
      <c r="A78" s="115" t="s">
        <v>528</v>
      </c>
      <c r="B78" s="111" t="s">
        <v>1541</v>
      </c>
      <c r="C78" s="111" t="s">
        <v>1542</v>
      </c>
      <c r="D78" s="111" t="s">
        <v>2329</v>
      </c>
      <c r="E78" s="111" t="s">
        <v>56</v>
      </c>
      <c r="F78" s="113" t="s">
        <v>1233</v>
      </c>
      <c r="G78" s="113" t="s">
        <v>1233</v>
      </c>
      <c r="H78" s="113" t="s">
        <v>56</v>
      </c>
      <c r="I78" s="114" t="s">
        <v>1800</v>
      </c>
      <c r="J78" s="115" t="s">
        <v>1535</v>
      </c>
      <c r="K78" s="114" t="s">
        <v>2003</v>
      </c>
      <c r="L78" s="114"/>
      <c r="M78" s="114"/>
      <c r="N78" s="114"/>
      <c r="O78" s="121"/>
      <c r="P78" s="123"/>
      <c r="Q78" s="123"/>
      <c r="R78" s="114"/>
      <c r="S78" s="114"/>
      <c r="T78" s="114"/>
      <c r="U78" s="114"/>
      <c r="V78" s="114"/>
      <c r="W78" s="114"/>
      <c r="X78" s="118"/>
    </row>
    <row r="79">
      <c r="A79" s="115" t="s">
        <v>672</v>
      </c>
      <c r="B79" s="111" t="s">
        <v>1622</v>
      </c>
      <c r="C79" s="111" t="s">
        <v>1623</v>
      </c>
      <c r="D79" s="111" t="s">
        <v>2330</v>
      </c>
      <c r="E79" s="111" t="s">
        <v>56</v>
      </c>
      <c r="F79" s="113" t="s">
        <v>1233</v>
      </c>
      <c r="G79" s="113" t="s">
        <v>1233</v>
      </c>
      <c r="H79" s="113" t="s">
        <v>56</v>
      </c>
      <c r="I79" s="114" t="s">
        <v>1800</v>
      </c>
      <c r="J79" s="115" t="s">
        <v>1535</v>
      </c>
      <c r="K79" s="114" t="s">
        <v>2005</v>
      </c>
      <c r="L79" s="114"/>
      <c r="M79" s="114"/>
      <c r="N79" s="114"/>
      <c r="O79" s="121"/>
      <c r="P79" s="123"/>
      <c r="Q79" s="123"/>
      <c r="R79" s="114"/>
      <c r="S79" s="114"/>
      <c r="T79" s="114"/>
      <c r="U79" s="114"/>
      <c r="V79" s="114"/>
      <c r="W79" s="114"/>
      <c r="X79" s="118"/>
    </row>
    <row r="80">
      <c r="A80" s="115" t="s">
        <v>674</v>
      </c>
      <c r="B80" s="111" t="s">
        <v>1624</v>
      </c>
      <c r="C80" s="111" t="s">
        <v>1625</v>
      </c>
      <c r="D80" s="111" t="s">
        <v>2331</v>
      </c>
      <c r="E80" s="111" t="s">
        <v>56</v>
      </c>
      <c r="F80" s="113" t="s">
        <v>1233</v>
      </c>
      <c r="G80" s="113" t="s">
        <v>1233</v>
      </c>
      <c r="H80" s="113" t="s">
        <v>56</v>
      </c>
      <c r="I80" s="114" t="s">
        <v>1800</v>
      </c>
      <c r="J80" s="115" t="s">
        <v>1535</v>
      </c>
      <c r="K80" s="114" t="s">
        <v>2007</v>
      </c>
      <c r="L80" s="114"/>
      <c r="M80" s="114"/>
      <c r="N80" s="114"/>
      <c r="O80" s="121"/>
      <c r="P80" s="123"/>
      <c r="Q80" s="123"/>
      <c r="R80" s="114"/>
      <c r="S80" s="114"/>
      <c r="T80" s="114"/>
      <c r="U80" s="114"/>
      <c r="V80" s="114"/>
      <c r="W80" s="114"/>
      <c r="X80" s="118"/>
    </row>
  </sheetData>
  <mergeCells count="4">
    <mergeCell ref="A1:B1"/>
    <mergeCell ref="F1:H1"/>
    <mergeCell ref="I1:P1"/>
    <mergeCell ref="Q1:X1"/>
  </mergeCells>
  <conditionalFormatting sqref="G3 O3 L4:L80 T4:T80">
    <cfRule type="cellIs" dxfId="3" priority="1" operator="equal">
      <formula>"Yes"</formula>
    </cfRule>
  </conditionalFormatting>
  <conditionalFormatting sqref="G3 O3 L4:L80 T4:T80">
    <cfRule type="cellIs" dxfId="4" priority="2" operator="equal">
      <formula>"No"</formula>
    </cfRule>
  </conditionalFormatting>
  <conditionalFormatting sqref="G3 O3 L4:L80 T4:T80">
    <cfRule type="cellIs" dxfId="5" priority="3" operator="equal">
      <formula>"Maybe"</formula>
    </cfRule>
  </conditionalFormatting>
  <conditionalFormatting sqref="H3 M4:M80 U4:U80">
    <cfRule type="cellIs" dxfId="3" priority="4" operator="equal">
      <formula>"No Issues"</formula>
    </cfRule>
  </conditionalFormatting>
  <conditionalFormatting sqref="H3 M4:M80 U4:U80">
    <cfRule type="cellIs" dxfId="4" priority="5" operator="equal">
      <formula>"Unresolved Issue"</formula>
    </cfRule>
  </conditionalFormatting>
  <conditionalFormatting sqref="H3 M4:M80 U4:U80">
    <cfRule type="cellIs" dxfId="6" priority="6" operator="equal">
      <formula>"Repaired Issue"</formula>
    </cfRule>
  </conditionalFormatting>
  <conditionalFormatting sqref="H3 M4:M80 U4:U80">
    <cfRule type="cellIs" dxfId="7" priority="7" operator="equal">
      <formula>"To Check (RCC)"</formula>
    </cfRule>
  </conditionalFormatting>
  <dataValidations>
    <dataValidation type="list" allowBlank="1" sqref="O3 L4:L80 T4:T80">
      <formula1>"Yes,Maybe,No"</formula1>
    </dataValidation>
    <dataValidation type="list" allowBlank="1" sqref="M4:M80 U4:U80">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s>
  <drawing r:id="rId155"/>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2">IF($A$3:$A82&lt;&gt;"", XLOOKUP($A$3:$A82, Sourcepull!$B$3:$B82, Sourcepull!$A$3:$A82, ""), "")</f>
        <v/>
      </c>
      <c r="C3" s="57" t="str">
        <f t="array" ref="C3:C82">if($A$3:$A82&lt;&gt;"","SP-"&amp;$B$3:$B82&amp;"-"&amp;$A$3:$A82&amp;".pdf", "")</f>
        <v>SP--Keep this row hidden / do not edit!.pdf</v>
      </c>
      <c r="D3" s="57" t="str">
        <f t="array" ref="D3:D82">if($J$3:$J82&lt;&gt;"","R1-"&amp;$J$3:$J82&amp;"-"&amp;$K$3:$K82&amp;"-"&amp;$B$3:$B82&amp;"-"&amp;$A$3:$A82&amp;".pdf", "")</f>
        <v/>
      </c>
      <c r="E3" s="57" t="str">
        <f t="array" ref="E3:E82">if($R$3:$R82&lt;&gt;"","R2-"&amp;$R$3:$R82&amp;"-"&amp;$S$3:$S82&amp;"-"&amp;$B$3:$B82&amp;"-"&amp;$A$3:$A82&amp;".pdf", "")</f>
        <v/>
      </c>
      <c r="F3" s="107" t="str">
        <f t="array" ref="F3:F82">if($C$3:$C82 &lt;&gt; "", hyperlink("https://drive.google.com/drive/search?q=parent:" &amp; Properties!$C$8 &amp; "%20" &amp; char(34) &amp; $C$3:$C82 &amp; char(34), "➔"), "")</f>
        <v>➔</v>
      </c>
      <c r="G3" s="107" t="str">
        <f t="array" ref="G3:G82">if($D$3:$D82 &lt;&gt; "", hyperlink("https://drive.google.com/drive/search?q=parent:" &amp; Properties!$C$9 &amp; "%20" &amp; char(34) &amp; $D$3:$D82 &amp; char(34), "➔"), "")</f>
        <v/>
      </c>
      <c r="H3" s="107" t="str">
        <f t="array" ref="H3:H82">if($E$3:$E82 &lt;&gt; "", hyperlink("https://drive.google.com/drive/search?q=parent:" &amp; Properties!$C$10 &amp; "%20" &amp; char(34) &amp; $E$3:$E82 &amp; char(34), "➔"), "")</f>
        <v/>
      </c>
      <c r="I3" s="57"/>
      <c r="J3" s="57"/>
      <c r="K3" s="57"/>
      <c r="L3" s="57"/>
      <c r="M3" s="57"/>
      <c r="N3" s="57"/>
      <c r="O3" s="57"/>
      <c r="P3" s="108"/>
      <c r="Q3" s="109"/>
      <c r="R3" s="57"/>
      <c r="S3" s="57"/>
      <c r="T3" s="57"/>
      <c r="U3" s="57"/>
      <c r="V3" s="57"/>
      <c r="W3" s="57"/>
      <c r="X3" s="57"/>
    </row>
    <row r="4">
      <c r="A4" s="110" t="s">
        <v>677</v>
      </c>
      <c r="B4" s="111" t="s">
        <v>1626</v>
      </c>
      <c r="C4" s="111" t="s">
        <v>1627</v>
      </c>
      <c r="D4" s="111" t="s">
        <v>2332</v>
      </c>
      <c r="E4" s="111" t="s">
        <v>56</v>
      </c>
      <c r="F4" s="112" t="s">
        <v>1233</v>
      </c>
      <c r="G4" s="113" t="s">
        <v>1233</v>
      </c>
      <c r="H4" s="113" t="s">
        <v>56</v>
      </c>
      <c r="I4" s="114" t="s">
        <v>1478</v>
      </c>
      <c r="J4" s="115" t="s">
        <v>1537</v>
      </c>
      <c r="K4" s="114" t="s">
        <v>2001</v>
      </c>
      <c r="L4" s="114"/>
      <c r="M4" s="114"/>
      <c r="N4" s="114"/>
      <c r="O4" s="114"/>
      <c r="P4" s="116"/>
      <c r="Q4" s="117"/>
      <c r="R4" s="114"/>
      <c r="S4" s="114"/>
      <c r="T4" s="114"/>
      <c r="U4" s="114"/>
      <c r="V4" s="114"/>
      <c r="W4" s="114"/>
      <c r="X4" s="118"/>
    </row>
    <row r="5">
      <c r="A5" s="115" t="s">
        <v>680</v>
      </c>
      <c r="B5" s="111" t="s">
        <v>1628</v>
      </c>
      <c r="C5" s="111" t="s">
        <v>1629</v>
      </c>
      <c r="D5" s="111" t="s">
        <v>2333</v>
      </c>
      <c r="E5" s="111" t="s">
        <v>56</v>
      </c>
      <c r="F5" s="113" t="s">
        <v>1233</v>
      </c>
      <c r="G5" s="113" t="s">
        <v>1233</v>
      </c>
      <c r="H5" s="113" t="s">
        <v>56</v>
      </c>
      <c r="I5" s="114" t="s">
        <v>1478</v>
      </c>
      <c r="J5" s="115" t="s">
        <v>1539</v>
      </c>
      <c r="K5" s="114" t="s">
        <v>2001</v>
      </c>
      <c r="L5" s="114"/>
      <c r="M5" s="114"/>
      <c r="N5" s="119"/>
      <c r="O5" s="114"/>
      <c r="P5" s="120"/>
      <c r="Q5" s="117"/>
      <c r="R5" s="114"/>
      <c r="S5" s="114"/>
      <c r="T5" s="114"/>
      <c r="U5" s="114"/>
      <c r="V5" s="114"/>
      <c r="W5" s="114"/>
      <c r="X5" s="118"/>
    </row>
    <row r="6">
      <c r="A6" s="115" t="s">
        <v>683</v>
      </c>
      <c r="B6" s="111" t="s">
        <v>1630</v>
      </c>
      <c r="C6" s="111" t="s">
        <v>1631</v>
      </c>
      <c r="D6" s="111" t="s">
        <v>2334</v>
      </c>
      <c r="E6" s="111" t="s">
        <v>56</v>
      </c>
      <c r="F6" s="113" t="s">
        <v>1233</v>
      </c>
      <c r="G6" s="113" t="s">
        <v>1233</v>
      </c>
      <c r="H6" s="113" t="s">
        <v>56</v>
      </c>
      <c r="I6" s="114" t="s">
        <v>1478</v>
      </c>
      <c r="J6" s="115" t="s">
        <v>1541</v>
      </c>
      <c r="K6" s="114" t="s">
        <v>2001</v>
      </c>
      <c r="L6" s="114"/>
      <c r="M6" s="114"/>
      <c r="N6" s="114"/>
      <c r="O6" s="121"/>
      <c r="P6" s="116"/>
      <c r="Q6" s="117"/>
      <c r="R6" s="114"/>
      <c r="S6" s="114"/>
      <c r="T6" s="114"/>
      <c r="U6" s="114"/>
      <c r="V6" s="114"/>
      <c r="W6" s="114"/>
      <c r="X6" s="118"/>
    </row>
    <row r="7">
      <c r="A7" s="115" t="s">
        <v>686</v>
      </c>
      <c r="B7" s="111" t="s">
        <v>1632</v>
      </c>
      <c r="C7" s="111" t="s">
        <v>1633</v>
      </c>
      <c r="D7" s="111" t="s">
        <v>2335</v>
      </c>
      <c r="E7" s="111" t="s">
        <v>56</v>
      </c>
      <c r="F7" s="113" t="s">
        <v>1233</v>
      </c>
      <c r="G7" s="113" t="s">
        <v>1233</v>
      </c>
      <c r="H7" s="113" t="s">
        <v>56</v>
      </c>
      <c r="I7" s="114" t="s">
        <v>1478</v>
      </c>
      <c r="J7" s="115" t="s">
        <v>1543</v>
      </c>
      <c r="K7" s="114" t="s">
        <v>2001</v>
      </c>
      <c r="L7" s="114"/>
      <c r="M7" s="114"/>
      <c r="N7" s="114"/>
      <c r="O7" s="121"/>
      <c r="P7" s="122"/>
      <c r="Q7" s="123"/>
      <c r="R7" s="114"/>
      <c r="S7" s="114"/>
      <c r="T7" s="114"/>
      <c r="U7" s="114"/>
      <c r="V7" s="114"/>
      <c r="W7" s="114"/>
      <c r="X7" s="118"/>
    </row>
    <row r="8">
      <c r="A8" s="115" t="s">
        <v>176</v>
      </c>
      <c r="B8" s="111" t="s">
        <v>1335</v>
      </c>
      <c r="C8" s="111" t="s">
        <v>1336</v>
      </c>
      <c r="D8" s="111" t="s">
        <v>2336</v>
      </c>
      <c r="E8" s="111" t="s">
        <v>56</v>
      </c>
      <c r="F8" s="113" t="s">
        <v>1233</v>
      </c>
      <c r="G8" s="113" t="s">
        <v>1233</v>
      </c>
      <c r="H8" s="113" t="s">
        <v>56</v>
      </c>
      <c r="I8" s="114" t="s">
        <v>1478</v>
      </c>
      <c r="J8" s="115" t="s">
        <v>1543</v>
      </c>
      <c r="K8" s="114" t="s">
        <v>2003</v>
      </c>
      <c r="L8" s="114"/>
      <c r="M8" s="114"/>
      <c r="N8" s="114"/>
      <c r="O8" s="121"/>
      <c r="P8" s="122"/>
      <c r="Q8" s="123"/>
      <c r="R8" s="114"/>
      <c r="S8" s="114"/>
      <c r="T8" s="114"/>
      <c r="U8" s="114"/>
      <c r="V8" s="114"/>
      <c r="W8" s="114"/>
      <c r="X8" s="118"/>
    </row>
    <row r="9">
      <c r="A9" s="115" t="s">
        <v>683</v>
      </c>
      <c r="B9" s="111" t="s">
        <v>1630</v>
      </c>
      <c r="C9" s="111" t="s">
        <v>1631</v>
      </c>
      <c r="D9" s="111" t="s">
        <v>2337</v>
      </c>
      <c r="E9" s="111" t="s">
        <v>56</v>
      </c>
      <c r="F9" s="113" t="s">
        <v>1233</v>
      </c>
      <c r="G9" s="113" t="s">
        <v>1233</v>
      </c>
      <c r="H9" s="113" t="s">
        <v>56</v>
      </c>
      <c r="I9" s="114" t="s">
        <v>1478</v>
      </c>
      <c r="J9" s="115" t="s">
        <v>1545</v>
      </c>
      <c r="K9" s="114" t="s">
        <v>2001</v>
      </c>
      <c r="L9" s="114"/>
      <c r="M9" s="114"/>
      <c r="N9" s="114"/>
      <c r="O9" s="121"/>
      <c r="P9" s="122"/>
      <c r="Q9" s="123"/>
      <c r="R9" s="114"/>
      <c r="S9" s="114"/>
      <c r="T9" s="114"/>
      <c r="U9" s="114"/>
      <c r="V9" s="114"/>
      <c r="W9" s="114"/>
      <c r="X9" s="118"/>
    </row>
    <row r="10">
      <c r="A10" s="115" t="s">
        <v>677</v>
      </c>
      <c r="B10" s="111" t="s">
        <v>1626</v>
      </c>
      <c r="C10" s="111" t="s">
        <v>1627</v>
      </c>
      <c r="D10" s="111" t="s">
        <v>2338</v>
      </c>
      <c r="E10" s="111" t="s">
        <v>56</v>
      </c>
      <c r="F10" s="113" t="s">
        <v>1233</v>
      </c>
      <c r="G10" s="113" t="s">
        <v>1233</v>
      </c>
      <c r="H10" s="113" t="s">
        <v>56</v>
      </c>
      <c r="I10" s="114" t="s">
        <v>1478</v>
      </c>
      <c r="J10" s="115" t="s">
        <v>1545</v>
      </c>
      <c r="K10" s="114" t="s">
        <v>2003</v>
      </c>
      <c r="L10" s="114"/>
      <c r="M10" s="114"/>
      <c r="N10" s="114"/>
      <c r="O10" s="121"/>
      <c r="P10" s="122"/>
      <c r="Q10" s="123"/>
      <c r="R10" s="114"/>
      <c r="S10" s="114"/>
      <c r="T10" s="114"/>
      <c r="U10" s="114"/>
      <c r="V10" s="114"/>
      <c r="W10" s="114"/>
      <c r="X10" s="118"/>
    </row>
    <row r="11">
      <c r="A11" s="115" t="s">
        <v>693</v>
      </c>
      <c r="B11" s="111" t="s">
        <v>1634</v>
      </c>
      <c r="C11" s="111" t="s">
        <v>1635</v>
      </c>
      <c r="D11" s="111" t="s">
        <v>2339</v>
      </c>
      <c r="E11" s="111" t="s">
        <v>56</v>
      </c>
      <c r="F11" s="113" t="s">
        <v>1233</v>
      </c>
      <c r="G11" s="113" t="s">
        <v>1233</v>
      </c>
      <c r="H11" s="113" t="s">
        <v>56</v>
      </c>
      <c r="I11" s="114" t="s">
        <v>1478</v>
      </c>
      <c r="J11" s="115" t="s">
        <v>1547</v>
      </c>
      <c r="K11" s="114" t="s">
        <v>2001</v>
      </c>
      <c r="L11" s="114"/>
      <c r="M11" s="114"/>
      <c r="N11" s="114"/>
      <c r="O11" s="121"/>
      <c r="P11" s="122"/>
      <c r="Q11" s="123"/>
      <c r="R11" s="114"/>
      <c r="S11" s="114"/>
      <c r="T11" s="114"/>
      <c r="U11" s="114"/>
      <c r="V11" s="114"/>
      <c r="W11" s="114"/>
      <c r="X11" s="118"/>
    </row>
    <row r="12">
      <c r="A12" s="115" t="s">
        <v>696</v>
      </c>
      <c r="B12" s="111" t="s">
        <v>1636</v>
      </c>
      <c r="C12" s="111" t="s">
        <v>1637</v>
      </c>
      <c r="D12" s="111" t="s">
        <v>2340</v>
      </c>
      <c r="E12" s="111" t="s">
        <v>56</v>
      </c>
      <c r="F12" s="113" t="s">
        <v>1233</v>
      </c>
      <c r="G12" s="113" t="s">
        <v>1233</v>
      </c>
      <c r="H12" s="113" t="s">
        <v>56</v>
      </c>
      <c r="I12" s="114" t="s">
        <v>1478</v>
      </c>
      <c r="J12" s="115" t="s">
        <v>1549</v>
      </c>
      <c r="K12" s="114" t="s">
        <v>2001</v>
      </c>
      <c r="L12" s="114"/>
      <c r="M12" s="114"/>
      <c r="N12" s="114"/>
      <c r="O12" s="121"/>
      <c r="P12" s="123"/>
      <c r="Q12" s="123"/>
      <c r="R12" s="114"/>
      <c r="S12" s="114"/>
      <c r="T12" s="114"/>
      <c r="U12" s="114"/>
      <c r="V12" s="114"/>
      <c r="W12" s="114"/>
      <c r="X12" s="118"/>
    </row>
    <row r="13">
      <c r="A13" s="115" t="s">
        <v>698</v>
      </c>
      <c r="B13" s="111" t="s">
        <v>1638</v>
      </c>
      <c r="C13" s="111" t="s">
        <v>1639</v>
      </c>
      <c r="D13" s="111" t="s">
        <v>2341</v>
      </c>
      <c r="E13" s="111" t="s">
        <v>56</v>
      </c>
      <c r="F13" s="113" t="s">
        <v>1233</v>
      </c>
      <c r="G13" s="113" t="s">
        <v>1233</v>
      </c>
      <c r="H13" s="113" t="s">
        <v>56</v>
      </c>
      <c r="I13" s="114" t="s">
        <v>1478</v>
      </c>
      <c r="J13" s="115" t="s">
        <v>1549</v>
      </c>
      <c r="K13" s="114" t="s">
        <v>2003</v>
      </c>
      <c r="L13" s="114"/>
      <c r="M13" s="114"/>
      <c r="N13" s="114"/>
      <c r="O13" s="121"/>
      <c r="P13" s="123"/>
      <c r="Q13" s="123"/>
      <c r="R13" s="114"/>
      <c r="S13" s="114"/>
      <c r="T13" s="114"/>
      <c r="U13" s="114"/>
      <c r="V13" s="114"/>
      <c r="W13" s="114"/>
      <c r="X13" s="118"/>
    </row>
    <row r="14">
      <c r="A14" s="115" t="s">
        <v>696</v>
      </c>
      <c r="B14" s="111" t="s">
        <v>1636</v>
      </c>
      <c r="C14" s="111" t="s">
        <v>1637</v>
      </c>
      <c r="D14" s="111" t="s">
        <v>2342</v>
      </c>
      <c r="E14" s="111" t="s">
        <v>56</v>
      </c>
      <c r="F14" s="113" t="s">
        <v>1233</v>
      </c>
      <c r="G14" s="113" t="s">
        <v>1233</v>
      </c>
      <c r="H14" s="113" t="s">
        <v>56</v>
      </c>
      <c r="I14" s="114" t="s">
        <v>1478</v>
      </c>
      <c r="J14" s="115" t="s">
        <v>1551</v>
      </c>
      <c r="K14" s="114" t="s">
        <v>2001</v>
      </c>
      <c r="L14" s="114"/>
      <c r="M14" s="114"/>
      <c r="N14" s="114"/>
      <c r="O14" s="121"/>
      <c r="P14" s="123"/>
      <c r="Q14" s="123"/>
      <c r="R14" s="114"/>
      <c r="S14" s="114"/>
      <c r="T14" s="114"/>
      <c r="U14" s="114"/>
      <c r="V14" s="114"/>
      <c r="W14" s="114"/>
      <c r="X14" s="118"/>
    </row>
    <row r="15">
      <c r="A15" s="115" t="s">
        <v>693</v>
      </c>
      <c r="B15" s="111" t="s">
        <v>1634</v>
      </c>
      <c r="C15" s="111" t="s">
        <v>1635</v>
      </c>
      <c r="D15" s="111" t="s">
        <v>2343</v>
      </c>
      <c r="E15" s="111" t="s">
        <v>56</v>
      </c>
      <c r="F15" s="113" t="s">
        <v>1233</v>
      </c>
      <c r="G15" s="113" t="s">
        <v>1233</v>
      </c>
      <c r="H15" s="113" t="s">
        <v>56</v>
      </c>
      <c r="I15" s="114" t="s">
        <v>1478</v>
      </c>
      <c r="J15" s="115" t="s">
        <v>1551</v>
      </c>
      <c r="K15" s="114" t="s">
        <v>2003</v>
      </c>
      <c r="L15" s="114"/>
      <c r="M15" s="114"/>
      <c r="N15" s="114"/>
      <c r="O15" s="121"/>
      <c r="P15" s="123"/>
      <c r="Q15" s="123"/>
      <c r="R15" s="114"/>
      <c r="S15" s="114"/>
      <c r="T15" s="114"/>
      <c r="U15" s="114"/>
      <c r="V15" s="114"/>
      <c r="W15" s="114"/>
      <c r="X15" s="118"/>
    </row>
    <row r="16">
      <c r="A16" s="115" t="s">
        <v>504</v>
      </c>
      <c r="B16" s="111" t="s">
        <v>1525</v>
      </c>
      <c r="C16" s="111" t="s">
        <v>1526</v>
      </c>
      <c r="D16" s="111" t="s">
        <v>2344</v>
      </c>
      <c r="E16" s="111" t="s">
        <v>56</v>
      </c>
      <c r="F16" s="113" t="s">
        <v>1233</v>
      </c>
      <c r="G16" s="113" t="s">
        <v>1233</v>
      </c>
      <c r="H16" s="113" t="s">
        <v>56</v>
      </c>
      <c r="I16" s="114" t="s">
        <v>1478</v>
      </c>
      <c r="J16" s="115" t="s">
        <v>1551</v>
      </c>
      <c r="K16" s="114" t="s">
        <v>2005</v>
      </c>
      <c r="L16" s="114"/>
      <c r="M16" s="114"/>
      <c r="N16" s="114"/>
      <c r="O16" s="121"/>
      <c r="P16" s="123"/>
      <c r="Q16" s="123"/>
      <c r="R16" s="114"/>
      <c r="S16" s="114"/>
      <c r="T16" s="114"/>
      <c r="U16" s="114"/>
      <c r="V16" s="114"/>
      <c r="W16" s="114"/>
      <c r="X16" s="118"/>
    </row>
    <row r="17">
      <c r="A17" s="115" t="s">
        <v>69</v>
      </c>
      <c r="B17" s="111" t="s">
        <v>1248</v>
      </c>
      <c r="C17" s="111" t="s">
        <v>1249</v>
      </c>
      <c r="D17" s="111" t="s">
        <v>2345</v>
      </c>
      <c r="E17" s="111" t="s">
        <v>56</v>
      </c>
      <c r="F17" s="113" t="s">
        <v>1233</v>
      </c>
      <c r="G17" s="113" t="s">
        <v>1233</v>
      </c>
      <c r="H17" s="113" t="s">
        <v>56</v>
      </c>
      <c r="I17" s="114" t="s">
        <v>1478</v>
      </c>
      <c r="J17" s="115" t="s">
        <v>1553</v>
      </c>
      <c r="K17" s="114" t="s">
        <v>2001</v>
      </c>
      <c r="L17" s="114"/>
      <c r="M17" s="114"/>
      <c r="N17" s="114"/>
      <c r="O17" s="121"/>
      <c r="P17" s="123"/>
      <c r="Q17" s="123"/>
      <c r="R17" s="114"/>
      <c r="S17" s="114"/>
      <c r="T17" s="114"/>
      <c r="U17" s="114"/>
      <c r="V17" s="114"/>
      <c r="W17" s="114"/>
      <c r="X17" s="118"/>
    </row>
    <row r="18">
      <c r="A18" s="115" t="s">
        <v>170</v>
      </c>
      <c r="B18" s="111" t="s">
        <v>1331</v>
      </c>
      <c r="C18" s="111" t="s">
        <v>1332</v>
      </c>
      <c r="D18" s="111" t="s">
        <v>2346</v>
      </c>
      <c r="E18" s="111" t="s">
        <v>56</v>
      </c>
      <c r="F18" s="113" t="s">
        <v>1233</v>
      </c>
      <c r="G18" s="113" t="s">
        <v>1233</v>
      </c>
      <c r="H18" s="113" t="s">
        <v>56</v>
      </c>
      <c r="I18" s="114" t="s">
        <v>1478</v>
      </c>
      <c r="J18" s="115" t="s">
        <v>1553</v>
      </c>
      <c r="K18" s="114" t="s">
        <v>2003</v>
      </c>
      <c r="L18" s="114"/>
      <c r="M18" s="114"/>
      <c r="N18" s="114"/>
      <c r="O18" s="121"/>
      <c r="P18" s="123"/>
      <c r="Q18" s="123"/>
      <c r="R18" s="114"/>
      <c r="S18" s="114"/>
      <c r="T18" s="114"/>
      <c r="U18" s="114"/>
      <c r="V18" s="114"/>
      <c r="W18" s="114"/>
      <c r="X18" s="118"/>
    </row>
    <row r="19">
      <c r="A19" s="115" t="s">
        <v>707</v>
      </c>
      <c r="B19" s="111" t="s">
        <v>1641</v>
      </c>
      <c r="C19" s="111" t="s">
        <v>1642</v>
      </c>
      <c r="D19" s="111" t="s">
        <v>2347</v>
      </c>
      <c r="E19" s="111" t="s">
        <v>56</v>
      </c>
      <c r="F19" s="113" t="s">
        <v>1233</v>
      </c>
      <c r="G19" s="113" t="s">
        <v>1233</v>
      </c>
      <c r="H19" s="113" t="s">
        <v>56</v>
      </c>
      <c r="I19" s="114" t="s">
        <v>1478</v>
      </c>
      <c r="J19" s="115" t="s">
        <v>1555</v>
      </c>
      <c r="K19" s="114" t="s">
        <v>2001</v>
      </c>
      <c r="L19" s="114"/>
      <c r="M19" s="114"/>
      <c r="N19" s="114"/>
      <c r="O19" s="121"/>
      <c r="P19" s="123"/>
      <c r="Q19" s="123"/>
      <c r="R19" s="114"/>
      <c r="S19" s="114"/>
      <c r="T19" s="114"/>
      <c r="U19" s="114"/>
      <c r="V19" s="114"/>
      <c r="W19" s="114"/>
      <c r="X19" s="118"/>
    </row>
    <row r="20">
      <c r="A20" s="115" t="s">
        <v>709</v>
      </c>
      <c r="B20" s="111" t="s">
        <v>1643</v>
      </c>
      <c r="C20" s="111" t="s">
        <v>1644</v>
      </c>
      <c r="D20" s="111" t="s">
        <v>2348</v>
      </c>
      <c r="E20" s="111" t="s">
        <v>56</v>
      </c>
      <c r="F20" s="113" t="s">
        <v>1233</v>
      </c>
      <c r="G20" s="113" t="s">
        <v>1233</v>
      </c>
      <c r="H20" s="113" t="s">
        <v>56</v>
      </c>
      <c r="I20" s="114" t="s">
        <v>1478</v>
      </c>
      <c r="J20" s="115" t="s">
        <v>1555</v>
      </c>
      <c r="K20" s="114" t="s">
        <v>2003</v>
      </c>
      <c r="L20" s="114"/>
      <c r="M20" s="114"/>
      <c r="N20" s="114"/>
      <c r="O20" s="121"/>
      <c r="P20" s="123"/>
      <c r="Q20" s="123"/>
      <c r="R20" s="114"/>
      <c r="S20" s="114"/>
      <c r="T20" s="114"/>
      <c r="U20" s="114"/>
      <c r="V20" s="114"/>
      <c r="W20" s="114"/>
      <c r="X20" s="118"/>
    </row>
    <row r="21">
      <c r="A21" s="115" t="s">
        <v>129</v>
      </c>
      <c r="B21" s="111" t="s">
        <v>1298</v>
      </c>
      <c r="C21" s="111" t="s">
        <v>1299</v>
      </c>
      <c r="D21" s="111" t="s">
        <v>2349</v>
      </c>
      <c r="E21" s="111" t="s">
        <v>56</v>
      </c>
      <c r="F21" s="113" t="s">
        <v>1233</v>
      </c>
      <c r="G21" s="113" t="s">
        <v>1233</v>
      </c>
      <c r="H21" s="113" t="s">
        <v>56</v>
      </c>
      <c r="I21" s="114" t="s">
        <v>1478</v>
      </c>
      <c r="J21" s="115" t="s">
        <v>1557</v>
      </c>
      <c r="K21" s="114" t="s">
        <v>2001</v>
      </c>
      <c r="L21" s="114"/>
      <c r="M21" s="114"/>
      <c r="N21" s="114"/>
      <c r="O21" s="121"/>
      <c r="P21" s="123"/>
      <c r="Q21" s="123"/>
      <c r="R21" s="114"/>
      <c r="S21" s="114"/>
      <c r="T21" s="114"/>
      <c r="U21" s="114"/>
      <c r="V21" s="114"/>
      <c r="W21" s="114"/>
      <c r="X21" s="118"/>
    </row>
    <row r="22">
      <c r="A22" s="115" t="s">
        <v>69</v>
      </c>
      <c r="B22" s="111" t="s">
        <v>1248</v>
      </c>
      <c r="C22" s="111" t="s">
        <v>1249</v>
      </c>
      <c r="D22" s="111" t="s">
        <v>2350</v>
      </c>
      <c r="E22" s="111" t="s">
        <v>56</v>
      </c>
      <c r="F22" s="113" t="s">
        <v>1233</v>
      </c>
      <c r="G22" s="113" t="s">
        <v>1233</v>
      </c>
      <c r="H22" s="113" t="s">
        <v>56</v>
      </c>
      <c r="I22" s="114" t="s">
        <v>1478</v>
      </c>
      <c r="J22" s="115" t="s">
        <v>1557</v>
      </c>
      <c r="K22" s="114" t="s">
        <v>2003</v>
      </c>
      <c r="L22" s="114"/>
      <c r="M22" s="114"/>
      <c r="N22" s="114"/>
      <c r="O22" s="121"/>
      <c r="P22" s="123"/>
      <c r="Q22" s="123"/>
      <c r="R22" s="114"/>
      <c r="S22" s="114"/>
      <c r="T22" s="114"/>
      <c r="U22" s="114"/>
      <c r="V22" s="114"/>
      <c r="W22" s="114"/>
      <c r="X22" s="118"/>
    </row>
    <row r="23">
      <c r="A23" s="115" t="s">
        <v>184</v>
      </c>
      <c r="B23" s="111" t="s">
        <v>1341</v>
      </c>
      <c r="C23" s="111" t="s">
        <v>1342</v>
      </c>
      <c r="D23" s="111" t="s">
        <v>2351</v>
      </c>
      <c r="E23" s="111" t="s">
        <v>56</v>
      </c>
      <c r="F23" s="113" t="s">
        <v>1233</v>
      </c>
      <c r="G23" s="113" t="s">
        <v>1233</v>
      </c>
      <c r="H23" s="113" t="s">
        <v>56</v>
      </c>
      <c r="I23" s="114" t="s">
        <v>1478</v>
      </c>
      <c r="J23" s="115" t="s">
        <v>1560</v>
      </c>
      <c r="K23" s="114" t="s">
        <v>2001</v>
      </c>
      <c r="L23" s="114"/>
      <c r="M23" s="114"/>
      <c r="N23" s="114"/>
      <c r="O23" s="121"/>
      <c r="P23" s="123"/>
      <c r="Q23" s="123"/>
      <c r="R23" s="114"/>
      <c r="S23" s="114"/>
      <c r="T23" s="114"/>
      <c r="U23" s="114"/>
      <c r="V23" s="114"/>
      <c r="W23" s="114"/>
      <c r="X23" s="118"/>
    </row>
    <row r="24">
      <c r="A24" s="115" t="s">
        <v>69</v>
      </c>
      <c r="B24" s="111" t="s">
        <v>1248</v>
      </c>
      <c r="C24" s="111" t="s">
        <v>1249</v>
      </c>
      <c r="D24" s="111" t="s">
        <v>2352</v>
      </c>
      <c r="E24" s="111" t="s">
        <v>56</v>
      </c>
      <c r="F24" s="113" t="s">
        <v>1233</v>
      </c>
      <c r="G24" s="113" t="s">
        <v>1233</v>
      </c>
      <c r="H24" s="113" t="s">
        <v>56</v>
      </c>
      <c r="I24" s="114" t="s">
        <v>1478</v>
      </c>
      <c r="J24" s="115" t="s">
        <v>1562</v>
      </c>
      <c r="K24" s="114" t="s">
        <v>2001</v>
      </c>
      <c r="L24" s="114"/>
      <c r="M24" s="114"/>
      <c r="N24" s="114"/>
      <c r="O24" s="121"/>
      <c r="P24" s="123"/>
      <c r="Q24" s="123"/>
      <c r="R24" s="114"/>
      <c r="S24" s="114"/>
      <c r="T24" s="114"/>
      <c r="U24" s="114"/>
      <c r="V24" s="114"/>
      <c r="W24" s="114"/>
      <c r="X24" s="118"/>
    </row>
    <row r="25">
      <c r="A25" s="115" t="s">
        <v>170</v>
      </c>
      <c r="B25" s="111" t="s">
        <v>1331</v>
      </c>
      <c r="C25" s="111" t="s">
        <v>1332</v>
      </c>
      <c r="D25" s="111" t="s">
        <v>2353</v>
      </c>
      <c r="E25" s="111" t="s">
        <v>56</v>
      </c>
      <c r="F25" s="113" t="s">
        <v>1233</v>
      </c>
      <c r="G25" s="113" t="s">
        <v>1233</v>
      </c>
      <c r="H25" s="113" t="s">
        <v>56</v>
      </c>
      <c r="I25" s="114" t="s">
        <v>1478</v>
      </c>
      <c r="J25" s="115" t="s">
        <v>1562</v>
      </c>
      <c r="K25" s="114" t="s">
        <v>2003</v>
      </c>
      <c r="L25" s="114"/>
      <c r="M25" s="114"/>
      <c r="N25" s="114"/>
      <c r="O25" s="121"/>
      <c r="P25" s="123"/>
      <c r="Q25" s="123"/>
      <c r="R25" s="114"/>
      <c r="S25" s="114"/>
      <c r="T25" s="114"/>
      <c r="U25" s="114"/>
      <c r="V25" s="114"/>
      <c r="W25" s="114"/>
      <c r="X25" s="118"/>
    </row>
    <row r="26">
      <c r="A26" s="115" t="s">
        <v>488</v>
      </c>
      <c r="B26" s="111" t="s">
        <v>1511</v>
      </c>
      <c r="C26" s="111" t="s">
        <v>1512</v>
      </c>
      <c r="D26" s="111" t="s">
        <v>2354</v>
      </c>
      <c r="E26" s="111" t="s">
        <v>56</v>
      </c>
      <c r="F26" s="113" t="s">
        <v>1233</v>
      </c>
      <c r="G26" s="113" t="s">
        <v>1233</v>
      </c>
      <c r="H26" s="113" t="s">
        <v>56</v>
      </c>
      <c r="I26" s="114" t="s">
        <v>1478</v>
      </c>
      <c r="J26" s="115" t="s">
        <v>1562</v>
      </c>
      <c r="K26" s="114" t="s">
        <v>2005</v>
      </c>
      <c r="L26" s="114"/>
      <c r="M26" s="114"/>
      <c r="N26" s="114"/>
      <c r="O26" s="121"/>
      <c r="P26" s="123"/>
      <c r="Q26" s="123"/>
      <c r="R26" s="114"/>
      <c r="S26" s="114"/>
      <c r="T26" s="114"/>
      <c r="U26" s="114"/>
      <c r="V26" s="114"/>
      <c r="W26" s="114"/>
      <c r="X26" s="118"/>
    </row>
    <row r="27">
      <c r="A27" s="115" t="s">
        <v>717</v>
      </c>
      <c r="B27" s="111" t="s">
        <v>1645</v>
      </c>
      <c r="C27" s="111" t="s">
        <v>1646</v>
      </c>
      <c r="D27" s="111" t="s">
        <v>2355</v>
      </c>
      <c r="E27" s="111" t="s">
        <v>56</v>
      </c>
      <c r="F27" s="113" t="s">
        <v>1233</v>
      </c>
      <c r="G27" s="113" t="s">
        <v>1233</v>
      </c>
      <c r="H27" s="113" t="s">
        <v>56</v>
      </c>
      <c r="I27" s="114" t="s">
        <v>1478</v>
      </c>
      <c r="J27" s="115" t="s">
        <v>1564</v>
      </c>
      <c r="K27" s="114" t="s">
        <v>2001</v>
      </c>
      <c r="L27" s="114"/>
      <c r="M27" s="114"/>
      <c r="N27" s="114"/>
      <c r="O27" s="121"/>
      <c r="P27" s="123"/>
      <c r="Q27" s="123"/>
      <c r="R27" s="114"/>
      <c r="S27" s="114"/>
      <c r="T27" s="114"/>
      <c r="U27" s="114"/>
      <c r="V27" s="114"/>
      <c r="W27" s="114"/>
      <c r="X27" s="118"/>
    </row>
    <row r="28">
      <c r="A28" s="115" t="s">
        <v>719</v>
      </c>
      <c r="B28" s="111" t="s">
        <v>1647</v>
      </c>
      <c r="C28" s="111" t="s">
        <v>1648</v>
      </c>
      <c r="D28" s="111" t="s">
        <v>2356</v>
      </c>
      <c r="E28" s="111" t="s">
        <v>56</v>
      </c>
      <c r="F28" s="113" t="s">
        <v>1233</v>
      </c>
      <c r="G28" s="113" t="s">
        <v>1233</v>
      </c>
      <c r="H28" s="113" t="s">
        <v>56</v>
      </c>
      <c r="I28" s="114" t="s">
        <v>1478</v>
      </c>
      <c r="J28" s="115" t="s">
        <v>1564</v>
      </c>
      <c r="K28" s="114" t="s">
        <v>2003</v>
      </c>
      <c r="L28" s="114"/>
      <c r="M28" s="114"/>
      <c r="N28" s="114"/>
      <c r="O28" s="121"/>
      <c r="P28" s="123"/>
      <c r="Q28" s="123"/>
      <c r="R28" s="114"/>
      <c r="S28" s="114"/>
      <c r="T28" s="114"/>
      <c r="U28" s="114"/>
      <c r="V28" s="114"/>
      <c r="W28" s="114"/>
      <c r="X28" s="118"/>
    </row>
    <row r="29">
      <c r="A29" s="115" t="s">
        <v>721</v>
      </c>
      <c r="B29" s="111" t="s">
        <v>1649</v>
      </c>
      <c r="C29" s="111" t="s">
        <v>1650</v>
      </c>
      <c r="D29" s="111" t="s">
        <v>2357</v>
      </c>
      <c r="E29" s="111" t="s">
        <v>56</v>
      </c>
      <c r="F29" s="113" t="s">
        <v>1233</v>
      </c>
      <c r="G29" s="113" t="s">
        <v>1233</v>
      </c>
      <c r="H29" s="113" t="s">
        <v>56</v>
      </c>
      <c r="I29" s="114" t="s">
        <v>1478</v>
      </c>
      <c r="J29" s="115" t="s">
        <v>1564</v>
      </c>
      <c r="K29" s="114" t="s">
        <v>2005</v>
      </c>
      <c r="L29" s="114"/>
      <c r="M29" s="114"/>
      <c r="N29" s="114"/>
      <c r="O29" s="121"/>
      <c r="P29" s="123"/>
      <c r="Q29" s="123"/>
      <c r="R29" s="114"/>
      <c r="S29" s="114"/>
      <c r="T29" s="114"/>
      <c r="U29" s="114"/>
      <c r="V29" s="114"/>
      <c r="W29" s="114"/>
      <c r="X29" s="118"/>
    </row>
    <row r="30">
      <c r="A30" s="115" t="s">
        <v>723</v>
      </c>
      <c r="B30" s="111" t="s">
        <v>1651</v>
      </c>
      <c r="C30" s="111" t="s">
        <v>1652</v>
      </c>
      <c r="D30" s="111" t="s">
        <v>2358</v>
      </c>
      <c r="E30" s="111" t="s">
        <v>56</v>
      </c>
      <c r="F30" s="113" t="s">
        <v>1233</v>
      </c>
      <c r="G30" s="113" t="s">
        <v>1233</v>
      </c>
      <c r="H30" s="113" t="s">
        <v>56</v>
      </c>
      <c r="I30" s="114" t="s">
        <v>1478</v>
      </c>
      <c r="J30" s="115" t="s">
        <v>1564</v>
      </c>
      <c r="K30" s="114" t="s">
        <v>2007</v>
      </c>
      <c r="L30" s="114"/>
      <c r="M30" s="114"/>
      <c r="N30" s="114"/>
      <c r="O30" s="121"/>
      <c r="P30" s="123"/>
      <c r="Q30" s="123"/>
      <c r="R30" s="114"/>
      <c r="S30" s="114"/>
      <c r="T30" s="114"/>
      <c r="U30" s="114"/>
      <c r="V30" s="114"/>
      <c r="W30" s="114"/>
      <c r="X30" s="118"/>
    </row>
    <row r="31">
      <c r="A31" s="115" t="s">
        <v>726</v>
      </c>
      <c r="B31" s="111" t="s">
        <v>1653</v>
      </c>
      <c r="C31" s="111" t="s">
        <v>1654</v>
      </c>
      <c r="D31" s="111" t="s">
        <v>2359</v>
      </c>
      <c r="E31" s="111" t="s">
        <v>56</v>
      </c>
      <c r="F31" s="113" t="s">
        <v>1233</v>
      </c>
      <c r="G31" s="113" t="s">
        <v>1233</v>
      </c>
      <c r="H31" s="113" t="s">
        <v>56</v>
      </c>
      <c r="I31" s="114" t="s">
        <v>1478</v>
      </c>
      <c r="J31" s="115" t="s">
        <v>1566</v>
      </c>
      <c r="K31" s="114" t="s">
        <v>2001</v>
      </c>
      <c r="L31" s="114"/>
      <c r="M31" s="114"/>
      <c r="N31" s="114"/>
      <c r="O31" s="121"/>
      <c r="P31" s="123"/>
      <c r="Q31" s="123"/>
      <c r="R31" s="114"/>
      <c r="S31" s="114"/>
      <c r="T31" s="114"/>
      <c r="U31" s="114"/>
      <c r="V31" s="114"/>
      <c r="W31" s="114"/>
      <c r="X31" s="118"/>
    </row>
    <row r="32">
      <c r="A32" s="115" t="s">
        <v>728</v>
      </c>
      <c r="B32" s="111" t="s">
        <v>1655</v>
      </c>
      <c r="C32" s="111" t="s">
        <v>1656</v>
      </c>
      <c r="D32" s="111" t="s">
        <v>2360</v>
      </c>
      <c r="E32" s="111" t="s">
        <v>56</v>
      </c>
      <c r="F32" s="113" t="s">
        <v>1233</v>
      </c>
      <c r="G32" s="113" t="s">
        <v>1233</v>
      </c>
      <c r="H32" s="113" t="s">
        <v>56</v>
      </c>
      <c r="I32" s="114" t="s">
        <v>1478</v>
      </c>
      <c r="J32" s="115" t="s">
        <v>1566</v>
      </c>
      <c r="K32" s="114" t="s">
        <v>2003</v>
      </c>
      <c r="L32" s="114"/>
      <c r="M32" s="114"/>
      <c r="N32" s="114"/>
      <c r="O32" s="121"/>
      <c r="P32" s="123"/>
      <c r="Q32" s="123"/>
      <c r="R32" s="114"/>
      <c r="S32" s="114"/>
      <c r="T32" s="114"/>
      <c r="U32" s="114"/>
      <c r="V32" s="114"/>
      <c r="W32" s="114"/>
      <c r="X32" s="118"/>
    </row>
    <row r="33">
      <c r="A33" s="115" t="s">
        <v>69</v>
      </c>
      <c r="B33" s="111" t="s">
        <v>1248</v>
      </c>
      <c r="C33" s="111" t="s">
        <v>1249</v>
      </c>
      <c r="D33" s="111" t="s">
        <v>2361</v>
      </c>
      <c r="E33" s="111" t="s">
        <v>56</v>
      </c>
      <c r="F33" s="113" t="s">
        <v>1233</v>
      </c>
      <c r="G33" s="113" t="s">
        <v>1233</v>
      </c>
      <c r="H33" s="113" t="s">
        <v>56</v>
      </c>
      <c r="I33" s="114" t="s">
        <v>1478</v>
      </c>
      <c r="J33" s="115" t="s">
        <v>1566</v>
      </c>
      <c r="K33" s="114" t="s">
        <v>2005</v>
      </c>
      <c r="L33" s="114"/>
      <c r="M33" s="114"/>
      <c r="N33" s="114"/>
      <c r="O33" s="121"/>
      <c r="P33" s="123"/>
      <c r="Q33" s="123"/>
      <c r="R33" s="114"/>
      <c r="S33" s="114"/>
      <c r="T33" s="114"/>
      <c r="U33" s="114"/>
      <c r="V33" s="114"/>
      <c r="W33" s="114"/>
      <c r="X33" s="118"/>
    </row>
    <row r="34">
      <c r="A34" s="115" t="s">
        <v>731</v>
      </c>
      <c r="B34" s="111" t="s">
        <v>1657</v>
      </c>
      <c r="C34" s="111" t="s">
        <v>1658</v>
      </c>
      <c r="D34" s="111" t="s">
        <v>2362</v>
      </c>
      <c r="E34" s="111" t="s">
        <v>56</v>
      </c>
      <c r="F34" s="113" t="s">
        <v>1233</v>
      </c>
      <c r="G34" s="113" t="s">
        <v>1233</v>
      </c>
      <c r="H34" s="113" t="s">
        <v>56</v>
      </c>
      <c r="I34" s="114" t="s">
        <v>1478</v>
      </c>
      <c r="J34" s="115" t="s">
        <v>1568</v>
      </c>
      <c r="K34" s="114" t="s">
        <v>2001</v>
      </c>
      <c r="L34" s="114"/>
      <c r="M34" s="114"/>
      <c r="N34" s="114"/>
      <c r="O34" s="121"/>
      <c r="P34" s="123"/>
      <c r="Q34" s="123"/>
      <c r="R34" s="114"/>
      <c r="S34" s="114"/>
      <c r="T34" s="114"/>
      <c r="U34" s="114"/>
      <c r="V34" s="114"/>
      <c r="W34" s="114"/>
      <c r="X34" s="118"/>
    </row>
    <row r="35">
      <c r="A35" s="115" t="s">
        <v>719</v>
      </c>
      <c r="B35" s="111" t="s">
        <v>1647</v>
      </c>
      <c r="C35" s="111" t="s">
        <v>1648</v>
      </c>
      <c r="D35" s="111" t="s">
        <v>2363</v>
      </c>
      <c r="E35" s="111" t="s">
        <v>56</v>
      </c>
      <c r="F35" s="113" t="s">
        <v>1233</v>
      </c>
      <c r="G35" s="113" t="s">
        <v>1233</v>
      </c>
      <c r="H35" s="113" t="s">
        <v>56</v>
      </c>
      <c r="I35" s="114" t="s">
        <v>1478</v>
      </c>
      <c r="J35" s="115" t="s">
        <v>1568</v>
      </c>
      <c r="K35" s="114" t="s">
        <v>2003</v>
      </c>
      <c r="L35" s="114"/>
      <c r="M35" s="114"/>
      <c r="N35" s="114"/>
      <c r="O35" s="121"/>
      <c r="P35" s="123"/>
      <c r="Q35" s="123"/>
      <c r="R35" s="114"/>
      <c r="S35" s="114"/>
      <c r="T35" s="114"/>
      <c r="U35" s="114"/>
      <c r="V35" s="114"/>
      <c r="W35" s="114"/>
      <c r="X35" s="118"/>
    </row>
    <row r="36">
      <c r="A36" s="115" t="s">
        <v>717</v>
      </c>
      <c r="B36" s="111" t="s">
        <v>1645</v>
      </c>
      <c r="C36" s="111" t="s">
        <v>1646</v>
      </c>
      <c r="D36" s="111" t="s">
        <v>2364</v>
      </c>
      <c r="E36" s="111" t="s">
        <v>56</v>
      </c>
      <c r="F36" s="113" t="s">
        <v>1233</v>
      </c>
      <c r="G36" s="113" t="s">
        <v>1233</v>
      </c>
      <c r="H36" s="113" t="s">
        <v>56</v>
      </c>
      <c r="I36" s="114" t="s">
        <v>1478</v>
      </c>
      <c r="J36" s="115" t="s">
        <v>1568</v>
      </c>
      <c r="K36" s="114" t="s">
        <v>2005</v>
      </c>
      <c r="L36" s="114"/>
      <c r="M36" s="114"/>
      <c r="N36" s="114"/>
      <c r="O36" s="121"/>
      <c r="P36" s="123"/>
      <c r="Q36" s="123"/>
      <c r="R36" s="114"/>
      <c r="S36" s="114"/>
      <c r="T36" s="114"/>
      <c r="U36" s="114"/>
      <c r="V36" s="114"/>
      <c r="W36" s="114"/>
      <c r="X36" s="118"/>
    </row>
    <row r="37">
      <c r="A37" s="115" t="s">
        <v>220</v>
      </c>
      <c r="B37" s="111" t="s">
        <v>1369</v>
      </c>
      <c r="C37" s="111" t="s">
        <v>1370</v>
      </c>
      <c r="D37" s="111" t="s">
        <v>2365</v>
      </c>
      <c r="E37" s="111" t="s">
        <v>56</v>
      </c>
      <c r="F37" s="113" t="s">
        <v>1233</v>
      </c>
      <c r="G37" s="113" t="s">
        <v>1233</v>
      </c>
      <c r="H37" s="113" t="s">
        <v>56</v>
      </c>
      <c r="I37" s="114" t="s">
        <v>1478</v>
      </c>
      <c r="J37" s="115" t="s">
        <v>1568</v>
      </c>
      <c r="K37" s="114" t="s">
        <v>2007</v>
      </c>
      <c r="L37" s="114"/>
      <c r="M37" s="114"/>
      <c r="N37" s="114"/>
      <c r="O37" s="121"/>
      <c r="P37" s="123"/>
      <c r="Q37" s="123"/>
      <c r="R37" s="114"/>
      <c r="S37" s="114"/>
      <c r="T37" s="114"/>
      <c r="U37" s="114"/>
      <c r="V37" s="114"/>
      <c r="W37" s="114"/>
      <c r="X37" s="118"/>
    </row>
    <row r="38">
      <c r="A38" s="115" t="s">
        <v>736</v>
      </c>
      <c r="B38" s="111" t="s">
        <v>1659</v>
      </c>
      <c r="C38" s="111" t="s">
        <v>1660</v>
      </c>
      <c r="D38" s="111" t="s">
        <v>2366</v>
      </c>
      <c r="E38" s="111" t="s">
        <v>56</v>
      </c>
      <c r="F38" s="113" t="s">
        <v>1233</v>
      </c>
      <c r="G38" s="113" t="s">
        <v>1233</v>
      </c>
      <c r="H38" s="113" t="s">
        <v>56</v>
      </c>
      <c r="I38" s="114" t="s">
        <v>1478</v>
      </c>
      <c r="J38" s="115" t="s">
        <v>1568</v>
      </c>
      <c r="K38" s="114" t="s">
        <v>2009</v>
      </c>
      <c r="L38" s="114"/>
      <c r="M38" s="114"/>
      <c r="N38" s="114"/>
      <c r="O38" s="121"/>
      <c r="P38" s="123"/>
      <c r="Q38" s="123"/>
      <c r="R38" s="114"/>
      <c r="S38" s="114"/>
      <c r="T38" s="114"/>
      <c r="U38" s="114"/>
      <c r="V38" s="114"/>
      <c r="W38" s="114"/>
      <c r="X38" s="118"/>
    </row>
    <row r="39">
      <c r="A39" s="115" t="s">
        <v>738</v>
      </c>
      <c r="B39" s="111" t="s">
        <v>1661</v>
      </c>
      <c r="C39" s="111" t="s">
        <v>1662</v>
      </c>
      <c r="D39" s="111" t="s">
        <v>2367</v>
      </c>
      <c r="E39" s="111" t="s">
        <v>56</v>
      </c>
      <c r="F39" s="113" t="s">
        <v>1233</v>
      </c>
      <c r="G39" s="113" t="s">
        <v>1233</v>
      </c>
      <c r="H39" s="113" t="s">
        <v>56</v>
      </c>
      <c r="I39" s="114" t="s">
        <v>1478</v>
      </c>
      <c r="J39" s="115" t="s">
        <v>1568</v>
      </c>
      <c r="K39" s="114" t="s">
        <v>2041</v>
      </c>
      <c r="L39" s="114"/>
      <c r="M39" s="114"/>
      <c r="N39" s="114"/>
      <c r="O39" s="121"/>
      <c r="P39" s="123"/>
      <c r="Q39" s="123"/>
      <c r="R39" s="114"/>
      <c r="S39" s="114"/>
      <c r="T39" s="114"/>
      <c r="U39" s="114"/>
      <c r="V39" s="114"/>
      <c r="W39" s="114"/>
      <c r="X39" s="118"/>
    </row>
    <row r="40">
      <c r="A40" s="115" t="s">
        <v>129</v>
      </c>
      <c r="B40" s="111" t="s">
        <v>1298</v>
      </c>
      <c r="C40" s="111" t="s">
        <v>1299</v>
      </c>
      <c r="D40" s="111" t="s">
        <v>2368</v>
      </c>
      <c r="E40" s="111" t="s">
        <v>56</v>
      </c>
      <c r="F40" s="113" t="s">
        <v>1233</v>
      </c>
      <c r="G40" s="113" t="s">
        <v>1233</v>
      </c>
      <c r="H40" s="113" t="s">
        <v>56</v>
      </c>
      <c r="I40" s="114" t="s">
        <v>1478</v>
      </c>
      <c r="J40" s="115" t="s">
        <v>1570</v>
      </c>
      <c r="K40" s="114" t="s">
        <v>2001</v>
      </c>
      <c r="L40" s="114"/>
      <c r="M40" s="114"/>
      <c r="N40" s="114"/>
      <c r="O40" s="121"/>
      <c r="P40" s="123"/>
      <c r="Q40" s="123"/>
      <c r="R40" s="114"/>
      <c r="S40" s="114"/>
      <c r="T40" s="114"/>
      <c r="U40" s="114"/>
      <c r="V40" s="114"/>
      <c r="W40" s="114"/>
      <c r="X40" s="118"/>
    </row>
    <row r="41">
      <c r="A41" s="115" t="s">
        <v>742</v>
      </c>
      <c r="B41" s="111" t="s">
        <v>1663</v>
      </c>
      <c r="C41" s="111" t="s">
        <v>1664</v>
      </c>
      <c r="D41" s="111" t="s">
        <v>2369</v>
      </c>
      <c r="E41" s="111" t="s">
        <v>56</v>
      </c>
      <c r="F41" s="113" t="s">
        <v>1233</v>
      </c>
      <c r="G41" s="113" t="s">
        <v>1233</v>
      </c>
      <c r="H41" s="113" t="s">
        <v>56</v>
      </c>
      <c r="I41" s="114" t="s">
        <v>1478</v>
      </c>
      <c r="J41" s="115" t="s">
        <v>1570</v>
      </c>
      <c r="K41" s="114" t="s">
        <v>2003</v>
      </c>
      <c r="L41" s="114"/>
      <c r="M41" s="114"/>
      <c r="N41" s="114"/>
      <c r="O41" s="121"/>
      <c r="P41" s="123"/>
      <c r="Q41" s="123"/>
      <c r="R41" s="114"/>
      <c r="S41" s="114"/>
      <c r="T41" s="114"/>
      <c r="U41" s="114"/>
      <c r="V41" s="114"/>
      <c r="W41" s="114"/>
      <c r="X41" s="118"/>
    </row>
    <row r="42">
      <c r="A42" s="115" t="s">
        <v>726</v>
      </c>
      <c r="B42" s="111" t="s">
        <v>1653</v>
      </c>
      <c r="C42" s="111" t="s">
        <v>1654</v>
      </c>
      <c r="D42" s="111" t="s">
        <v>2370</v>
      </c>
      <c r="E42" s="111" t="s">
        <v>56</v>
      </c>
      <c r="F42" s="113" t="s">
        <v>1233</v>
      </c>
      <c r="G42" s="113" t="s">
        <v>1233</v>
      </c>
      <c r="H42" s="113" t="s">
        <v>56</v>
      </c>
      <c r="I42" s="114" t="s">
        <v>1478</v>
      </c>
      <c r="J42" s="115" t="s">
        <v>1570</v>
      </c>
      <c r="K42" s="114" t="s">
        <v>2005</v>
      </c>
      <c r="L42" s="114"/>
      <c r="M42" s="114"/>
      <c r="N42" s="114"/>
      <c r="O42" s="121"/>
      <c r="P42" s="123"/>
      <c r="Q42" s="123"/>
      <c r="R42" s="114"/>
      <c r="S42" s="114"/>
      <c r="T42" s="114"/>
      <c r="U42" s="114"/>
      <c r="V42" s="114"/>
      <c r="W42" s="114"/>
      <c r="X42" s="118"/>
    </row>
    <row r="43">
      <c r="A43" s="115" t="s">
        <v>745</v>
      </c>
      <c r="B43" s="111" t="s">
        <v>1665</v>
      </c>
      <c r="C43" s="111" t="s">
        <v>1666</v>
      </c>
      <c r="D43" s="111" t="s">
        <v>2371</v>
      </c>
      <c r="E43" s="111" t="s">
        <v>56</v>
      </c>
      <c r="F43" s="113" t="s">
        <v>1233</v>
      </c>
      <c r="G43" s="113" t="s">
        <v>1233</v>
      </c>
      <c r="H43" s="113" t="s">
        <v>56</v>
      </c>
      <c r="I43" s="114" t="s">
        <v>1478</v>
      </c>
      <c r="J43" s="115" t="s">
        <v>1570</v>
      </c>
      <c r="K43" s="114" t="s">
        <v>2007</v>
      </c>
      <c r="L43" s="114"/>
      <c r="M43" s="114"/>
      <c r="N43" s="114"/>
      <c r="O43" s="121"/>
      <c r="P43" s="123"/>
      <c r="Q43" s="123"/>
      <c r="R43" s="114"/>
      <c r="S43" s="114"/>
      <c r="T43" s="114"/>
      <c r="U43" s="114"/>
      <c r="V43" s="114"/>
      <c r="W43" s="114"/>
      <c r="X43" s="118"/>
    </row>
    <row r="44">
      <c r="A44" s="115" t="s">
        <v>80</v>
      </c>
      <c r="B44" s="111" t="s">
        <v>1256</v>
      </c>
      <c r="C44" s="111" t="s">
        <v>1257</v>
      </c>
      <c r="D44" s="111" t="s">
        <v>2372</v>
      </c>
      <c r="E44" s="111" t="s">
        <v>56</v>
      </c>
      <c r="F44" s="113" t="s">
        <v>1233</v>
      </c>
      <c r="G44" s="113" t="s">
        <v>1233</v>
      </c>
      <c r="H44" s="113" t="s">
        <v>56</v>
      </c>
      <c r="I44" s="114" t="s">
        <v>1478</v>
      </c>
      <c r="J44" s="115" t="s">
        <v>1570</v>
      </c>
      <c r="K44" s="114" t="s">
        <v>2009</v>
      </c>
      <c r="L44" s="114"/>
      <c r="M44" s="114"/>
      <c r="N44" s="114"/>
      <c r="O44" s="121"/>
      <c r="P44" s="123"/>
      <c r="Q44" s="123"/>
      <c r="R44" s="114"/>
      <c r="S44" s="114"/>
      <c r="T44" s="114"/>
      <c r="U44" s="114"/>
      <c r="V44" s="114"/>
      <c r="W44" s="114"/>
      <c r="X44" s="118"/>
    </row>
    <row r="45">
      <c r="A45" s="115" t="s">
        <v>726</v>
      </c>
      <c r="B45" s="111" t="s">
        <v>1653</v>
      </c>
      <c r="C45" s="111" t="s">
        <v>1654</v>
      </c>
      <c r="D45" s="111" t="s">
        <v>2373</v>
      </c>
      <c r="E45" s="111" t="s">
        <v>56</v>
      </c>
      <c r="F45" s="113" t="s">
        <v>1233</v>
      </c>
      <c r="G45" s="113" t="s">
        <v>1233</v>
      </c>
      <c r="H45" s="113" t="s">
        <v>56</v>
      </c>
      <c r="I45" s="114" t="s">
        <v>1478</v>
      </c>
      <c r="J45" s="115" t="s">
        <v>1572</v>
      </c>
      <c r="K45" s="114" t="s">
        <v>2001</v>
      </c>
      <c r="L45" s="114"/>
      <c r="M45" s="114"/>
      <c r="N45" s="114"/>
      <c r="O45" s="121"/>
      <c r="P45" s="123"/>
      <c r="Q45" s="123"/>
      <c r="R45" s="114"/>
      <c r="S45" s="114"/>
      <c r="T45" s="114"/>
      <c r="U45" s="114"/>
      <c r="V45" s="114"/>
      <c r="W45" s="114"/>
      <c r="X45" s="118"/>
    </row>
    <row r="46">
      <c r="A46" s="115" t="s">
        <v>717</v>
      </c>
      <c r="B46" s="111" t="s">
        <v>1645</v>
      </c>
      <c r="C46" s="111" t="s">
        <v>1646</v>
      </c>
      <c r="D46" s="111" t="s">
        <v>2374</v>
      </c>
      <c r="E46" s="111" t="s">
        <v>56</v>
      </c>
      <c r="F46" s="113" t="s">
        <v>1233</v>
      </c>
      <c r="G46" s="113" t="s">
        <v>1233</v>
      </c>
      <c r="H46" s="113" t="s">
        <v>56</v>
      </c>
      <c r="I46" s="114" t="s">
        <v>1478</v>
      </c>
      <c r="J46" s="115" t="s">
        <v>1572</v>
      </c>
      <c r="K46" s="114" t="s">
        <v>2003</v>
      </c>
      <c r="L46" s="114"/>
      <c r="M46" s="114"/>
      <c r="N46" s="114"/>
      <c r="O46" s="121"/>
      <c r="P46" s="123"/>
      <c r="Q46" s="123"/>
      <c r="R46" s="114"/>
      <c r="S46" s="114"/>
      <c r="T46" s="114"/>
      <c r="U46" s="114"/>
      <c r="V46" s="114"/>
      <c r="W46" s="114"/>
      <c r="X46" s="118"/>
    </row>
    <row r="47">
      <c r="A47" s="115" t="s">
        <v>717</v>
      </c>
      <c r="B47" s="111" t="s">
        <v>1645</v>
      </c>
      <c r="C47" s="111" t="s">
        <v>1646</v>
      </c>
      <c r="D47" s="111" t="s">
        <v>2375</v>
      </c>
      <c r="E47" s="111" t="s">
        <v>56</v>
      </c>
      <c r="F47" s="113" t="s">
        <v>1233</v>
      </c>
      <c r="G47" s="113" t="s">
        <v>1233</v>
      </c>
      <c r="H47" s="113" t="s">
        <v>56</v>
      </c>
      <c r="I47" s="114" t="s">
        <v>1478</v>
      </c>
      <c r="J47" s="115" t="s">
        <v>1574</v>
      </c>
      <c r="K47" s="114" t="s">
        <v>2001</v>
      </c>
      <c r="L47" s="114"/>
      <c r="M47" s="114"/>
      <c r="N47" s="114"/>
      <c r="O47" s="121"/>
      <c r="P47" s="123"/>
      <c r="Q47" s="123"/>
      <c r="R47" s="114"/>
      <c r="S47" s="114"/>
      <c r="T47" s="114"/>
      <c r="U47" s="114"/>
      <c r="V47" s="114"/>
      <c r="W47" s="114"/>
      <c r="X47" s="118"/>
    </row>
    <row r="48">
      <c r="A48" s="115" t="s">
        <v>220</v>
      </c>
      <c r="B48" s="111" t="s">
        <v>1369</v>
      </c>
      <c r="C48" s="111" t="s">
        <v>1370</v>
      </c>
      <c r="D48" s="111" t="s">
        <v>2376</v>
      </c>
      <c r="E48" s="111" t="s">
        <v>56</v>
      </c>
      <c r="F48" s="113" t="s">
        <v>1233</v>
      </c>
      <c r="G48" s="113" t="s">
        <v>1233</v>
      </c>
      <c r="H48" s="113" t="s">
        <v>56</v>
      </c>
      <c r="I48" s="114" t="s">
        <v>1478</v>
      </c>
      <c r="J48" s="115" t="s">
        <v>1574</v>
      </c>
      <c r="K48" s="114" t="s">
        <v>2003</v>
      </c>
      <c r="L48" s="114"/>
      <c r="M48" s="114"/>
      <c r="N48" s="114"/>
      <c r="O48" s="121"/>
      <c r="P48" s="123"/>
      <c r="Q48" s="123"/>
      <c r="R48" s="114"/>
      <c r="S48" s="114"/>
      <c r="T48" s="114"/>
      <c r="U48" s="114"/>
      <c r="V48" s="114"/>
      <c r="W48" s="114"/>
      <c r="X48" s="118"/>
    </row>
    <row r="49">
      <c r="A49" s="115" t="s">
        <v>751</v>
      </c>
      <c r="B49" s="111" t="s">
        <v>1667</v>
      </c>
      <c r="C49" s="111" t="s">
        <v>1668</v>
      </c>
      <c r="D49" s="111" t="s">
        <v>2377</v>
      </c>
      <c r="E49" s="111" t="s">
        <v>56</v>
      </c>
      <c r="F49" s="113" t="s">
        <v>1233</v>
      </c>
      <c r="G49" s="113" t="s">
        <v>1233</v>
      </c>
      <c r="H49" s="113" t="s">
        <v>56</v>
      </c>
      <c r="I49" s="114" t="s">
        <v>1478</v>
      </c>
      <c r="J49" s="115" t="s">
        <v>1576</v>
      </c>
      <c r="K49" s="114" t="s">
        <v>2001</v>
      </c>
      <c r="L49" s="114"/>
      <c r="M49" s="114"/>
      <c r="N49" s="114"/>
      <c r="O49" s="121"/>
      <c r="P49" s="123"/>
      <c r="Q49" s="123"/>
      <c r="R49" s="114"/>
      <c r="S49" s="114"/>
      <c r="T49" s="114"/>
      <c r="U49" s="114"/>
      <c r="V49" s="114"/>
      <c r="W49" s="114"/>
      <c r="X49" s="118"/>
    </row>
    <row r="50">
      <c r="A50" s="115" t="s">
        <v>731</v>
      </c>
      <c r="B50" s="111" t="s">
        <v>1657</v>
      </c>
      <c r="C50" s="111" t="s">
        <v>1658</v>
      </c>
      <c r="D50" s="111" t="s">
        <v>2378</v>
      </c>
      <c r="E50" s="111" t="s">
        <v>56</v>
      </c>
      <c r="F50" s="113" t="s">
        <v>1233</v>
      </c>
      <c r="G50" s="113" t="s">
        <v>1233</v>
      </c>
      <c r="H50" s="113" t="s">
        <v>56</v>
      </c>
      <c r="I50" s="114" t="s">
        <v>1478</v>
      </c>
      <c r="J50" s="115" t="s">
        <v>1576</v>
      </c>
      <c r="K50" s="114" t="s">
        <v>2003</v>
      </c>
      <c r="L50" s="114"/>
      <c r="M50" s="114"/>
      <c r="N50" s="114"/>
      <c r="O50" s="121"/>
      <c r="P50" s="123"/>
      <c r="Q50" s="123"/>
      <c r="R50" s="114"/>
      <c r="S50" s="114"/>
      <c r="T50" s="114"/>
      <c r="U50" s="114"/>
      <c r="V50" s="114"/>
      <c r="W50" s="114"/>
      <c r="X50" s="118"/>
    </row>
    <row r="51">
      <c r="A51" s="115" t="s">
        <v>731</v>
      </c>
      <c r="B51" s="111" t="s">
        <v>1657</v>
      </c>
      <c r="C51" s="111" t="s">
        <v>1658</v>
      </c>
      <c r="D51" s="111" t="s">
        <v>2379</v>
      </c>
      <c r="E51" s="111" t="s">
        <v>56</v>
      </c>
      <c r="F51" s="113" t="s">
        <v>1233</v>
      </c>
      <c r="G51" s="113" t="s">
        <v>1233</v>
      </c>
      <c r="H51" s="113" t="s">
        <v>56</v>
      </c>
      <c r="I51" s="114" t="s">
        <v>1478</v>
      </c>
      <c r="J51" s="115" t="s">
        <v>1578</v>
      </c>
      <c r="K51" s="114" t="s">
        <v>2001</v>
      </c>
      <c r="L51" s="114"/>
      <c r="M51" s="114"/>
      <c r="N51" s="114"/>
      <c r="O51" s="121"/>
      <c r="P51" s="123"/>
      <c r="Q51" s="123"/>
      <c r="R51" s="114"/>
      <c r="S51" s="114"/>
      <c r="T51" s="114"/>
      <c r="U51" s="114"/>
      <c r="V51" s="114"/>
      <c r="W51" s="114"/>
      <c r="X51" s="118"/>
    </row>
    <row r="52">
      <c r="A52" s="115" t="s">
        <v>756</v>
      </c>
      <c r="B52" s="111" t="s">
        <v>1669</v>
      </c>
      <c r="C52" s="111" t="s">
        <v>1670</v>
      </c>
      <c r="D52" s="111" t="s">
        <v>2380</v>
      </c>
      <c r="E52" s="111" t="s">
        <v>56</v>
      </c>
      <c r="F52" s="113" t="s">
        <v>1233</v>
      </c>
      <c r="G52" s="113" t="s">
        <v>1233</v>
      </c>
      <c r="H52" s="113" t="s">
        <v>56</v>
      </c>
      <c r="I52" s="114" t="s">
        <v>1478</v>
      </c>
      <c r="J52" s="115" t="s">
        <v>1580</v>
      </c>
      <c r="K52" s="114" t="s">
        <v>2001</v>
      </c>
      <c r="L52" s="114"/>
      <c r="M52" s="114"/>
      <c r="N52" s="114"/>
      <c r="O52" s="121"/>
      <c r="P52" s="123"/>
      <c r="Q52" s="123"/>
      <c r="R52" s="114"/>
      <c r="S52" s="114"/>
      <c r="T52" s="114"/>
      <c r="U52" s="114"/>
      <c r="V52" s="114"/>
      <c r="W52" s="114"/>
      <c r="X52" s="118"/>
    </row>
    <row r="53">
      <c r="A53" s="115" t="s">
        <v>758</v>
      </c>
      <c r="B53" s="111" t="s">
        <v>1671</v>
      </c>
      <c r="C53" s="111" t="s">
        <v>1672</v>
      </c>
      <c r="D53" s="111" t="s">
        <v>2381</v>
      </c>
      <c r="E53" s="111" t="s">
        <v>56</v>
      </c>
      <c r="F53" s="113" t="s">
        <v>1233</v>
      </c>
      <c r="G53" s="113" t="s">
        <v>1233</v>
      </c>
      <c r="H53" s="113" t="s">
        <v>56</v>
      </c>
      <c r="I53" s="114" t="s">
        <v>1478</v>
      </c>
      <c r="J53" s="115" t="s">
        <v>1580</v>
      </c>
      <c r="K53" s="114" t="s">
        <v>2003</v>
      </c>
      <c r="L53" s="114"/>
      <c r="M53" s="114"/>
      <c r="N53" s="114"/>
      <c r="O53" s="121"/>
      <c r="P53" s="123"/>
      <c r="Q53" s="123"/>
      <c r="R53" s="114"/>
      <c r="S53" s="114"/>
      <c r="T53" s="114"/>
      <c r="U53" s="114"/>
      <c r="V53" s="114"/>
      <c r="W53" s="114"/>
      <c r="X53" s="118"/>
    </row>
    <row r="54">
      <c r="A54" s="115" t="s">
        <v>486</v>
      </c>
      <c r="B54" s="111" t="s">
        <v>1509</v>
      </c>
      <c r="C54" s="111" t="s">
        <v>1510</v>
      </c>
      <c r="D54" s="111" t="s">
        <v>2382</v>
      </c>
      <c r="E54" s="111" t="s">
        <v>56</v>
      </c>
      <c r="F54" s="113" t="s">
        <v>1233</v>
      </c>
      <c r="G54" s="113" t="s">
        <v>1233</v>
      </c>
      <c r="H54" s="113" t="s">
        <v>56</v>
      </c>
      <c r="I54" s="114" t="s">
        <v>1478</v>
      </c>
      <c r="J54" s="115" t="s">
        <v>1580</v>
      </c>
      <c r="K54" s="114" t="s">
        <v>2005</v>
      </c>
      <c r="L54" s="114"/>
      <c r="M54" s="114"/>
      <c r="N54" s="114"/>
      <c r="O54" s="121"/>
      <c r="P54" s="123"/>
      <c r="Q54" s="123"/>
      <c r="R54" s="114"/>
      <c r="S54" s="114"/>
      <c r="T54" s="114"/>
      <c r="U54" s="114"/>
      <c r="V54" s="114"/>
      <c r="W54" s="114"/>
      <c r="X54" s="118"/>
    </row>
    <row r="55">
      <c r="A55" s="115" t="s">
        <v>486</v>
      </c>
      <c r="B55" s="111" t="s">
        <v>1509</v>
      </c>
      <c r="C55" s="111" t="s">
        <v>1510</v>
      </c>
      <c r="D55" s="111" t="s">
        <v>2383</v>
      </c>
      <c r="E55" s="111" t="s">
        <v>56</v>
      </c>
      <c r="F55" s="113" t="s">
        <v>1233</v>
      </c>
      <c r="G55" s="113" t="s">
        <v>1233</v>
      </c>
      <c r="H55" s="113" t="s">
        <v>56</v>
      </c>
      <c r="I55" s="114" t="s">
        <v>1478</v>
      </c>
      <c r="J55" s="115" t="s">
        <v>1582</v>
      </c>
      <c r="K55" s="114" t="s">
        <v>2001</v>
      </c>
      <c r="L55" s="114"/>
      <c r="M55" s="114"/>
      <c r="N55" s="114"/>
      <c r="O55" s="121"/>
      <c r="P55" s="123"/>
      <c r="Q55" s="123"/>
      <c r="R55" s="114"/>
      <c r="S55" s="114"/>
      <c r="T55" s="114"/>
      <c r="U55" s="114"/>
      <c r="V55" s="114"/>
      <c r="W55" s="114"/>
      <c r="X55" s="118"/>
    </row>
    <row r="56">
      <c r="A56" s="115" t="s">
        <v>763</v>
      </c>
      <c r="B56" s="111" t="s">
        <v>1673</v>
      </c>
      <c r="C56" s="111" t="s">
        <v>1674</v>
      </c>
      <c r="D56" s="111" t="s">
        <v>2384</v>
      </c>
      <c r="E56" s="111" t="s">
        <v>56</v>
      </c>
      <c r="F56" s="113" t="s">
        <v>1233</v>
      </c>
      <c r="G56" s="113" t="s">
        <v>1233</v>
      </c>
      <c r="H56" s="113" t="s">
        <v>56</v>
      </c>
      <c r="I56" s="114" t="s">
        <v>1478</v>
      </c>
      <c r="J56" s="115" t="s">
        <v>1584</v>
      </c>
      <c r="K56" s="114" t="s">
        <v>2001</v>
      </c>
      <c r="L56" s="114"/>
      <c r="M56" s="114"/>
      <c r="N56" s="114"/>
      <c r="O56" s="121"/>
      <c r="P56" s="123"/>
      <c r="Q56" s="123"/>
      <c r="R56" s="114"/>
      <c r="S56" s="114"/>
      <c r="T56" s="114"/>
      <c r="U56" s="114"/>
      <c r="V56" s="114"/>
      <c r="W56" s="114"/>
      <c r="X56" s="118"/>
    </row>
    <row r="57">
      <c r="A57" s="115" t="s">
        <v>766</v>
      </c>
      <c r="B57" s="111" t="s">
        <v>1675</v>
      </c>
      <c r="C57" s="111" t="s">
        <v>1676</v>
      </c>
      <c r="D57" s="111" t="s">
        <v>2385</v>
      </c>
      <c r="E57" s="111" t="s">
        <v>56</v>
      </c>
      <c r="F57" s="113" t="s">
        <v>1233</v>
      </c>
      <c r="G57" s="113" t="s">
        <v>1233</v>
      </c>
      <c r="H57" s="113" t="s">
        <v>56</v>
      </c>
      <c r="I57" s="114" t="s">
        <v>1478</v>
      </c>
      <c r="J57" s="115" t="s">
        <v>1586</v>
      </c>
      <c r="K57" s="114" t="s">
        <v>2001</v>
      </c>
      <c r="L57" s="114"/>
      <c r="M57" s="114"/>
      <c r="N57" s="114"/>
      <c r="O57" s="121"/>
      <c r="P57" s="123"/>
      <c r="Q57" s="123"/>
      <c r="R57" s="114"/>
      <c r="S57" s="114"/>
      <c r="T57" s="114"/>
      <c r="U57" s="114"/>
      <c r="V57" s="114"/>
      <c r="W57" s="114"/>
      <c r="X57" s="118"/>
    </row>
    <row r="58">
      <c r="A58" s="115" t="s">
        <v>756</v>
      </c>
      <c r="B58" s="111" t="s">
        <v>1669</v>
      </c>
      <c r="C58" s="111" t="s">
        <v>1670</v>
      </c>
      <c r="D58" s="111" t="s">
        <v>2386</v>
      </c>
      <c r="E58" s="111" t="s">
        <v>56</v>
      </c>
      <c r="F58" s="113" t="s">
        <v>1233</v>
      </c>
      <c r="G58" s="113" t="s">
        <v>1233</v>
      </c>
      <c r="H58" s="113" t="s">
        <v>56</v>
      </c>
      <c r="I58" s="114" t="s">
        <v>1478</v>
      </c>
      <c r="J58" s="115" t="s">
        <v>1586</v>
      </c>
      <c r="K58" s="114" t="s">
        <v>2003</v>
      </c>
      <c r="L58" s="114"/>
      <c r="M58" s="114"/>
      <c r="N58" s="114"/>
      <c r="O58" s="121"/>
      <c r="P58" s="123"/>
      <c r="Q58" s="123"/>
      <c r="R58" s="114"/>
      <c r="S58" s="114"/>
      <c r="T58" s="114"/>
      <c r="U58" s="114"/>
      <c r="V58" s="114"/>
      <c r="W58" s="114"/>
      <c r="X58" s="118"/>
    </row>
    <row r="59">
      <c r="A59" s="115" t="s">
        <v>769</v>
      </c>
      <c r="B59" s="111" t="s">
        <v>1677</v>
      </c>
      <c r="C59" s="111" t="s">
        <v>1678</v>
      </c>
      <c r="D59" s="111" t="s">
        <v>2387</v>
      </c>
      <c r="E59" s="111" t="s">
        <v>56</v>
      </c>
      <c r="F59" s="113" t="s">
        <v>1233</v>
      </c>
      <c r="G59" s="113" t="s">
        <v>1233</v>
      </c>
      <c r="H59" s="113" t="s">
        <v>56</v>
      </c>
      <c r="I59" s="114" t="s">
        <v>1478</v>
      </c>
      <c r="J59" s="115" t="s">
        <v>1588</v>
      </c>
      <c r="K59" s="114" t="s">
        <v>2001</v>
      </c>
      <c r="L59" s="114"/>
      <c r="M59" s="114"/>
      <c r="N59" s="114"/>
      <c r="O59" s="121"/>
      <c r="P59" s="123"/>
      <c r="Q59" s="123"/>
      <c r="R59" s="114"/>
      <c r="S59" s="114"/>
      <c r="T59" s="114"/>
      <c r="U59" s="114"/>
      <c r="V59" s="114"/>
      <c r="W59" s="114"/>
      <c r="X59" s="118"/>
    </row>
    <row r="60">
      <c r="A60" s="115" t="s">
        <v>766</v>
      </c>
      <c r="B60" s="111" t="s">
        <v>1675</v>
      </c>
      <c r="C60" s="111" t="s">
        <v>1676</v>
      </c>
      <c r="D60" s="111" t="s">
        <v>2388</v>
      </c>
      <c r="E60" s="111" t="s">
        <v>56</v>
      </c>
      <c r="F60" s="113" t="s">
        <v>1233</v>
      </c>
      <c r="G60" s="113" t="s">
        <v>1233</v>
      </c>
      <c r="H60" s="113" t="s">
        <v>56</v>
      </c>
      <c r="I60" s="114" t="s">
        <v>1478</v>
      </c>
      <c r="J60" s="115" t="s">
        <v>1588</v>
      </c>
      <c r="K60" s="114" t="s">
        <v>2003</v>
      </c>
      <c r="L60" s="114"/>
      <c r="M60" s="114"/>
      <c r="N60" s="114"/>
      <c r="O60" s="121"/>
      <c r="P60" s="123"/>
      <c r="Q60" s="123"/>
      <c r="R60" s="114"/>
      <c r="S60" s="114"/>
      <c r="T60" s="114"/>
      <c r="U60" s="114"/>
      <c r="V60" s="114"/>
      <c r="W60" s="114"/>
      <c r="X60" s="118"/>
    </row>
    <row r="61">
      <c r="A61" s="115" t="s">
        <v>526</v>
      </c>
      <c r="B61" s="111" t="s">
        <v>1539</v>
      </c>
      <c r="C61" s="111" t="s">
        <v>1540</v>
      </c>
      <c r="D61" s="111" t="s">
        <v>2389</v>
      </c>
      <c r="E61" s="111" t="s">
        <v>56</v>
      </c>
      <c r="F61" s="113" t="s">
        <v>1233</v>
      </c>
      <c r="G61" s="113" t="s">
        <v>1233</v>
      </c>
      <c r="H61" s="113" t="s">
        <v>56</v>
      </c>
      <c r="I61" s="114" t="s">
        <v>1478</v>
      </c>
      <c r="J61" s="115" t="s">
        <v>1588</v>
      </c>
      <c r="K61" s="114" t="s">
        <v>2005</v>
      </c>
      <c r="L61" s="114"/>
      <c r="M61" s="114"/>
      <c r="N61" s="114"/>
      <c r="O61" s="121"/>
      <c r="P61" s="123"/>
      <c r="Q61" s="123"/>
      <c r="R61" s="114"/>
      <c r="S61" s="114"/>
      <c r="T61" s="114"/>
      <c r="U61" s="114"/>
      <c r="V61" s="114"/>
      <c r="W61" s="114"/>
      <c r="X61" s="118"/>
    </row>
    <row r="62">
      <c r="A62" s="115" t="s">
        <v>773</v>
      </c>
      <c r="B62" s="111" t="s">
        <v>1679</v>
      </c>
      <c r="C62" s="111" t="s">
        <v>1680</v>
      </c>
      <c r="D62" s="111" t="s">
        <v>2390</v>
      </c>
      <c r="E62" s="111" t="s">
        <v>56</v>
      </c>
      <c r="F62" s="113" t="s">
        <v>1233</v>
      </c>
      <c r="G62" s="113" t="s">
        <v>1233</v>
      </c>
      <c r="H62" s="113" t="s">
        <v>56</v>
      </c>
      <c r="I62" s="114" t="s">
        <v>1478</v>
      </c>
      <c r="J62" s="115" t="s">
        <v>1588</v>
      </c>
      <c r="K62" s="114" t="s">
        <v>2007</v>
      </c>
      <c r="L62" s="114"/>
      <c r="M62" s="114"/>
      <c r="N62" s="114"/>
      <c r="O62" s="121"/>
      <c r="P62" s="123"/>
      <c r="Q62" s="123"/>
      <c r="R62" s="114"/>
      <c r="S62" s="114"/>
      <c r="T62" s="114"/>
      <c r="U62" s="114"/>
      <c r="V62" s="114"/>
      <c r="W62" s="114"/>
      <c r="X62" s="118"/>
    </row>
    <row r="63">
      <c r="A63" s="115" t="s">
        <v>421</v>
      </c>
      <c r="B63" s="111" t="s">
        <v>1464</v>
      </c>
      <c r="C63" s="111" t="s">
        <v>1465</v>
      </c>
      <c r="D63" s="111" t="s">
        <v>2391</v>
      </c>
      <c r="E63" s="111" t="s">
        <v>56</v>
      </c>
      <c r="F63" s="113" t="s">
        <v>1233</v>
      </c>
      <c r="G63" s="113" t="s">
        <v>1233</v>
      </c>
      <c r="H63" s="113" t="s">
        <v>56</v>
      </c>
      <c r="I63" s="114" t="s">
        <v>1478</v>
      </c>
      <c r="J63" s="115" t="s">
        <v>1588</v>
      </c>
      <c r="K63" s="114" t="s">
        <v>2009</v>
      </c>
      <c r="L63" s="114"/>
      <c r="M63" s="114"/>
      <c r="N63" s="114"/>
      <c r="O63" s="121"/>
      <c r="P63" s="123"/>
      <c r="Q63" s="123"/>
      <c r="R63" s="114"/>
      <c r="S63" s="114"/>
      <c r="T63" s="114"/>
      <c r="U63" s="114"/>
      <c r="V63" s="114"/>
      <c r="W63" s="114"/>
      <c r="X63" s="118"/>
    </row>
    <row r="64">
      <c r="A64" s="115" t="s">
        <v>777</v>
      </c>
      <c r="B64" s="111" t="s">
        <v>1681</v>
      </c>
      <c r="C64" s="111" t="s">
        <v>1682</v>
      </c>
      <c r="D64" s="111" t="s">
        <v>2392</v>
      </c>
      <c r="E64" s="111" t="s">
        <v>56</v>
      </c>
      <c r="F64" s="113" t="s">
        <v>1233</v>
      </c>
      <c r="G64" s="113" t="s">
        <v>1233</v>
      </c>
      <c r="H64" s="113" t="s">
        <v>56</v>
      </c>
      <c r="I64" s="114" t="s">
        <v>1478</v>
      </c>
      <c r="J64" s="115" t="s">
        <v>1590</v>
      </c>
      <c r="K64" s="114" t="s">
        <v>2001</v>
      </c>
      <c r="L64" s="114"/>
      <c r="M64" s="114"/>
      <c r="N64" s="114"/>
      <c r="O64" s="121"/>
      <c r="P64" s="123"/>
      <c r="Q64" s="123"/>
      <c r="R64" s="114"/>
      <c r="S64" s="114"/>
      <c r="T64" s="114"/>
      <c r="U64" s="114"/>
      <c r="V64" s="114"/>
      <c r="W64" s="114"/>
      <c r="X64" s="118"/>
    </row>
    <row r="65">
      <c r="A65" s="115" t="s">
        <v>763</v>
      </c>
      <c r="B65" s="111" t="s">
        <v>1673</v>
      </c>
      <c r="C65" s="111" t="s">
        <v>1674</v>
      </c>
      <c r="D65" s="111" t="s">
        <v>2393</v>
      </c>
      <c r="E65" s="111" t="s">
        <v>56</v>
      </c>
      <c r="F65" s="113" t="s">
        <v>1233</v>
      </c>
      <c r="G65" s="113" t="s">
        <v>1233</v>
      </c>
      <c r="H65" s="113" t="s">
        <v>56</v>
      </c>
      <c r="I65" s="114" t="s">
        <v>1478</v>
      </c>
      <c r="J65" s="115" t="s">
        <v>1590</v>
      </c>
      <c r="K65" s="114" t="s">
        <v>2003</v>
      </c>
      <c r="L65" s="114"/>
      <c r="M65" s="114"/>
      <c r="N65" s="114"/>
      <c r="O65" s="121"/>
      <c r="P65" s="123"/>
      <c r="Q65" s="123"/>
      <c r="R65" s="114"/>
      <c r="S65" s="114"/>
      <c r="T65" s="114"/>
      <c r="U65" s="114"/>
      <c r="V65" s="114"/>
      <c r="W65" s="114"/>
      <c r="X65" s="118"/>
    </row>
    <row r="66">
      <c r="A66" s="115" t="s">
        <v>533</v>
      </c>
      <c r="B66" s="111" t="s">
        <v>1545</v>
      </c>
      <c r="C66" s="111" t="s">
        <v>1546</v>
      </c>
      <c r="D66" s="111" t="s">
        <v>2394</v>
      </c>
      <c r="E66" s="111" t="s">
        <v>56</v>
      </c>
      <c r="F66" s="113" t="s">
        <v>1233</v>
      </c>
      <c r="G66" s="113" t="s">
        <v>1233</v>
      </c>
      <c r="H66" s="113" t="s">
        <v>56</v>
      </c>
      <c r="I66" s="114" t="s">
        <v>1478</v>
      </c>
      <c r="J66" s="115" t="s">
        <v>1590</v>
      </c>
      <c r="K66" s="114" t="s">
        <v>2005</v>
      </c>
      <c r="L66" s="114"/>
      <c r="M66" s="114"/>
      <c r="N66" s="114"/>
      <c r="O66" s="121"/>
      <c r="P66" s="123"/>
      <c r="Q66" s="123"/>
      <c r="R66" s="114"/>
      <c r="S66" s="114"/>
      <c r="T66" s="114"/>
      <c r="U66" s="114"/>
      <c r="V66" s="114"/>
      <c r="W66" s="114"/>
      <c r="X66" s="118"/>
    </row>
    <row r="67">
      <c r="A67" s="115" t="s">
        <v>756</v>
      </c>
      <c r="B67" s="111" t="s">
        <v>1669</v>
      </c>
      <c r="C67" s="111" t="s">
        <v>1670</v>
      </c>
      <c r="D67" s="111" t="s">
        <v>2395</v>
      </c>
      <c r="E67" s="111" t="s">
        <v>56</v>
      </c>
      <c r="F67" s="113" t="s">
        <v>1233</v>
      </c>
      <c r="G67" s="113" t="s">
        <v>1233</v>
      </c>
      <c r="H67" s="113" t="s">
        <v>56</v>
      </c>
      <c r="I67" s="114" t="s">
        <v>1478</v>
      </c>
      <c r="J67" s="115" t="s">
        <v>1590</v>
      </c>
      <c r="K67" s="114" t="s">
        <v>2007</v>
      </c>
      <c r="L67" s="114"/>
      <c r="M67" s="114"/>
      <c r="N67" s="114"/>
      <c r="O67" s="121"/>
      <c r="P67" s="123"/>
      <c r="Q67" s="123"/>
      <c r="R67" s="114"/>
      <c r="S67" s="114"/>
      <c r="T67" s="114"/>
      <c r="U67" s="114"/>
      <c r="V67" s="114"/>
      <c r="W67" s="114"/>
      <c r="X67" s="118"/>
    </row>
    <row r="68">
      <c r="A68" s="115" t="s">
        <v>782</v>
      </c>
      <c r="B68" s="111" t="s">
        <v>1683</v>
      </c>
      <c r="C68" s="111" t="s">
        <v>1684</v>
      </c>
      <c r="D68" s="111" t="s">
        <v>2396</v>
      </c>
      <c r="E68" s="111" t="s">
        <v>56</v>
      </c>
      <c r="F68" s="113" t="s">
        <v>1233</v>
      </c>
      <c r="G68" s="113" t="s">
        <v>1233</v>
      </c>
      <c r="H68" s="113" t="s">
        <v>56</v>
      </c>
      <c r="I68" s="114" t="s">
        <v>1478</v>
      </c>
      <c r="J68" s="115" t="s">
        <v>1590</v>
      </c>
      <c r="K68" s="114" t="s">
        <v>2009</v>
      </c>
      <c r="L68" s="114"/>
      <c r="M68" s="114"/>
      <c r="N68" s="114"/>
      <c r="O68" s="121"/>
      <c r="P68" s="123"/>
      <c r="Q68" s="123"/>
      <c r="R68" s="114"/>
      <c r="S68" s="114"/>
      <c r="T68" s="114"/>
      <c r="U68" s="114"/>
      <c r="V68" s="114"/>
      <c r="W68" s="114"/>
      <c r="X68" s="118"/>
    </row>
    <row r="69">
      <c r="A69" s="115" t="s">
        <v>784</v>
      </c>
      <c r="B69" s="111" t="s">
        <v>1685</v>
      </c>
      <c r="C69" s="111" t="s">
        <v>1686</v>
      </c>
      <c r="D69" s="111" t="s">
        <v>2397</v>
      </c>
      <c r="E69" s="111" t="s">
        <v>56</v>
      </c>
      <c r="F69" s="113" t="s">
        <v>1233</v>
      </c>
      <c r="G69" s="113" t="s">
        <v>1233</v>
      </c>
      <c r="H69" s="113" t="s">
        <v>56</v>
      </c>
      <c r="I69" s="114" t="s">
        <v>1478</v>
      </c>
      <c r="J69" s="115" t="s">
        <v>1590</v>
      </c>
      <c r="K69" s="114" t="s">
        <v>2041</v>
      </c>
      <c r="L69" s="114"/>
      <c r="M69" s="114"/>
      <c r="N69" s="114"/>
      <c r="O69" s="121"/>
      <c r="P69" s="123"/>
      <c r="Q69" s="123"/>
      <c r="R69" s="114"/>
      <c r="S69" s="114"/>
      <c r="T69" s="114"/>
      <c r="U69" s="114"/>
      <c r="V69" s="114"/>
      <c r="W69" s="114"/>
      <c r="X69" s="118"/>
    </row>
    <row r="70">
      <c r="A70" s="115" t="s">
        <v>786</v>
      </c>
      <c r="B70" s="111" t="s">
        <v>1687</v>
      </c>
      <c r="C70" s="111" t="s">
        <v>1688</v>
      </c>
      <c r="D70" s="111" t="s">
        <v>2398</v>
      </c>
      <c r="E70" s="111" t="s">
        <v>56</v>
      </c>
      <c r="F70" s="113" t="s">
        <v>1233</v>
      </c>
      <c r="G70" s="113" t="s">
        <v>1233</v>
      </c>
      <c r="H70" s="113" t="s">
        <v>56</v>
      </c>
      <c r="I70" s="114" t="s">
        <v>1478</v>
      </c>
      <c r="J70" s="115" t="s">
        <v>1590</v>
      </c>
      <c r="K70" s="114" t="s">
        <v>2043</v>
      </c>
      <c r="L70" s="114"/>
      <c r="M70" s="114"/>
      <c r="N70" s="114"/>
      <c r="O70" s="121"/>
      <c r="P70" s="123"/>
      <c r="Q70" s="123"/>
      <c r="R70" s="114"/>
      <c r="S70" s="114"/>
      <c r="T70" s="114"/>
      <c r="U70" s="114"/>
      <c r="V70" s="114"/>
      <c r="W70" s="114"/>
      <c r="X70" s="118"/>
    </row>
    <row r="71">
      <c r="A71" s="115" t="s">
        <v>524</v>
      </c>
      <c r="B71" s="111" t="s">
        <v>1537</v>
      </c>
      <c r="C71" s="111" t="s">
        <v>1538</v>
      </c>
      <c r="D71" s="111" t="s">
        <v>2399</v>
      </c>
      <c r="E71" s="111" t="s">
        <v>56</v>
      </c>
      <c r="F71" s="113" t="s">
        <v>1233</v>
      </c>
      <c r="G71" s="113" t="s">
        <v>1233</v>
      </c>
      <c r="H71" s="113" t="s">
        <v>56</v>
      </c>
      <c r="I71" s="114" t="s">
        <v>1478</v>
      </c>
      <c r="J71" s="115" t="s">
        <v>1592</v>
      </c>
      <c r="K71" s="114" t="s">
        <v>2001</v>
      </c>
      <c r="L71" s="114"/>
      <c r="M71" s="114"/>
      <c r="N71" s="114"/>
      <c r="O71" s="121"/>
      <c r="P71" s="123"/>
      <c r="Q71" s="123"/>
      <c r="R71" s="114"/>
      <c r="S71" s="114"/>
      <c r="T71" s="114"/>
      <c r="U71" s="114"/>
      <c r="V71" s="114"/>
      <c r="W71" s="114"/>
      <c r="X71" s="118"/>
    </row>
    <row r="72">
      <c r="A72" s="115" t="s">
        <v>790</v>
      </c>
      <c r="B72" s="111" t="s">
        <v>1689</v>
      </c>
      <c r="C72" s="111" t="s">
        <v>1690</v>
      </c>
      <c r="D72" s="111" t="s">
        <v>2400</v>
      </c>
      <c r="E72" s="111" t="s">
        <v>56</v>
      </c>
      <c r="F72" s="113" t="s">
        <v>1233</v>
      </c>
      <c r="G72" s="113" t="s">
        <v>1233</v>
      </c>
      <c r="H72" s="113" t="s">
        <v>56</v>
      </c>
      <c r="I72" s="114" t="s">
        <v>1478</v>
      </c>
      <c r="J72" s="115" t="s">
        <v>1592</v>
      </c>
      <c r="K72" s="114" t="s">
        <v>2003</v>
      </c>
      <c r="L72" s="114"/>
      <c r="M72" s="114"/>
      <c r="N72" s="114"/>
      <c r="O72" s="121"/>
      <c r="P72" s="123"/>
      <c r="Q72" s="123"/>
      <c r="R72" s="114"/>
      <c r="S72" s="114"/>
      <c r="T72" s="114"/>
      <c r="U72" s="114"/>
      <c r="V72" s="114"/>
      <c r="W72" s="114"/>
      <c r="X72" s="118"/>
    </row>
    <row r="73">
      <c r="A73" s="115" t="s">
        <v>476</v>
      </c>
      <c r="B73" s="111" t="s">
        <v>1499</v>
      </c>
      <c r="C73" s="111" t="s">
        <v>1500</v>
      </c>
      <c r="D73" s="111" t="s">
        <v>2401</v>
      </c>
      <c r="E73" s="111" t="s">
        <v>56</v>
      </c>
      <c r="F73" s="113" t="s">
        <v>1233</v>
      </c>
      <c r="G73" s="113" t="s">
        <v>1233</v>
      </c>
      <c r="H73" s="113" t="s">
        <v>56</v>
      </c>
      <c r="I73" s="114" t="s">
        <v>1478</v>
      </c>
      <c r="J73" s="115" t="s">
        <v>1592</v>
      </c>
      <c r="K73" s="114" t="s">
        <v>2005</v>
      </c>
      <c r="L73" s="114"/>
      <c r="M73" s="114"/>
      <c r="N73" s="114"/>
      <c r="O73" s="121"/>
      <c r="P73" s="123"/>
      <c r="Q73" s="123"/>
      <c r="R73" s="114"/>
      <c r="S73" s="114"/>
      <c r="T73" s="114"/>
      <c r="U73" s="114"/>
      <c r="V73" s="114"/>
      <c r="W73" s="114"/>
      <c r="X73" s="118"/>
    </row>
    <row r="74">
      <c r="A74" s="115" t="s">
        <v>480</v>
      </c>
      <c r="B74" s="111" t="s">
        <v>1503</v>
      </c>
      <c r="C74" s="111" t="s">
        <v>1504</v>
      </c>
      <c r="D74" s="111" t="s">
        <v>2402</v>
      </c>
      <c r="E74" s="111" t="s">
        <v>56</v>
      </c>
      <c r="F74" s="113" t="s">
        <v>1233</v>
      </c>
      <c r="G74" s="113" t="s">
        <v>1233</v>
      </c>
      <c r="H74" s="113" t="s">
        <v>56</v>
      </c>
      <c r="I74" s="114" t="s">
        <v>1478</v>
      </c>
      <c r="J74" s="115" t="s">
        <v>1592</v>
      </c>
      <c r="K74" s="114" t="s">
        <v>2007</v>
      </c>
      <c r="L74" s="114"/>
      <c r="M74" s="114"/>
      <c r="N74" s="114"/>
      <c r="O74" s="121"/>
      <c r="P74" s="123"/>
      <c r="Q74" s="123"/>
      <c r="R74" s="114"/>
      <c r="S74" s="114"/>
      <c r="T74" s="114"/>
      <c r="U74" s="114"/>
      <c r="V74" s="114"/>
      <c r="W74" s="114"/>
      <c r="X74" s="118"/>
    </row>
    <row r="75">
      <c r="A75" s="115" t="s">
        <v>795</v>
      </c>
      <c r="B75" s="111" t="s">
        <v>1691</v>
      </c>
      <c r="C75" s="111" t="s">
        <v>1692</v>
      </c>
      <c r="D75" s="111" t="s">
        <v>2403</v>
      </c>
      <c r="E75" s="111" t="s">
        <v>56</v>
      </c>
      <c r="F75" s="113" t="s">
        <v>1233</v>
      </c>
      <c r="G75" s="113" t="s">
        <v>1233</v>
      </c>
      <c r="H75" s="113" t="s">
        <v>56</v>
      </c>
      <c r="I75" s="114" t="s">
        <v>1478</v>
      </c>
      <c r="J75" s="115" t="s">
        <v>1594</v>
      </c>
      <c r="K75" s="114" t="s">
        <v>2001</v>
      </c>
      <c r="L75" s="114"/>
      <c r="M75" s="114"/>
      <c r="N75" s="114"/>
      <c r="O75" s="121"/>
      <c r="P75" s="123"/>
      <c r="Q75" s="123"/>
      <c r="R75" s="114"/>
      <c r="S75" s="114"/>
      <c r="T75" s="114"/>
      <c r="U75" s="114"/>
      <c r="V75" s="114"/>
      <c r="W75" s="114"/>
      <c r="X75" s="118"/>
    </row>
    <row r="76">
      <c r="A76" s="115" t="s">
        <v>790</v>
      </c>
      <c r="B76" s="111" t="s">
        <v>1689</v>
      </c>
      <c r="C76" s="111" t="s">
        <v>1690</v>
      </c>
      <c r="D76" s="111" t="s">
        <v>2404</v>
      </c>
      <c r="E76" s="111" t="s">
        <v>56</v>
      </c>
      <c r="F76" s="113" t="s">
        <v>1233</v>
      </c>
      <c r="G76" s="113" t="s">
        <v>1233</v>
      </c>
      <c r="H76" s="113" t="s">
        <v>56</v>
      </c>
      <c r="I76" s="114" t="s">
        <v>1478</v>
      </c>
      <c r="J76" s="115" t="s">
        <v>1596</v>
      </c>
      <c r="K76" s="114" t="s">
        <v>2001</v>
      </c>
      <c r="L76" s="114"/>
      <c r="M76" s="114"/>
      <c r="N76" s="114"/>
      <c r="O76" s="121"/>
      <c r="P76" s="123"/>
      <c r="Q76" s="123"/>
      <c r="R76" s="114"/>
      <c r="S76" s="114"/>
      <c r="T76" s="114"/>
      <c r="U76" s="114"/>
      <c r="V76" s="114"/>
      <c r="W76" s="114"/>
      <c r="X76" s="118"/>
    </row>
    <row r="77">
      <c r="A77" s="115" t="s">
        <v>790</v>
      </c>
      <c r="B77" s="111" t="s">
        <v>1689</v>
      </c>
      <c r="C77" s="111" t="s">
        <v>1690</v>
      </c>
      <c r="D77" s="111" t="s">
        <v>2405</v>
      </c>
      <c r="E77" s="111" t="s">
        <v>56</v>
      </c>
      <c r="F77" s="113" t="s">
        <v>1233</v>
      </c>
      <c r="G77" s="113" t="s">
        <v>1233</v>
      </c>
      <c r="H77" s="113" t="s">
        <v>56</v>
      </c>
      <c r="I77" s="114" t="s">
        <v>1478</v>
      </c>
      <c r="J77" s="115" t="s">
        <v>1596</v>
      </c>
      <c r="K77" s="114" t="s">
        <v>2003</v>
      </c>
      <c r="L77" s="114"/>
      <c r="M77" s="114"/>
      <c r="N77" s="114"/>
      <c r="O77" s="121"/>
      <c r="P77" s="123"/>
      <c r="Q77" s="123"/>
      <c r="R77" s="114"/>
      <c r="S77" s="114"/>
      <c r="T77" s="114"/>
      <c r="U77" s="114"/>
      <c r="V77" s="114"/>
      <c r="W77" s="114"/>
      <c r="X77" s="118"/>
    </row>
    <row r="78">
      <c r="A78" s="115" t="s">
        <v>524</v>
      </c>
      <c r="B78" s="111" t="s">
        <v>1537</v>
      </c>
      <c r="C78" s="111" t="s">
        <v>1538</v>
      </c>
      <c r="D78" s="111" t="s">
        <v>2406</v>
      </c>
      <c r="E78" s="111" t="s">
        <v>56</v>
      </c>
      <c r="F78" s="113" t="s">
        <v>1233</v>
      </c>
      <c r="G78" s="113" t="s">
        <v>1233</v>
      </c>
      <c r="H78" s="113" t="s">
        <v>56</v>
      </c>
      <c r="I78" s="114" t="s">
        <v>1478</v>
      </c>
      <c r="J78" s="115" t="s">
        <v>1598</v>
      </c>
      <c r="K78" s="114" t="s">
        <v>2001</v>
      </c>
      <c r="L78" s="114"/>
      <c r="M78" s="114"/>
      <c r="N78" s="114"/>
      <c r="O78" s="121"/>
      <c r="P78" s="123"/>
      <c r="Q78" s="123"/>
      <c r="R78" s="114"/>
      <c r="S78" s="114"/>
      <c r="T78" s="114"/>
      <c r="U78" s="114"/>
      <c r="V78" s="114"/>
      <c r="W78" s="114"/>
      <c r="X78" s="118"/>
    </row>
    <row r="79">
      <c r="A79" s="115" t="s">
        <v>802</v>
      </c>
      <c r="B79" s="111" t="s">
        <v>1693</v>
      </c>
      <c r="C79" s="111" t="s">
        <v>1694</v>
      </c>
      <c r="D79" s="111" t="s">
        <v>2407</v>
      </c>
      <c r="E79" s="111" t="s">
        <v>56</v>
      </c>
      <c r="F79" s="113" t="s">
        <v>1233</v>
      </c>
      <c r="G79" s="113" t="s">
        <v>1233</v>
      </c>
      <c r="H79" s="113" t="s">
        <v>56</v>
      </c>
      <c r="I79" s="114" t="s">
        <v>1478</v>
      </c>
      <c r="J79" s="115" t="s">
        <v>1602</v>
      </c>
      <c r="K79" s="114" t="s">
        <v>2001</v>
      </c>
      <c r="L79" s="114"/>
      <c r="M79" s="114"/>
      <c r="N79" s="114"/>
      <c r="O79" s="121"/>
      <c r="P79" s="123"/>
      <c r="Q79" s="123"/>
      <c r="R79" s="114"/>
      <c r="S79" s="114"/>
      <c r="T79" s="114"/>
      <c r="U79" s="114"/>
      <c r="V79" s="114"/>
      <c r="W79" s="114"/>
      <c r="X79" s="118"/>
    </row>
    <row r="80">
      <c r="A80" s="115" t="s">
        <v>586</v>
      </c>
      <c r="B80" s="111" t="s">
        <v>1568</v>
      </c>
      <c r="C80" s="111" t="s">
        <v>1569</v>
      </c>
      <c r="D80" s="111" t="s">
        <v>2408</v>
      </c>
      <c r="E80" s="111" t="s">
        <v>56</v>
      </c>
      <c r="F80" s="113" t="s">
        <v>1233</v>
      </c>
      <c r="G80" s="113" t="s">
        <v>1233</v>
      </c>
      <c r="H80" s="113" t="s">
        <v>56</v>
      </c>
      <c r="I80" s="114" t="s">
        <v>1478</v>
      </c>
      <c r="J80" s="115" t="s">
        <v>1604</v>
      </c>
      <c r="K80" s="114" t="s">
        <v>2001</v>
      </c>
      <c r="L80" s="114"/>
      <c r="M80" s="114"/>
      <c r="N80" s="114"/>
      <c r="O80" s="121"/>
      <c r="P80" s="123"/>
      <c r="Q80" s="123"/>
      <c r="R80" s="114"/>
      <c r="S80" s="114"/>
      <c r="T80" s="114"/>
      <c r="U80" s="114"/>
      <c r="V80" s="114"/>
      <c r="W80" s="114"/>
      <c r="X80" s="118"/>
    </row>
    <row r="81">
      <c r="A81" s="115" t="s">
        <v>693</v>
      </c>
      <c r="B81" s="111" t="s">
        <v>1634</v>
      </c>
      <c r="C81" s="111" t="s">
        <v>1635</v>
      </c>
      <c r="D81" s="111" t="s">
        <v>2409</v>
      </c>
      <c r="E81" s="111" t="s">
        <v>56</v>
      </c>
      <c r="F81" s="113" t="s">
        <v>1233</v>
      </c>
      <c r="G81" s="113" t="s">
        <v>1233</v>
      </c>
      <c r="H81" s="113" t="s">
        <v>56</v>
      </c>
      <c r="I81" s="114" t="s">
        <v>1478</v>
      </c>
      <c r="J81" s="115" t="s">
        <v>1604</v>
      </c>
      <c r="K81" s="114" t="s">
        <v>2003</v>
      </c>
      <c r="L81" s="114"/>
      <c r="M81" s="114"/>
      <c r="N81" s="114"/>
      <c r="O81" s="121"/>
      <c r="P81" s="123"/>
      <c r="Q81" s="123"/>
      <c r="R81" s="114"/>
      <c r="S81" s="114"/>
      <c r="T81" s="114"/>
      <c r="U81" s="114"/>
      <c r="V81" s="114"/>
      <c r="W81" s="114"/>
      <c r="X81" s="118"/>
    </row>
    <row r="82">
      <c r="A82" s="115" t="s">
        <v>773</v>
      </c>
      <c r="B82" s="111" t="s">
        <v>1679</v>
      </c>
      <c r="C82" s="111" t="s">
        <v>1680</v>
      </c>
      <c r="D82" s="111" t="s">
        <v>2410</v>
      </c>
      <c r="E82" s="111" t="s">
        <v>56</v>
      </c>
      <c r="F82" s="113" t="s">
        <v>1233</v>
      </c>
      <c r="G82" s="113" t="s">
        <v>1233</v>
      </c>
      <c r="H82" s="113" t="s">
        <v>56</v>
      </c>
      <c r="I82" s="114" t="s">
        <v>1478</v>
      </c>
      <c r="J82" s="115" t="s">
        <v>1604</v>
      </c>
      <c r="K82" s="114" t="s">
        <v>2005</v>
      </c>
      <c r="L82" s="114"/>
      <c r="M82" s="114"/>
      <c r="N82" s="114"/>
      <c r="O82" s="121"/>
      <c r="P82" s="123"/>
      <c r="Q82" s="123"/>
      <c r="R82" s="114"/>
      <c r="S82" s="114"/>
      <c r="T82" s="114"/>
      <c r="U82" s="114"/>
      <c r="V82" s="114"/>
      <c r="W82" s="114"/>
      <c r="X82" s="118"/>
    </row>
  </sheetData>
  <mergeCells count="4">
    <mergeCell ref="A1:B1"/>
    <mergeCell ref="F1:H1"/>
    <mergeCell ref="I1:P1"/>
    <mergeCell ref="Q1:X1"/>
  </mergeCells>
  <conditionalFormatting sqref="G3 O3 L4:L82 T4:T82">
    <cfRule type="cellIs" dxfId="3" priority="1" operator="equal">
      <formula>"Yes"</formula>
    </cfRule>
  </conditionalFormatting>
  <conditionalFormatting sqref="G3 O3 L4:L82 T4:T82">
    <cfRule type="cellIs" dxfId="4" priority="2" operator="equal">
      <formula>"No"</formula>
    </cfRule>
  </conditionalFormatting>
  <conditionalFormatting sqref="G3 O3 L4:L82 T4:T82">
    <cfRule type="cellIs" dxfId="5" priority="3" operator="equal">
      <formula>"Maybe"</formula>
    </cfRule>
  </conditionalFormatting>
  <conditionalFormatting sqref="H3 M4:M82 U4:U82">
    <cfRule type="cellIs" dxfId="3" priority="4" operator="equal">
      <formula>"No Issues"</formula>
    </cfRule>
  </conditionalFormatting>
  <conditionalFormatting sqref="H3 M4:M82 U4:U82">
    <cfRule type="cellIs" dxfId="4" priority="5" operator="equal">
      <formula>"Unresolved Issue"</formula>
    </cfRule>
  </conditionalFormatting>
  <conditionalFormatting sqref="H3 M4:M82 U4:U82">
    <cfRule type="cellIs" dxfId="6" priority="6" operator="equal">
      <formula>"Repaired Issue"</formula>
    </cfRule>
  </conditionalFormatting>
  <conditionalFormatting sqref="H3 M4:M82 U4:U82">
    <cfRule type="cellIs" dxfId="7" priority="7" operator="equal">
      <formula>"To Check (RCC)"</formula>
    </cfRule>
  </conditionalFormatting>
  <dataValidations>
    <dataValidation type="list" allowBlank="1" sqref="O3 L4:L82 T4:T82">
      <formula1>"Yes,Maybe,No"</formula1>
    </dataValidation>
    <dataValidation type="list" allowBlank="1" sqref="M4:M82 U4:U82">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s>
  <drawing r:id="rId159"/>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0">IF($A$3:$A80&lt;&gt;"", XLOOKUP($A$3:$A80, Sourcepull!$B$3:$B80, Sourcepull!$A$3:$A80, ""), "")</f>
        <v/>
      </c>
      <c r="C3" s="57" t="str">
        <f t="array" ref="C3:C80">if($A$3:$A80&lt;&gt;"","SP-"&amp;$B$3:$B80&amp;"-"&amp;$A$3:$A80&amp;".pdf", "")</f>
        <v>SP--Keep this row hidden / do not edit!.pdf</v>
      </c>
      <c r="D3" s="57" t="str">
        <f t="array" ref="D3:D80">if($J$3:$J80&lt;&gt;"","R1-"&amp;$J$3:$J80&amp;"-"&amp;$K$3:$K80&amp;"-"&amp;$B$3:$B80&amp;"-"&amp;$A$3:$A80&amp;".pdf", "")</f>
        <v/>
      </c>
      <c r="E3" s="57" t="str">
        <f t="array" ref="E3:E80">if($R$3:$R80&lt;&gt;"","R2-"&amp;$R$3:$R80&amp;"-"&amp;$S$3:$S80&amp;"-"&amp;$B$3:$B80&amp;"-"&amp;$A$3:$A80&amp;".pdf", "")</f>
        <v/>
      </c>
      <c r="F3" s="107" t="str">
        <f t="array" ref="F3:F80">if($C$3:$C80 &lt;&gt; "", hyperlink("https://drive.google.com/drive/search?q=parent:" &amp; Properties!$C$8 &amp; "%20" &amp; char(34) &amp; $C$3:$C80 &amp; char(34), "➔"), "")</f>
        <v>➔</v>
      </c>
      <c r="G3" s="107" t="str">
        <f t="array" ref="G3:G80">if($D$3:$D80 &lt;&gt; "", hyperlink("https://drive.google.com/drive/search?q=parent:" &amp; Properties!$C$9 &amp; "%20" &amp; char(34) &amp; $D$3:$D80 &amp; char(34), "➔"), "")</f>
        <v/>
      </c>
      <c r="H3" s="107" t="str">
        <f t="array" ref="H3:H80">if($E$3:$E80 &lt;&gt; "", hyperlink("https://drive.google.com/drive/search?q=parent:" &amp; Properties!$C$10 &amp; "%20" &amp; char(34) &amp; $E$3:$E80 &amp; char(34), "➔"), "")</f>
        <v/>
      </c>
      <c r="I3" s="57"/>
      <c r="J3" s="57"/>
      <c r="K3" s="57"/>
      <c r="L3" s="57"/>
      <c r="M3" s="57"/>
      <c r="N3" s="57"/>
      <c r="O3" s="57"/>
      <c r="P3" s="108"/>
      <c r="Q3" s="109"/>
      <c r="R3" s="57"/>
      <c r="S3" s="57"/>
      <c r="T3" s="57"/>
      <c r="U3" s="57"/>
      <c r="V3" s="57"/>
      <c r="W3" s="57"/>
      <c r="X3" s="57"/>
    </row>
    <row r="4">
      <c r="A4" s="110" t="s">
        <v>809</v>
      </c>
      <c r="B4" s="111" t="s">
        <v>1695</v>
      </c>
      <c r="C4" s="111" t="s">
        <v>1696</v>
      </c>
      <c r="D4" s="111" t="s">
        <v>2411</v>
      </c>
      <c r="E4" s="111" t="s">
        <v>56</v>
      </c>
      <c r="F4" s="112" t="s">
        <v>1233</v>
      </c>
      <c r="G4" s="113" t="s">
        <v>1233</v>
      </c>
      <c r="H4" s="113" t="s">
        <v>56</v>
      </c>
      <c r="I4" s="114" t="s">
        <v>1397</v>
      </c>
      <c r="J4" s="115" t="s">
        <v>1606</v>
      </c>
      <c r="K4" s="114" t="s">
        <v>2001</v>
      </c>
      <c r="L4" s="114"/>
      <c r="M4" s="114"/>
      <c r="N4" s="114"/>
      <c r="O4" s="114"/>
      <c r="P4" s="116"/>
      <c r="Q4" s="117"/>
      <c r="R4" s="114"/>
      <c r="S4" s="114"/>
      <c r="T4" s="114"/>
      <c r="U4" s="114"/>
      <c r="V4" s="114"/>
      <c r="W4" s="114"/>
      <c r="X4" s="118"/>
    </row>
    <row r="5">
      <c r="A5" s="115" t="s">
        <v>731</v>
      </c>
      <c r="B5" s="111" t="s">
        <v>1657</v>
      </c>
      <c r="C5" s="111" t="s">
        <v>1658</v>
      </c>
      <c r="D5" s="111" t="s">
        <v>2412</v>
      </c>
      <c r="E5" s="111" t="s">
        <v>56</v>
      </c>
      <c r="F5" s="113" t="s">
        <v>1233</v>
      </c>
      <c r="G5" s="113" t="s">
        <v>1233</v>
      </c>
      <c r="H5" s="113" t="s">
        <v>56</v>
      </c>
      <c r="I5" s="114" t="s">
        <v>1397</v>
      </c>
      <c r="J5" s="115" t="s">
        <v>1606</v>
      </c>
      <c r="K5" s="114" t="s">
        <v>2003</v>
      </c>
      <c r="L5" s="114"/>
      <c r="M5" s="114"/>
      <c r="N5" s="119"/>
      <c r="O5" s="114"/>
      <c r="P5" s="120"/>
      <c r="Q5" s="117"/>
      <c r="R5" s="114"/>
      <c r="S5" s="114"/>
      <c r="T5" s="114"/>
      <c r="U5" s="114"/>
      <c r="V5" s="114"/>
      <c r="W5" s="114"/>
      <c r="X5" s="118"/>
    </row>
    <row r="6">
      <c r="A6" s="115" t="s">
        <v>742</v>
      </c>
      <c r="B6" s="111" t="s">
        <v>1663</v>
      </c>
      <c r="C6" s="111" t="s">
        <v>1664</v>
      </c>
      <c r="D6" s="111" t="s">
        <v>2413</v>
      </c>
      <c r="E6" s="111" t="s">
        <v>56</v>
      </c>
      <c r="F6" s="113" t="s">
        <v>1233</v>
      </c>
      <c r="G6" s="113" t="s">
        <v>1233</v>
      </c>
      <c r="H6" s="113" t="s">
        <v>56</v>
      </c>
      <c r="I6" s="114" t="s">
        <v>1397</v>
      </c>
      <c r="J6" s="115" t="s">
        <v>1606</v>
      </c>
      <c r="K6" s="114" t="s">
        <v>2005</v>
      </c>
      <c r="L6" s="114"/>
      <c r="M6" s="114"/>
      <c r="N6" s="114"/>
      <c r="O6" s="121"/>
      <c r="P6" s="116"/>
      <c r="Q6" s="117"/>
      <c r="R6" s="114"/>
      <c r="S6" s="114"/>
      <c r="T6" s="114"/>
      <c r="U6" s="114"/>
      <c r="V6" s="114"/>
      <c r="W6" s="114"/>
      <c r="X6" s="118"/>
    </row>
    <row r="7">
      <c r="A7" s="115" t="s">
        <v>813</v>
      </c>
      <c r="B7" s="111" t="s">
        <v>1697</v>
      </c>
      <c r="C7" s="111" t="s">
        <v>1698</v>
      </c>
      <c r="D7" s="111" t="s">
        <v>2414</v>
      </c>
      <c r="E7" s="111" t="s">
        <v>56</v>
      </c>
      <c r="F7" s="113" t="s">
        <v>1233</v>
      </c>
      <c r="G7" s="113" t="s">
        <v>1233</v>
      </c>
      <c r="H7" s="113" t="s">
        <v>56</v>
      </c>
      <c r="I7" s="114" t="s">
        <v>1397</v>
      </c>
      <c r="J7" s="115" t="s">
        <v>1608</v>
      </c>
      <c r="K7" s="114" t="s">
        <v>2001</v>
      </c>
      <c r="L7" s="114"/>
      <c r="M7" s="114"/>
      <c r="N7" s="114"/>
      <c r="O7" s="121"/>
      <c r="P7" s="122"/>
      <c r="Q7" s="123"/>
      <c r="R7" s="114"/>
      <c r="S7" s="114"/>
      <c r="T7" s="114"/>
      <c r="U7" s="114"/>
      <c r="V7" s="114"/>
      <c r="W7" s="114"/>
      <c r="X7" s="118"/>
    </row>
    <row r="8">
      <c r="A8" s="115" t="s">
        <v>220</v>
      </c>
      <c r="B8" s="111" t="s">
        <v>1369</v>
      </c>
      <c r="C8" s="111" t="s">
        <v>1370</v>
      </c>
      <c r="D8" s="111" t="s">
        <v>2415</v>
      </c>
      <c r="E8" s="111" t="s">
        <v>56</v>
      </c>
      <c r="F8" s="113" t="s">
        <v>1233</v>
      </c>
      <c r="G8" s="113" t="s">
        <v>1233</v>
      </c>
      <c r="H8" s="113" t="s">
        <v>56</v>
      </c>
      <c r="I8" s="114" t="s">
        <v>1397</v>
      </c>
      <c r="J8" s="115" t="s">
        <v>1610</v>
      </c>
      <c r="K8" s="114" t="s">
        <v>2001</v>
      </c>
      <c r="L8" s="114"/>
      <c r="M8" s="114"/>
      <c r="N8" s="114"/>
      <c r="O8" s="121"/>
      <c r="P8" s="122"/>
      <c r="Q8" s="123"/>
      <c r="R8" s="114"/>
      <c r="S8" s="114"/>
      <c r="T8" s="114"/>
      <c r="U8" s="114"/>
      <c r="V8" s="114"/>
      <c r="W8" s="114"/>
      <c r="X8" s="118"/>
    </row>
    <row r="9">
      <c r="A9" s="115" t="s">
        <v>610</v>
      </c>
      <c r="B9" s="111" t="s">
        <v>1584</v>
      </c>
      <c r="C9" s="111" t="s">
        <v>1585</v>
      </c>
      <c r="D9" s="111" t="s">
        <v>2416</v>
      </c>
      <c r="E9" s="111" t="s">
        <v>56</v>
      </c>
      <c r="F9" s="113" t="s">
        <v>1233</v>
      </c>
      <c r="G9" s="113" t="s">
        <v>1233</v>
      </c>
      <c r="H9" s="113" t="s">
        <v>56</v>
      </c>
      <c r="I9" s="114" t="s">
        <v>1397</v>
      </c>
      <c r="J9" s="115" t="s">
        <v>1610</v>
      </c>
      <c r="K9" s="114" t="s">
        <v>2003</v>
      </c>
      <c r="L9" s="114"/>
      <c r="M9" s="114"/>
      <c r="N9" s="114"/>
      <c r="O9" s="121"/>
      <c r="P9" s="122"/>
      <c r="Q9" s="123"/>
      <c r="R9" s="114"/>
      <c r="S9" s="114"/>
      <c r="T9" s="114"/>
      <c r="U9" s="114"/>
      <c r="V9" s="114"/>
      <c r="W9" s="114"/>
      <c r="X9" s="118"/>
    </row>
    <row r="10">
      <c r="A10" s="115" t="s">
        <v>111</v>
      </c>
      <c r="B10" s="111" t="s">
        <v>1284</v>
      </c>
      <c r="C10" s="111" t="s">
        <v>1285</v>
      </c>
      <c r="D10" s="111" t="s">
        <v>2417</v>
      </c>
      <c r="E10" s="111" t="s">
        <v>56</v>
      </c>
      <c r="F10" s="113" t="s">
        <v>1233</v>
      </c>
      <c r="G10" s="113" t="s">
        <v>1233</v>
      </c>
      <c r="H10" s="113" t="s">
        <v>56</v>
      </c>
      <c r="I10" s="114" t="s">
        <v>1397</v>
      </c>
      <c r="J10" s="115" t="s">
        <v>1610</v>
      </c>
      <c r="K10" s="114" t="s">
        <v>2005</v>
      </c>
      <c r="L10" s="114"/>
      <c r="M10" s="114"/>
      <c r="N10" s="114"/>
      <c r="O10" s="121"/>
      <c r="P10" s="122"/>
      <c r="Q10" s="123"/>
      <c r="R10" s="114"/>
      <c r="S10" s="114"/>
      <c r="T10" s="114"/>
      <c r="U10" s="114"/>
      <c r="V10" s="114"/>
      <c r="W10" s="114"/>
      <c r="X10" s="118"/>
    </row>
    <row r="11">
      <c r="A11" s="115" t="s">
        <v>818</v>
      </c>
      <c r="B11" s="111" t="s">
        <v>1699</v>
      </c>
      <c r="C11" s="111" t="s">
        <v>1700</v>
      </c>
      <c r="D11" s="111" t="s">
        <v>2418</v>
      </c>
      <c r="E11" s="111" t="s">
        <v>56</v>
      </c>
      <c r="F11" s="113" t="s">
        <v>1233</v>
      </c>
      <c r="G11" s="113" t="s">
        <v>1233</v>
      </c>
      <c r="H11" s="113" t="s">
        <v>56</v>
      </c>
      <c r="I11" s="114" t="s">
        <v>1397</v>
      </c>
      <c r="J11" s="115" t="s">
        <v>1612</v>
      </c>
      <c r="K11" s="114" t="s">
        <v>2001</v>
      </c>
      <c r="L11" s="114"/>
      <c r="M11" s="114"/>
      <c r="N11" s="114"/>
      <c r="O11" s="121"/>
      <c r="P11" s="122"/>
      <c r="Q11" s="123"/>
      <c r="R11" s="114"/>
      <c r="S11" s="114"/>
      <c r="T11" s="114"/>
      <c r="U11" s="114"/>
      <c r="V11" s="114"/>
      <c r="W11" s="114"/>
      <c r="X11" s="118"/>
    </row>
    <row r="12">
      <c r="A12" s="115" t="s">
        <v>220</v>
      </c>
      <c r="B12" s="111" t="s">
        <v>1369</v>
      </c>
      <c r="C12" s="111" t="s">
        <v>1370</v>
      </c>
      <c r="D12" s="111" t="s">
        <v>2419</v>
      </c>
      <c r="E12" s="111" t="s">
        <v>56</v>
      </c>
      <c r="F12" s="113" t="s">
        <v>1233</v>
      </c>
      <c r="G12" s="113" t="s">
        <v>1233</v>
      </c>
      <c r="H12" s="113" t="s">
        <v>56</v>
      </c>
      <c r="I12" s="114" t="s">
        <v>1397</v>
      </c>
      <c r="J12" s="115" t="s">
        <v>1614</v>
      </c>
      <c r="K12" s="114" t="s">
        <v>2001</v>
      </c>
      <c r="L12" s="114"/>
      <c r="M12" s="114"/>
      <c r="N12" s="114"/>
      <c r="O12" s="121"/>
      <c r="P12" s="123"/>
      <c r="Q12" s="123"/>
      <c r="R12" s="114"/>
      <c r="S12" s="114"/>
      <c r="T12" s="114"/>
      <c r="U12" s="114"/>
      <c r="V12" s="114"/>
      <c r="W12" s="114"/>
      <c r="X12" s="118"/>
    </row>
    <row r="13">
      <c r="A13" s="115" t="s">
        <v>821</v>
      </c>
      <c r="B13" s="111" t="s">
        <v>1701</v>
      </c>
      <c r="C13" s="111" t="s">
        <v>1702</v>
      </c>
      <c r="D13" s="111" t="s">
        <v>2420</v>
      </c>
      <c r="E13" s="111" t="s">
        <v>56</v>
      </c>
      <c r="F13" s="113" t="s">
        <v>1233</v>
      </c>
      <c r="G13" s="113" t="s">
        <v>1233</v>
      </c>
      <c r="H13" s="113" t="s">
        <v>56</v>
      </c>
      <c r="I13" s="114" t="s">
        <v>1397</v>
      </c>
      <c r="J13" s="115" t="s">
        <v>1614</v>
      </c>
      <c r="K13" s="114" t="s">
        <v>2003</v>
      </c>
      <c r="L13" s="114"/>
      <c r="M13" s="114"/>
      <c r="N13" s="114"/>
      <c r="O13" s="121"/>
      <c r="P13" s="123"/>
      <c r="Q13" s="123"/>
      <c r="R13" s="114"/>
      <c r="S13" s="114"/>
      <c r="T13" s="114"/>
      <c r="U13" s="114"/>
      <c r="V13" s="114"/>
      <c r="W13" s="114"/>
      <c r="X13" s="118"/>
    </row>
    <row r="14">
      <c r="A14" s="115" t="s">
        <v>736</v>
      </c>
      <c r="B14" s="111" t="s">
        <v>1659</v>
      </c>
      <c r="C14" s="111" t="s">
        <v>1660</v>
      </c>
      <c r="D14" s="111" t="s">
        <v>2421</v>
      </c>
      <c r="E14" s="111" t="s">
        <v>56</v>
      </c>
      <c r="F14" s="113" t="s">
        <v>1233</v>
      </c>
      <c r="G14" s="113" t="s">
        <v>1233</v>
      </c>
      <c r="H14" s="113" t="s">
        <v>56</v>
      </c>
      <c r="I14" s="114" t="s">
        <v>1397</v>
      </c>
      <c r="J14" s="115" t="s">
        <v>1614</v>
      </c>
      <c r="K14" s="114" t="s">
        <v>2005</v>
      </c>
      <c r="L14" s="114"/>
      <c r="M14" s="114"/>
      <c r="N14" s="114"/>
      <c r="O14" s="121"/>
      <c r="P14" s="123"/>
      <c r="Q14" s="123"/>
      <c r="R14" s="114"/>
      <c r="S14" s="114"/>
      <c r="T14" s="114"/>
      <c r="U14" s="114"/>
      <c r="V14" s="114"/>
      <c r="W14" s="114"/>
      <c r="X14" s="118"/>
    </row>
    <row r="15">
      <c r="A15" s="115" t="s">
        <v>717</v>
      </c>
      <c r="B15" s="111" t="s">
        <v>1645</v>
      </c>
      <c r="C15" s="111" t="s">
        <v>1646</v>
      </c>
      <c r="D15" s="111" t="s">
        <v>2422</v>
      </c>
      <c r="E15" s="111" t="s">
        <v>56</v>
      </c>
      <c r="F15" s="113" t="s">
        <v>1233</v>
      </c>
      <c r="G15" s="113" t="s">
        <v>1233</v>
      </c>
      <c r="H15" s="113" t="s">
        <v>56</v>
      </c>
      <c r="I15" s="114" t="s">
        <v>1397</v>
      </c>
      <c r="J15" s="115" t="s">
        <v>1616</v>
      </c>
      <c r="K15" s="114" t="s">
        <v>2001</v>
      </c>
      <c r="L15" s="114"/>
      <c r="M15" s="114"/>
      <c r="N15" s="114"/>
      <c r="O15" s="121"/>
      <c r="P15" s="123"/>
      <c r="Q15" s="123"/>
      <c r="R15" s="114"/>
      <c r="S15" s="114"/>
      <c r="T15" s="114"/>
      <c r="U15" s="114"/>
      <c r="V15" s="114"/>
      <c r="W15" s="114"/>
      <c r="X15" s="118"/>
    </row>
    <row r="16">
      <c r="A16" s="115" t="s">
        <v>101</v>
      </c>
      <c r="B16" s="111" t="s">
        <v>1274</v>
      </c>
      <c r="C16" s="111" t="s">
        <v>1275</v>
      </c>
      <c r="D16" s="111" t="s">
        <v>2423</v>
      </c>
      <c r="E16" s="111" t="s">
        <v>56</v>
      </c>
      <c r="F16" s="113" t="s">
        <v>1233</v>
      </c>
      <c r="G16" s="113" t="s">
        <v>1233</v>
      </c>
      <c r="H16" s="113" t="s">
        <v>56</v>
      </c>
      <c r="I16" s="114" t="s">
        <v>1397</v>
      </c>
      <c r="J16" s="115" t="s">
        <v>1618</v>
      </c>
      <c r="K16" s="114" t="s">
        <v>2001</v>
      </c>
      <c r="L16" s="114"/>
      <c r="M16" s="114"/>
      <c r="N16" s="114"/>
      <c r="O16" s="121"/>
      <c r="P16" s="123"/>
      <c r="Q16" s="123"/>
      <c r="R16" s="114"/>
      <c r="S16" s="114"/>
      <c r="T16" s="114"/>
      <c r="U16" s="114"/>
      <c r="V16" s="114"/>
      <c r="W16" s="114"/>
      <c r="X16" s="118"/>
    </row>
    <row r="17">
      <c r="A17" s="115" t="s">
        <v>101</v>
      </c>
      <c r="B17" s="111" t="s">
        <v>1274</v>
      </c>
      <c r="C17" s="111" t="s">
        <v>1275</v>
      </c>
      <c r="D17" s="111" t="s">
        <v>2424</v>
      </c>
      <c r="E17" s="111" t="s">
        <v>56</v>
      </c>
      <c r="F17" s="113" t="s">
        <v>1233</v>
      </c>
      <c r="G17" s="113" t="s">
        <v>1233</v>
      </c>
      <c r="H17" s="113" t="s">
        <v>56</v>
      </c>
      <c r="I17" s="114" t="s">
        <v>1397</v>
      </c>
      <c r="J17" s="115" t="s">
        <v>1620</v>
      </c>
      <c r="K17" s="114" t="s">
        <v>2001</v>
      </c>
      <c r="L17" s="114"/>
      <c r="M17" s="114"/>
      <c r="N17" s="114"/>
      <c r="O17" s="121"/>
      <c r="P17" s="123"/>
      <c r="Q17" s="123"/>
      <c r="R17" s="114"/>
      <c r="S17" s="114"/>
      <c r="T17" s="114"/>
      <c r="U17" s="114"/>
      <c r="V17" s="114"/>
      <c r="W17" s="114"/>
      <c r="X17" s="118"/>
    </row>
    <row r="18">
      <c r="A18" s="115" t="s">
        <v>59</v>
      </c>
      <c r="B18" s="111" t="s">
        <v>1242</v>
      </c>
      <c r="C18" s="111" t="s">
        <v>1243</v>
      </c>
      <c r="D18" s="111" t="s">
        <v>2425</v>
      </c>
      <c r="E18" s="111" t="s">
        <v>56</v>
      </c>
      <c r="F18" s="113" t="s">
        <v>1233</v>
      </c>
      <c r="G18" s="113" t="s">
        <v>1233</v>
      </c>
      <c r="H18" s="113" t="s">
        <v>56</v>
      </c>
      <c r="I18" s="114" t="s">
        <v>1397</v>
      </c>
      <c r="J18" s="115" t="s">
        <v>1622</v>
      </c>
      <c r="K18" s="114" t="s">
        <v>2001</v>
      </c>
      <c r="L18" s="114"/>
      <c r="M18" s="114"/>
      <c r="N18" s="114"/>
      <c r="O18" s="121"/>
      <c r="P18" s="123"/>
      <c r="Q18" s="123"/>
      <c r="R18" s="114"/>
      <c r="S18" s="114"/>
      <c r="T18" s="114"/>
      <c r="U18" s="114"/>
      <c r="V18" s="114"/>
      <c r="W18" s="114"/>
      <c r="X18" s="118"/>
    </row>
    <row r="19">
      <c r="A19" s="115" t="s">
        <v>717</v>
      </c>
      <c r="B19" s="111" t="s">
        <v>1645</v>
      </c>
      <c r="C19" s="111" t="s">
        <v>1646</v>
      </c>
      <c r="D19" s="111" t="s">
        <v>2426</v>
      </c>
      <c r="E19" s="111" t="s">
        <v>56</v>
      </c>
      <c r="F19" s="113" t="s">
        <v>1233</v>
      </c>
      <c r="G19" s="113" t="s">
        <v>1233</v>
      </c>
      <c r="H19" s="113" t="s">
        <v>56</v>
      </c>
      <c r="I19" s="114" t="s">
        <v>1397</v>
      </c>
      <c r="J19" s="115" t="s">
        <v>1622</v>
      </c>
      <c r="K19" s="114" t="s">
        <v>2003</v>
      </c>
      <c r="L19" s="114"/>
      <c r="M19" s="114"/>
      <c r="N19" s="114"/>
      <c r="O19" s="121"/>
      <c r="P19" s="123"/>
      <c r="Q19" s="123"/>
      <c r="R19" s="114"/>
      <c r="S19" s="114"/>
      <c r="T19" s="114"/>
      <c r="U19" s="114"/>
      <c r="V19" s="114"/>
      <c r="W19" s="114"/>
      <c r="X19" s="118"/>
    </row>
    <row r="20">
      <c r="A20" s="115" t="s">
        <v>829</v>
      </c>
      <c r="B20" s="111" t="s">
        <v>1703</v>
      </c>
      <c r="C20" s="111" t="s">
        <v>1704</v>
      </c>
      <c r="D20" s="111" t="s">
        <v>2427</v>
      </c>
      <c r="E20" s="111" t="s">
        <v>56</v>
      </c>
      <c r="F20" s="113" t="s">
        <v>1233</v>
      </c>
      <c r="G20" s="113" t="s">
        <v>1233</v>
      </c>
      <c r="H20" s="113" t="s">
        <v>56</v>
      </c>
      <c r="I20" s="114" t="s">
        <v>1397</v>
      </c>
      <c r="J20" s="115" t="s">
        <v>1622</v>
      </c>
      <c r="K20" s="114" t="s">
        <v>2005</v>
      </c>
      <c r="L20" s="114"/>
      <c r="M20" s="114"/>
      <c r="N20" s="114"/>
      <c r="O20" s="121"/>
      <c r="P20" s="123"/>
      <c r="Q20" s="123"/>
      <c r="R20" s="114"/>
      <c r="S20" s="114"/>
      <c r="T20" s="114"/>
      <c r="U20" s="114"/>
      <c r="V20" s="114"/>
      <c r="W20" s="114"/>
      <c r="X20" s="118"/>
    </row>
    <row r="21">
      <c r="A21" s="115" t="s">
        <v>831</v>
      </c>
      <c r="B21" s="111" t="s">
        <v>1705</v>
      </c>
      <c r="C21" s="111" t="s">
        <v>1706</v>
      </c>
      <c r="D21" s="111" t="s">
        <v>2428</v>
      </c>
      <c r="E21" s="111" t="s">
        <v>56</v>
      </c>
      <c r="F21" s="113" t="s">
        <v>1233</v>
      </c>
      <c r="G21" s="113" t="s">
        <v>1233</v>
      </c>
      <c r="H21" s="113" t="s">
        <v>56</v>
      </c>
      <c r="I21" s="114" t="s">
        <v>1397</v>
      </c>
      <c r="J21" s="115" t="s">
        <v>1622</v>
      </c>
      <c r="K21" s="114" t="s">
        <v>2007</v>
      </c>
      <c r="L21" s="114"/>
      <c r="M21" s="114"/>
      <c r="N21" s="114"/>
      <c r="O21" s="121"/>
      <c r="P21" s="123"/>
      <c r="Q21" s="123"/>
      <c r="R21" s="114"/>
      <c r="S21" s="114"/>
      <c r="T21" s="114"/>
      <c r="U21" s="114"/>
      <c r="V21" s="114"/>
      <c r="W21" s="114"/>
      <c r="X21" s="118"/>
    </row>
    <row r="22">
      <c r="A22" s="115" t="s">
        <v>366</v>
      </c>
      <c r="B22" s="111" t="s">
        <v>1442</v>
      </c>
      <c r="C22" s="111" t="s">
        <v>1443</v>
      </c>
      <c r="D22" s="111" t="s">
        <v>2429</v>
      </c>
      <c r="E22" s="111" t="s">
        <v>56</v>
      </c>
      <c r="F22" s="113" t="s">
        <v>1233</v>
      </c>
      <c r="G22" s="113" t="s">
        <v>1233</v>
      </c>
      <c r="H22" s="113" t="s">
        <v>56</v>
      </c>
      <c r="I22" s="114" t="s">
        <v>1397</v>
      </c>
      <c r="J22" s="115" t="s">
        <v>1624</v>
      </c>
      <c r="K22" s="114" t="s">
        <v>2001</v>
      </c>
      <c r="L22" s="114"/>
      <c r="M22" s="114"/>
      <c r="N22" s="114"/>
      <c r="O22" s="121"/>
      <c r="P22" s="123"/>
      <c r="Q22" s="123"/>
      <c r="R22" s="114"/>
      <c r="S22" s="114"/>
      <c r="T22" s="114"/>
      <c r="U22" s="114"/>
      <c r="V22" s="114"/>
      <c r="W22" s="114"/>
      <c r="X22" s="118"/>
    </row>
    <row r="23">
      <c r="A23" s="115" t="s">
        <v>533</v>
      </c>
      <c r="B23" s="111" t="s">
        <v>1545</v>
      </c>
      <c r="C23" s="111" t="s">
        <v>1546</v>
      </c>
      <c r="D23" s="111" t="s">
        <v>2430</v>
      </c>
      <c r="E23" s="111" t="s">
        <v>56</v>
      </c>
      <c r="F23" s="113" t="s">
        <v>1233</v>
      </c>
      <c r="G23" s="113" t="s">
        <v>1233</v>
      </c>
      <c r="H23" s="113" t="s">
        <v>56</v>
      </c>
      <c r="I23" s="114" t="s">
        <v>1397</v>
      </c>
      <c r="J23" s="115" t="s">
        <v>1624</v>
      </c>
      <c r="K23" s="114" t="s">
        <v>2003</v>
      </c>
      <c r="L23" s="114"/>
      <c r="M23" s="114"/>
      <c r="N23" s="114"/>
      <c r="O23" s="121"/>
      <c r="P23" s="123"/>
      <c r="Q23" s="123"/>
      <c r="R23" s="114"/>
      <c r="S23" s="114"/>
      <c r="T23" s="114"/>
      <c r="U23" s="114"/>
      <c r="V23" s="114"/>
      <c r="W23" s="114"/>
      <c r="X23" s="118"/>
    </row>
    <row r="24">
      <c r="A24" s="115" t="s">
        <v>756</v>
      </c>
      <c r="B24" s="111" t="s">
        <v>1669</v>
      </c>
      <c r="C24" s="111" t="s">
        <v>1670</v>
      </c>
      <c r="D24" s="111" t="s">
        <v>2431</v>
      </c>
      <c r="E24" s="111" t="s">
        <v>56</v>
      </c>
      <c r="F24" s="113" t="s">
        <v>1233</v>
      </c>
      <c r="G24" s="113" t="s">
        <v>1233</v>
      </c>
      <c r="H24" s="113" t="s">
        <v>56</v>
      </c>
      <c r="I24" s="114" t="s">
        <v>1397</v>
      </c>
      <c r="J24" s="115" t="s">
        <v>1624</v>
      </c>
      <c r="K24" s="114" t="s">
        <v>2005</v>
      </c>
      <c r="L24" s="114"/>
      <c r="M24" s="114"/>
      <c r="N24" s="114"/>
      <c r="O24" s="121"/>
      <c r="P24" s="123"/>
      <c r="Q24" s="123"/>
      <c r="R24" s="114"/>
      <c r="S24" s="114"/>
      <c r="T24" s="114"/>
      <c r="U24" s="114"/>
      <c r="V24" s="114"/>
      <c r="W24" s="114"/>
      <c r="X24" s="118"/>
    </row>
    <row r="25">
      <c r="A25" s="115" t="s">
        <v>835</v>
      </c>
      <c r="B25" s="111" t="s">
        <v>1707</v>
      </c>
      <c r="C25" s="111" t="s">
        <v>1708</v>
      </c>
      <c r="D25" s="111" t="s">
        <v>2432</v>
      </c>
      <c r="E25" s="111" t="s">
        <v>56</v>
      </c>
      <c r="F25" s="113" t="s">
        <v>1233</v>
      </c>
      <c r="G25" s="113" t="s">
        <v>1233</v>
      </c>
      <c r="H25" s="113" t="s">
        <v>56</v>
      </c>
      <c r="I25" s="114" t="s">
        <v>1397</v>
      </c>
      <c r="J25" s="115" t="s">
        <v>1624</v>
      </c>
      <c r="K25" s="114" t="s">
        <v>2007</v>
      </c>
      <c r="L25" s="114"/>
      <c r="M25" s="114"/>
      <c r="N25" s="114"/>
      <c r="O25" s="121"/>
      <c r="P25" s="123"/>
      <c r="Q25" s="123"/>
      <c r="R25" s="114"/>
      <c r="S25" s="114"/>
      <c r="T25" s="114"/>
      <c r="U25" s="114"/>
      <c r="V25" s="114"/>
      <c r="W25" s="114"/>
      <c r="X25" s="118"/>
    </row>
    <row r="26">
      <c r="A26" s="115" t="s">
        <v>837</v>
      </c>
      <c r="B26" s="111" t="s">
        <v>1709</v>
      </c>
      <c r="C26" s="111" t="s">
        <v>1710</v>
      </c>
      <c r="D26" s="111" t="s">
        <v>2433</v>
      </c>
      <c r="E26" s="111" t="s">
        <v>56</v>
      </c>
      <c r="F26" s="113" t="s">
        <v>1233</v>
      </c>
      <c r="G26" s="113" t="s">
        <v>1233</v>
      </c>
      <c r="H26" s="113" t="s">
        <v>56</v>
      </c>
      <c r="I26" s="114" t="s">
        <v>1397</v>
      </c>
      <c r="J26" s="115" t="s">
        <v>1624</v>
      </c>
      <c r="K26" s="114" t="s">
        <v>2009</v>
      </c>
      <c r="L26" s="114"/>
      <c r="M26" s="114"/>
      <c r="N26" s="114"/>
      <c r="O26" s="121"/>
      <c r="P26" s="123"/>
      <c r="Q26" s="123"/>
      <c r="R26" s="114"/>
      <c r="S26" s="114"/>
      <c r="T26" s="114"/>
      <c r="U26" s="114"/>
      <c r="V26" s="114"/>
      <c r="W26" s="114"/>
      <c r="X26" s="118"/>
    </row>
    <row r="27">
      <c r="A27" s="115" t="s">
        <v>839</v>
      </c>
      <c r="B27" s="111" t="s">
        <v>1711</v>
      </c>
      <c r="C27" s="111" t="s">
        <v>1712</v>
      </c>
      <c r="D27" s="111" t="s">
        <v>2434</v>
      </c>
      <c r="E27" s="111" t="s">
        <v>56</v>
      </c>
      <c r="F27" s="113" t="s">
        <v>1233</v>
      </c>
      <c r="G27" s="113" t="s">
        <v>1233</v>
      </c>
      <c r="H27" s="113" t="s">
        <v>56</v>
      </c>
      <c r="I27" s="114" t="s">
        <v>1397</v>
      </c>
      <c r="J27" s="115" t="s">
        <v>1624</v>
      </c>
      <c r="K27" s="114" t="s">
        <v>2041</v>
      </c>
      <c r="L27" s="114"/>
      <c r="M27" s="114"/>
      <c r="N27" s="114"/>
      <c r="O27" s="121"/>
      <c r="P27" s="123"/>
      <c r="Q27" s="123"/>
      <c r="R27" s="114"/>
      <c r="S27" s="114"/>
      <c r="T27" s="114"/>
      <c r="U27" s="114"/>
      <c r="V27" s="114"/>
      <c r="W27" s="114"/>
      <c r="X27" s="118"/>
    </row>
    <row r="28">
      <c r="A28" s="115" t="s">
        <v>842</v>
      </c>
      <c r="B28" s="111" t="s">
        <v>1713</v>
      </c>
      <c r="C28" s="111" t="s">
        <v>1714</v>
      </c>
      <c r="D28" s="111" t="s">
        <v>2435</v>
      </c>
      <c r="E28" s="111" t="s">
        <v>56</v>
      </c>
      <c r="F28" s="113" t="s">
        <v>1233</v>
      </c>
      <c r="G28" s="113" t="s">
        <v>1233</v>
      </c>
      <c r="H28" s="113" t="s">
        <v>56</v>
      </c>
      <c r="I28" s="114" t="s">
        <v>1397</v>
      </c>
      <c r="J28" s="115" t="s">
        <v>1626</v>
      </c>
      <c r="K28" s="114" t="s">
        <v>2001</v>
      </c>
      <c r="L28" s="114"/>
      <c r="M28" s="114"/>
      <c r="N28" s="114"/>
      <c r="O28" s="121"/>
      <c r="P28" s="123"/>
      <c r="Q28" s="123"/>
      <c r="R28" s="114"/>
      <c r="S28" s="114"/>
      <c r="T28" s="114"/>
      <c r="U28" s="114"/>
      <c r="V28" s="114"/>
      <c r="W28" s="114"/>
      <c r="X28" s="118"/>
    </row>
    <row r="29">
      <c r="A29" s="115" t="s">
        <v>73</v>
      </c>
      <c r="B29" s="111" t="s">
        <v>1250</v>
      </c>
      <c r="C29" s="111" t="s">
        <v>1251</v>
      </c>
      <c r="D29" s="111" t="s">
        <v>2436</v>
      </c>
      <c r="E29" s="111" t="s">
        <v>56</v>
      </c>
      <c r="F29" s="113" t="s">
        <v>1233</v>
      </c>
      <c r="G29" s="113" t="s">
        <v>1233</v>
      </c>
      <c r="H29" s="113" t="s">
        <v>56</v>
      </c>
      <c r="I29" s="114" t="s">
        <v>1397</v>
      </c>
      <c r="J29" s="115" t="s">
        <v>1628</v>
      </c>
      <c r="K29" s="114" t="s">
        <v>2001</v>
      </c>
      <c r="L29" s="114"/>
      <c r="M29" s="114"/>
      <c r="N29" s="114"/>
      <c r="O29" s="121"/>
      <c r="P29" s="123"/>
      <c r="Q29" s="123"/>
      <c r="R29" s="114"/>
      <c r="S29" s="114"/>
      <c r="T29" s="114"/>
      <c r="U29" s="114"/>
      <c r="V29" s="114"/>
      <c r="W29" s="114"/>
      <c r="X29" s="118"/>
    </row>
    <row r="30">
      <c r="A30" s="115" t="s">
        <v>103</v>
      </c>
      <c r="B30" s="111" t="s">
        <v>1276</v>
      </c>
      <c r="C30" s="111" t="s">
        <v>1277</v>
      </c>
      <c r="D30" s="111" t="s">
        <v>2437</v>
      </c>
      <c r="E30" s="111" t="s">
        <v>56</v>
      </c>
      <c r="F30" s="113" t="s">
        <v>1233</v>
      </c>
      <c r="G30" s="113" t="s">
        <v>1233</v>
      </c>
      <c r="H30" s="113" t="s">
        <v>56</v>
      </c>
      <c r="I30" s="114" t="s">
        <v>1397</v>
      </c>
      <c r="J30" s="115" t="s">
        <v>1628</v>
      </c>
      <c r="K30" s="114" t="s">
        <v>2003</v>
      </c>
      <c r="L30" s="114"/>
      <c r="M30" s="114"/>
      <c r="N30" s="114"/>
      <c r="O30" s="121"/>
      <c r="P30" s="123"/>
      <c r="Q30" s="123"/>
      <c r="R30" s="114"/>
      <c r="S30" s="114"/>
      <c r="T30" s="114"/>
      <c r="U30" s="114"/>
      <c r="V30" s="114"/>
      <c r="W30" s="114"/>
      <c r="X30" s="118"/>
    </row>
    <row r="31">
      <c r="A31" s="115" t="s">
        <v>103</v>
      </c>
      <c r="B31" s="111" t="s">
        <v>1276</v>
      </c>
      <c r="C31" s="111" t="s">
        <v>1277</v>
      </c>
      <c r="D31" s="111" t="s">
        <v>2438</v>
      </c>
      <c r="E31" s="111" t="s">
        <v>56</v>
      </c>
      <c r="F31" s="113" t="s">
        <v>1233</v>
      </c>
      <c r="G31" s="113" t="s">
        <v>1233</v>
      </c>
      <c r="H31" s="113" t="s">
        <v>56</v>
      </c>
      <c r="I31" s="114" t="s">
        <v>1397</v>
      </c>
      <c r="J31" s="115" t="s">
        <v>1628</v>
      </c>
      <c r="K31" s="114" t="s">
        <v>2005</v>
      </c>
      <c r="L31" s="114"/>
      <c r="M31" s="114"/>
      <c r="N31" s="114"/>
      <c r="O31" s="121"/>
      <c r="P31" s="123"/>
      <c r="Q31" s="123"/>
      <c r="R31" s="114"/>
      <c r="S31" s="114"/>
      <c r="T31" s="114"/>
      <c r="U31" s="114"/>
      <c r="V31" s="114"/>
      <c r="W31" s="114"/>
      <c r="X31" s="118"/>
    </row>
    <row r="32">
      <c r="A32" s="115" t="s">
        <v>73</v>
      </c>
      <c r="B32" s="111" t="s">
        <v>1250</v>
      </c>
      <c r="C32" s="111" t="s">
        <v>1251</v>
      </c>
      <c r="D32" s="111" t="s">
        <v>2439</v>
      </c>
      <c r="E32" s="111" t="s">
        <v>56</v>
      </c>
      <c r="F32" s="113" t="s">
        <v>1233</v>
      </c>
      <c r="G32" s="113" t="s">
        <v>1233</v>
      </c>
      <c r="H32" s="113" t="s">
        <v>56</v>
      </c>
      <c r="I32" s="114" t="s">
        <v>1397</v>
      </c>
      <c r="J32" s="115" t="s">
        <v>1630</v>
      </c>
      <c r="K32" s="114" t="s">
        <v>2001</v>
      </c>
      <c r="L32" s="114"/>
      <c r="M32" s="114"/>
      <c r="N32" s="114"/>
      <c r="O32" s="121"/>
      <c r="P32" s="123"/>
      <c r="Q32" s="123"/>
      <c r="R32" s="114"/>
      <c r="S32" s="114"/>
      <c r="T32" s="114"/>
      <c r="U32" s="114"/>
      <c r="V32" s="114"/>
      <c r="W32" s="114"/>
      <c r="X32" s="118"/>
    </row>
    <row r="33">
      <c r="A33" s="115" t="s">
        <v>784</v>
      </c>
      <c r="B33" s="111" t="s">
        <v>1685</v>
      </c>
      <c r="C33" s="111" t="s">
        <v>1686</v>
      </c>
      <c r="D33" s="111" t="s">
        <v>2440</v>
      </c>
      <c r="E33" s="111" t="s">
        <v>56</v>
      </c>
      <c r="F33" s="113" t="s">
        <v>1233</v>
      </c>
      <c r="G33" s="113" t="s">
        <v>1233</v>
      </c>
      <c r="H33" s="113" t="s">
        <v>56</v>
      </c>
      <c r="I33" s="114" t="s">
        <v>1397</v>
      </c>
      <c r="J33" s="115" t="s">
        <v>1632</v>
      </c>
      <c r="K33" s="114" t="s">
        <v>2001</v>
      </c>
      <c r="L33" s="114"/>
      <c r="M33" s="114"/>
      <c r="N33" s="114"/>
      <c r="O33" s="121"/>
      <c r="P33" s="123"/>
      <c r="Q33" s="123"/>
      <c r="R33" s="114"/>
      <c r="S33" s="114"/>
      <c r="T33" s="114"/>
      <c r="U33" s="114"/>
      <c r="V33" s="114"/>
      <c r="W33" s="114"/>
      <c r="X33" s="118"/>
    </row>
    <row r="34">
      <c r="A34" s="115" t="s">
        <v>586</v>
      </c>
      <c r="B34" s="111" t="s">
        <v>1568</v>
      </c>
      <c r="C34" s="111" t="s">
        <v>1569</v>
      </c>
      <c r="D34" s="111" t="s">
        <v>2441</v>
      </c>
      <c r="E34" s="111" t="s">
        <v>56</v>
      </c>
      <c r="F34" s="113" t="s">
        <v>1233</v>
      </c>
      <c r="G34" s="113" t="s">
        <v>1233</v>
      </c>
      <c r="H34" s="113" t="s">
        <v>56</v>
      </c>
      <c r="I34" s="114" t="s">
        <v>1397</v>
      </c>
      <c r="J34" s="115" t="s">
        <v>1632</v>
      </c>
      <c r="K34" s="114" t="s">
        <v>2003</v>
      </c>
      <c r="L34" s="114"/>
      <c r="M34" s="114"/>
      <c r="N34" s="114"/>
      <c r="O34" s="121"/>
      <c r="P34" s="123"/>
      <c r="Q34" s="123"/>
      <c r="R34" s="114"/>
      <c r="S34" s="114"/>
      <c r="T34" s="114"/>
      <c r="U34" s="114"/>
      <c r="V34" s="114"/>
      <c r="W34" s="114"/>
      <c r="X34" s="118"/>
    </row>
    <row r="35">
      <c r="A35" s="115" t="s">
        <v>528</v>
      </c>
      <c r="B35" s="111" t="s">
        <v>1541</v>
      </c>
      <c r="C35" s="111" t="s">
        <v>1542</v>
      </c>
      <c r="D35" s="111" t="s">
        <v>2442</v>
      </c>
      <c r="E35" s="111" t="s">
        <v>56</v>
      </c>
      <c r="F35" s="113" t="s">
        <v>1233</v>
      </c>
      <c r="G35" s="113" t="s">
        <v>1233</v>
      </c>
      <c r="H35" s="113" t="s">
        <v>56</v>
      </c>
      <c r="I35" s="114" t="s">
        <v>1397</v>
      </c>
      <c r="J35" s="115" t="s">
        <v>1632</v>
      </c>
      <c r="K35" s="114" t="s">
        <v>2005</v>
      </c>
      <c r="L35" s="114"/>
      <c r="M35" s="114"/>
      <c r="N35" s="114"/>
      <c r="O35" s="121"/>
      <c r="P35" s="123"/>
      <c r="Q35" s="123"/>
      <c r="R35" s="114"/>
      <c r="S35" s="114"/>
      <c r="T35" s="114"/>
      <c r="U35" s="114"/>
      <c r="V35" s="114"/>
      <c r="W35" s="114"/>
      <c r="X35" s="118"/>
    </row>
    <row r="36">
      <c r="A36" s="115" t="s">
        <v>593</v>
      </c>
      <c r="B36" s="111" t="s">
        <v>1574</v>
      </c>
      <c r="C36" s="111" t="s">
        <v>1575</v>
      </c>
      <c r="D36" s="111" t="s">
        <v>2443</v>
      </c>
      <c r="E36" s="111" t="s">
        <v>56</v>
      </c>
      <c r="F36" s="113" t="s">
        <v>1233</v>
      </c>
      <c r="G36" s="113" t="s">
        <v>1233</v>
      </c>
      <c r="H36" s="113" t="s">
        <v>56</v>
      </c>
      <c r="I36" s="114" t="s">
        <v>1397</v>
      </c>
      <c r="J36" s="115" t="s">
        <v>1632</v>
      </c>
      <c r="K36" s="114" t="s">
        <v>2007</v>
      </c>
      <c r="L36" s="114"/>
      <c r="M36" s="114"/>
      <c r="N36" s="114"/>
      <c r="O36" s="121"/>
      <c r="P36" s="123"/>
      <c r="Q36" s="123"/>
      <c r="R36" s="114"/>
      <c r="S36" s="114"/>
      <c r="T36" s="114"/>
      <c r="U36" s="114"/>
      <c r="V36" s="114"/>
      <c r="W36" s="114"/>
      <c r="X36" s="118"/>
    </row>
    <row r="37">
      <c r="A37" s="115" t="s">
        <v>507</v>
      </c>
      <c r="B37" s="111" t="s">
        <v>1527</v>
      </c>
      <c r="C37" s="111" t="s">
        <v>1528</v>
      </c>
      <c r="D37" s="111" t="s">
        <v>2444</v>
      </c>
      <c r="E37" s="111" t="s">
        <v>56</v>
      </c>
      <c r="F37" s="113" t="s">
        <v>1233</v>
      </c>
      <c r="G37" s="113" t="s">
        <v>1233</v>
      </c>
      <c r="H37" s="113" t="s">
        <v>56</v>
      </c>
      <c r="I37" s="114" t="s">
        <v>1397</v>
      </c>
      <c r="J37" s="115" t="s">
        <v>1632</v>
      </c>
      <c r="K37" s="114" t="s">
        <v>2009</v>
      </c>
      <c r="L37" s="114"/>
      <c r="M37" s="114"/>
      <c r="N37" s="114"/>
      <c r="O37" s="121"/>
      <c r="P37" s="123"/>
      <c r="Q37" s="123"/>
      <c r="R37" s="114"/>
      <c r="S37" s="114"/>
      <c r="T37" s="114"/>
      <c r="U37" s="114"/>
      <c r="V37" s="114"/>
      <c r="W37" s="114"/>
      <c r="X37" s="118"/>
    </row>
    <row r="38">
      <c r="A38" s="115" t="s">
        <v>638</v>
      </c>
      <c r="B38" s="111" t="s">
        <v>1596</v>
      </c>
      <c r="C38" s="111" t="s">
        <v>1597</v>
      </c>
      <c r="D38" s="111" t="s">
        <v>2445</v>
      </c>
      <c r="E38" s="111" t="s">
        <v>56</v>
      </c>
      <c r="F38" s="113" t="s">
        <v>1233</v>
      </c>
      <c r="G38" s="113" t="s">
        <v>1233</v>
      </c>
      <c r="H38" s="113" t="s">
        <v>56</v>
      </c>
      <c r="I38" s="114" t="s">
        <v>1397</v>
      </c>
      <c r="J38" s="115" t="s">
        <v>1632</v>
      </c>
      <c r="K38" s="114" t="s">
        <v>2041</v>
      </c>
      <c r="L38" s="114"/>
      <c r="M38" s="114"/>
      <c r="N38" s="114"/>
      <c r="O38" s="121"/>
      <c r="P38" s="123"/>
      <c r="Q38" s="123"/>
      <c r="R38" s="114"/>
      <c r="S38" s="114"/>
      <c r="T38" s="114"/>
      <c r="U38" s="114"/>
      <c r="V38" s="114"/>
      <c r="W38" s="114"/>
      <c r="X38" s="118"/>
    </row>
    <row r="39">
      <c r="A39" s="115" t="s">
        <v>855</v>
      </c>
      <c r="B39" s="111" t="s">
        <v>1715</v>
      </c>
      <c r="C39" s="111" t="s">
        <v>1716</v>
      </c>
      <c r="D39" s="111" t="s">
        <v>2446</v>
      </c>
      <c r="E39" s="111" t="s">
        <v>56</v>
      </c>
      <c r="F39" s="113" t="s">
        <v>1233</v>
      </c>
      <c r="G39" s="113" t="s">
        <v>1233</v>
      </c>
      <c r="H39" s="113" t="s">
        <v>56</v>
      </c>
      <c r="I39" s="114" t="s">
        <v>1397</v>
      </c>
      <c r="J39" s="115" t="s">
        <v>1634</v>
      </c>
      <c r="K39" s="114" t="s">
        <v>2001</v>
      </c>
      <c r="L39" s="114"/>
      <c r="M39" s="114"/>
      <c r="N39" s="114"/>
      <c r="O39" s="121"/>
      <c r="P39" s="123"/>
      <c r="Q39" s="123"/>
      <c r="R39" s="114"/>
      <c r="S39" s="114"/>
      <c r="T39" s="114"/>
      <c r="U39" s="114"/>
      <c r="V39" s="114"/>
      <c r="W39" s="114"/>
      <c r="X39" s="118"/>
    </row>
    <row r="40">
      <c r="A40" s="115" t="s">
        <v>857</v>
      </c>
      <c r="B40" s="111" t="s">
        <v>1717</v>
      </c>
      <c r="C40" s="111" t="s">
        <v>1718</v>
      </c>
      <c r="D40" s="111" t="s">
        <v>2447</v>
      </c>
      <c r="E40" s="111" t="s">
        <v>56</v>
      </c>
      <c r="F40" s="113" t="s">
        <v>1233</v>
      </c>
      <c r="G40" s="113" t="s">
        <v>1233</v>
      </c>
      <c r="H40" s="113" t="s">
        <v>56</v>
      </c>
      <c r="I40" s="114" t="s">
        <v>1397</v>
      </c>
      <c r="J40" s="115" t="s">
        <v>1634</v>
      </c>
      <c r="K40" s="114" t="s">
        <v>2003</v>
      </c>
      <c r="L40" s="114"/>
      <c r="M40" s="114"/>
      <c r="N40" s="114"/>
      <c r="O40" s="121"/>
      <c r="P40" s="123"/>
      <c r="Q40" s="123"/>
      <c r="R40" s="114"/>
      <c r="S40" s="114"/>
      <c r="T40" s="114"/>
      <c r="U40" s="114"/>
      <c r="V40" s="114"/>
      <c r="W40" s="114"/>
      <c r="X40" s="118"/>
    </row>
    <row r="41">
      <c r="A41" s="115" t="s">
        <v>859</v>
      </c>
      <c r="B41" s="111" t="s">
        <v>1719</v>
      </c>
      <c r="C41" s="111" t="s">
        <v>1720</v>
      </c>
      <c r="D41" s="111" t="s">
        <v>2448</v>
      </c>
      <c r="E41" s="111" t="s">
        <v>56</v>
      </c>
      <c r="F41" s="113" t="s">
        <v>1233</v>
      </c>
      <c r="G41" s="113" t="s">
        <v>1233</v>
      </c>
      <c r="H41" s="113" t="s">
        <v>56</v>
      </c>
      <c r="I41" s="114" t="s">
        <v>1397</v>
      </c>
      <c r="J41" s="115" t="s">
        <v>1634</v>
      </c>
      <c r="K41" s="114" t="s">
        <v>2005</v>
      </c>
      <c r="L41" s="114"/>
      <c r="M41" s="114"/>
      <c r="N41" s="114"/>
      <c r="O41" s="121"/>
      <c r="P41" s="123"/>
      <c r="Q41" s="123"/>
      <c r="R41" s="114"/>
      <c r="S41" s="114"/>
      <c r="T41" s="114"/>
      <c r="U41" s="114"/>
      <c r="V41" s="114"/>
      <c r="W41" s="114"/>
      <c r="X41" s="118"/>
    </row>
    <row r="42">
      <c r="A42" s="115" t="s">
        <v>89</v>
      </c>
      <c r="B42" s="111" t="s">
        <v>1264</v>
      </c>
      <c r="C42" s="111" t="s">
        <v>1265</v>
      </c>
      <c r="D42" s="111" t="s">
        <v>2449</v>
      </c>
      <c r="E42" s="111" t="s">
        <v>56</v>
      </c>
      <c r="F42" s="113" t="s">
        <v>1233</v>
      </c>
      <c r="G42" s="113" t="s">
        <v>1233</v>
      </c>
      <c r="H42" s="113" t="s">
        <v>56</v>
      </c>
      <c r="I42" s="114" t="s">
        <v>1397</v>
      </c>
      <c r="J42" s="115" t="s">
        <v>1636</v>
      </c>
      <c r="K42" s="114" t="s">
        <v>2001</v>
      </c>
      <c r="L42" s="114"/>
      <c r="M42" s="114"/>
      <c r="N42" s="114"/>
      <c r="O42" s="121"/>
      <c r="P42" s="123"/>
      <c r="Q42" s="123"/>
      <c r="R42" s="114"/>
      <c r="S42" s="114"/>
      <c r="T42" s="114"/>
      <c r="U42" s="114"/>
      <c r="V42" s="114"/>
      <c r="W42" s="114"/>
      <c r="X42" s="118"/>
    </row>
    <row r="43">
      <c r="A43" s="115" t="s">
        <v>863</v>
      </c>
      <c r="B43" s="111" t="s">
        <v>1722</v>
      </c>
      <c r="C43" s="111" t="s">
        <v>1723</v>
      </c>
      <c r="D43" s="111" t="s">
        <v>2450</v>
      </c>
      <c r="E43" s="111" t="s">
        <v>56</v>
      </c>
      <c r="F43" s="113" t="s">
        <v>1233</v>
      </c>
      <c r="G43" s="113" t="s">
        <v>1233</v>
      </c>
      <c r="H43" s="113" t="s">
        <v>56</v>
      </c>
      <c r="I43" s="114" t="s">
        <v>1397</v>
      </c>
      <c r="J43" s="115" t="s">
        <v>1636</v>
      </c>
      <c r="K43" s="114" t="s">
        <v>2003</v>
      </c>
      <c r="L43" s="114"/>
      <c r="M43" s="114"/>
      <c r="N43" s="114"/>
      <c r="O43" s="121"/>
      <c r="P43" s="123"/>
      <c r="Q43" s="123"/>
      <c r="R43" s="114"/>
      <c r="S43" s="114"/>
      <c r="T43" s="114"/>
      <c r="U43" s="114"/>
      <c r="V43" s="114"/>
      <c r="W43" s="114"/>
      <c r="X43" s="118"/>
    </row>
    <row r="44">
      <c r="A44" s="115" t="s">
        <v>87</v>
      </c>
      <c r="B44" s="111" t="s">
        <v>1262</v>
      </c>
      <c r="C44" s="111" t="s">
        <v>1263</v>
      </c>
      <c r="D44" s="111" t="s">
        <v>2451</v>
      </c>
      <c r="E44" s="111" t="s">
        <v>56</v>
      </c>
      <c r="F44" s="113" t="s">
        <v>1233</v>
      </c>
      <c r="G44" s="113" t="s">
        <v>1233</v>
      </c>
      <c r="H44" s="113" t="s">
        <v>56</v>
      </c>
      <c r="I44" s="114" t="s">
        <v>1397</v>
      </c>
      <c r="J44" s="115" t="s">
        <v>1636</v>
      </c>
      <c r="K44" s="114" t="s">
        <v>2005</v>
      </c>
      <c r="L44" s="114"/>
      <c r="M44" s="114"/>
      <c r="N44" s="114"/>
      <c r="O44" s="121"/>
      <c r="P44" s="123"/>
      <c r="Q44" s="123"/>
      <c r="R44" s="114"/>
      <c r="S44" s="114"/>
      <c r="T44" s="114"/>
      <c r="U44" s="114"/>
      <c r="V44" s="114"/>
      <c r="W44" s="114"/>
      <c r="X44" s="118"/>
    </row>
    <row r="45">
      <c r="A45" s="115" t="s">
        <v>866</v>
      </c>
      <c r="B45" s="111" t="s">
        <v>1724</v>
      </c>
      <c r="C45" s="111" t="s">
        <v>1725</v>
      </c>
      <c r="D45" s="111" t="s">
        <v>2452</v>
      </c>
      <c r="E45" s="111" t="s">
        <v>56</v>
      </c>
      <c r="F45" s="113" t="s">
        <v>1233</v>
      </c>
      <c r="G45" s="113" t="s">
        <v>1233</v>
      </c>
      <c r="H45" s="113" t="s">
        <v>56</v>
      </c>
      <c r="I45" s="114" t="s">
        <v>1397</v>
      </c>
      <c r="J45" s="115" t="s">
        <v>1636</v>
      </c>
      <c r="K45" s="114" t="s">
        <v>2007</v>
      </c>
      <c r="L45" s="114"/>
      <c r="M45" s="114"/>
      <c r="N45" s="114"/>
      <c r="O45" s="121"/>
      <c r="P45" s="123"/>
      <c r="Q45" s="123"/>
      <c r="R45" s="114"/>
      <c r="S45" s="114"/>
      <c r="T45" s="114"/>
      <c r="U45" s="114"/>
      <c r="V45" s="114"/>
      <c r="W45" s="114"/>
      <c r="X45" s="118"/>
    </row>
    <row r="46">
      <c r="A46" s="115" t="s">
        <v>868</v>
      </c>
      <c r="B46" s="111" t="s">
        <v>1726</v>
      </c>
      <c r="C46" s="111" t="s">
        <v>1727</v>
      </c>
      <c r="D46" s="111" t="s">
        <v>2453</v>
      </c>
      <c r="E46" s="111" t="s">
        <v>56</v>
      </c>
      <c r="F46" s="113" t="s">
        <v>1233</v>
      </c>
      <c r="G46" s="113" t="s">
        <v>1233</v>
      </c>
      <c r="H46" s="113" t="s">
        <v>56</v>
      </c>
      <c r="I46" s="114" t="s">
        <v>1397</v>
      </c>
      <c r="J46" s="115" t="s">
        <v>1636</v>
      </c>
      <c r="K46" s="114" t="s">
        <v>2009</v>
      </c>
      <c r="L46" s="114"/>
      <c r="M46" s="114"/>
      <c r="N46" s="114"/>
      <c r="O46" s="121"/>
      <c r="P46" s="123"/>
      <c r="Q46" s="123"/>
      <c r="R46" s="114"/>
      <c r="S46" s="114"/>
      <c r="T46" s="114"/>
      <c r="U46" s="114"/>
      <c r="V46" s="114"/>
      <c r="W46" s="114"/>
      <c r="X46" s="118"/>
    </row>
    <row r="47">
      <c r="A47" s="115" t="s">
        <v>870</v>
      </c>
      <c r="B47" s="111" t="s">
        <v>1728</v>
      </c>
      <c r="C47" s="111" t="s">
        <v>1729</v>
      </c>
      <c r="D47" s="111" t="s">
        <v>2454</v>
      </c>
      <c r="E47" s="111" t="s">
        <v>56</v>
      </c>
      <c r="F47" s="113" t="s">
        <v>1233</v>
      </c>
      <c r="G47" s="113" t="s">
        <v>1233</v>
      </c>
      <c r="H47" s="113" t="s">
        <v>56</v>
      </c>
      <c r="I47" s="114" t="s">
        <v>1397</v>
      </c>
      <c r="J47" s="115" t="s">
        <v>1636</v>
      </c>
      <c r="K47" s="114" t="s">
        <v>2041</v>
      </c>
      <c r="L47" s="114"/>
      <c r="M47" s="114"/>
      <c r="N47" s="114"/>
      <c r="O47" s="121"/>
      <c r="P47" s="123"/>
      <c r="Q47" s="123"/>
      <c r="R47" s="114"/>
      <c r="S47" s="114"/>
      <c r="T47" s="114"/>
      <c r="U47" s="114"/>
      <c r="V47" s="114"/>
      <c r="W47" s="114"/>
      <c r="X47" s="118"/>
    </row>
    <row r="48">
      <c r="A48" s="115" t="s">
        <v>873</v>
      </c>
      <c r="B48" s="111" t="s">
        <v>1730</v>
      </c>
      <c r="C48" s="111" t="s">
        <v>1731</v>
      </c>
      <c r="D48" s="111" t="s">
        <v>2455</v>
      </c>
      <c r="E48" s="111" t="s">
        <v>56</v>
      </c>
      <c r="F48" s="113" t="s">
        <v>1233</v>
      </c>
      <c r="G48" s="113" t="s">
        <v>1233</v>
      </c>
      <c r="H48" s="113" t="s">
        <v>56</v>
      </c>
      <c r="I48" s="114" t="s">
        <v>1397</v>
      </c>
      <c r="J48" s="115" t="s">
        <v>1638</v>
      </c>
      <c r="K48" s="114" t="s">
        <v>2001</v>
      </c>
      <c r="L48" s="114"/>
      <c r="M48" s="114"/>
      <c r="N48" s="114"/>
      <c r="O48" s="121"/>
      <c r="P48" s="123"/>
      <c r="Q48" s="123"/>
      <c r="R48" s="114"/>
      <c r="S48" s="114"/>
      <c r="T48" s="114"/>
      <c r="U48" s="114"/>
      <c r="V48" s="114"/>
      <c r="W48" s="114"/>
      <c r="X48" s="118"/>
    </row>
    <row r="49">
      <c r="A49" s="115" t="s">
        <v>875</v>
      </c>
      <c r="B49" s="111" t="s">
        <v>1732</v>
      </c>
      <c r="C49" s="111" t="s">
        <v>1733</v>
      </c>
      <c r="D49" s="111" t="s">
        <v>2456</v>
      </c>
      <c r="E49" s="111" t="s">
        <v>56</v>
      </c>
      <c r="F49" s="113" t="s">
        <v>1233</v>
      </c>
      <c r="G49" s="113" t="s">
        <v>1233</v>
      </c>
      <c r="H49" s="113" t="s">
        <v>56</v>
      </c>
      <c r="I49" s="114" t="s">
        <v>1397</v>
      </c>
      <c r="J49" s="115" t="s">
        <v>1638</v>
      </c>
      <c r="K49" s="114" t="s">
        <v>2003</v>
      </c>
      <c r="L49" s="114"/>
      <c r="M49" s="114"/>
      <c r="N49" s="114"/>
      <c r="O49" s="121"/>
      <c r="P49" s="123"/>
      <c r="Q49" s="123"/>
      <c r="R49" s="114"/>
      <c r="S49" s="114"/>
      <c r="T49" s="114"/>
      <c r="U49" s="114"/>
      <c r="V49" s="114"/>
      <c r="W49" s="114"/>
      <c r="X49" s="118"/>
    </row>
    <row r="50">
      <c r="A50" s="115" t="s">
        <v>878</v>
      </c>
      <c r="B50" s="111" t="s">
        <v>1734</v>
      </c>
      <c r="C50" s="111" t="s">
        <v>1735</v>
      </c>
      <c r="D50" s="111" t="s">
        <v>2457</v>
      </c>
      <c r="E50" s="111" t="s">
        <v>56</v>
      </c>
      <c r="F50" s="113" t="s">
        <v>1233</v>
      </c>
      <c r="G50" s="113" t="s">
        <v>1233</v>
      </c>
      <c r="H50" s="113" t="s">
        <v>56</v>
      </c>
      <c r="I50" s="114" t="s">
        <v>1397</v>
      </c>
      <c r="J50" s="115" t="s">
        <v>1641</v>
      </c>
      <c r="K50" s="114" t="s">
        <v>2001</v>
      </c>
      <c r="L50" s="114"/>
      <c r="M50" s="114"/>
      <c r="N50" s="114"/>
      <c r="O50" s="121"/>
      <c r="P50" s="123"/>
      <c r="Q50" s="123"/>
      <c r="R50" s="114"/>
      <c r="S50" s="114"/>
      <c r="T50" s="114"/>
      <c r="U50" s="114"/>
      <c r="V50" s="114"/>
      <c r="W50" s="114"/>
      <c r="X50" s="118"/>
    </row>
    <row r="51">
      <c r="A51" s="115" t="s">
        <v>187</v>
      </c>
      <c r="B51" s="111" t="s">
        <v>1343</v>
      </c>
      <c r="C51" s="111" t="s">
        <v>1344</v>
      </c>
      <c r="D51" s="111" t="s">
        <v>2458</v>
      </c>
      <c r="E51" s="111" t="s">
        <v>56</v>
      </c>
      <c r="F51" s="113" t="s">
        <v>1233</v>
      </c>
      <c r="G51" s="113" t="s">
        <v>1233</v>
      </c>
      <c r="H51" s="113" t="s">
        <v>56</v>
      </c>
      <c r="I51" s="114" t="s">
        <v>1397</v>
      </c>
      <c r="J51" s="115" t="s">
        <v>1641</v>
      </c>
      <c r="K51" s="114" t="s">
        <v>2003</v>
      </c>
      <c r="L51" s="114"/>
      <c r="M51" s="114"/>
      <c r="N51" s="114"/>
      <c r="O51" s="121"/>
      <c r="P51" s="123"/>
      <c r="Q51" s="123"/>
      <c r="R51" s="114"/>
      <c r="S51" s="114"/>
      <c r="T51" s="114"/>
      <c r="U51" s="114"/>
      <c r="V51" s="114"/>
      <c r="W51" s="114"/>
      <c r="X51" s="118"/>
    </row>
    <row r="52">
      <c r="A52" s="115" t="s">
        <v>881</v>
      </c>
      <c r="B52" s="111" t="s">
        <v>1736</v>
      </c>
      <c r="C52" s="111" t="s">
        <v>1737</v>
      </c>
      <c r="D52" s="111" t="s">
        <v>2459</v>
      </c>
      <c r="E52" s="111" t="s">
        <v>56</v>
      </c>
      <c r="F52" s="113" t="s">
        <v>1233</v>
      </c>
      <c r="G52" s="113" t="s">
        <v>1233</v>
      </c>
      <c r="H52" s="113" t="s">
        <v>56</v>
      </c>
      <c r="I52" s="114" t="s">
        <v>1397</v>
      </c>
      <c r="J52" s="115" t="s">
        <v>1641</v>
      </c>
      <c r="K52" s="114" t="s">
        <v>2005</v>
      </c>
      <c r="L52" s="114"/>
      <c r="M52" s="114"/>
      <c r="N52" s="114"/>
      <c r="O52" s="121"/>
      <c r="P52" s="123"/>
      <c r="Q52" s="123"/>
      <c r="R52" s="114"/>
      <c r="S52" s="114"/>
      <c r="T52" s="114"/>
      <c r="U52" s="114"/>
      <c r="V52" s="114"/>
      <c r="W52" s="114"/>
      <c r="X52" s="118"/>
    </row>
    <row r="53">
      <c r="A53" s="115" t="s">
        <v>884</v>
      </c>
      <c r="B53" s="111" t="s">
        <v>1738</v>
      </c>
      <c r="C53" s="111" t="s">
        <v>1739</v>
      </c>
      <c r="D53" s="111" t="s">
        <v>2460</v>
      </c>
      <c r="E53" s="111" t="s">
        <v>56</v>
      </c>
      <c r="F53" s="113" t="s">
        <v>1233</v>
      </c>
      <c r="G53" s="113" t="s">
        <v>1233</v>
      </c>
      <c r="H53" s="113" t="s">
        <v>56</v>
      </c>
      <c r="I53" s="114" t="s">
        <v>1397</v>
      </c>
      <c r="J53" s="115" t="s">
        <v>1643</v>
      </c>
      <c r="K53" s="114" t="s">
        <v>2001</v>
      </c>
      <c r="L53" s="114"/>
      <c r="M53" s="114"/>
      <c r="N53" s="114"/>
      <c r="O53" s="121"/>
      <c r="P53" s="123"/>
      <c r="Q53" s="123"/>
      <c r="R53" s="114"/>
      <c r="S53" s="114"/>
      <c r="T53" s="114"/>
      <c r="U53" s="114"/>
      <c r="V53" s="114"/>
      <c r="W53" s="114"/>
      <c r="X53" s="118"/>
    </row>
    <row r="54">
      <c r="A54" s="115" t="s">
        <v>878</v>
      </c>
      <c r="B54" s="111" t="s">
        <v>1734</v>
      </c>
      <c r="C54" s="111" t="s">
        <v>1735</v>
      </c>
      <c r="D54" s="111" t="s">
        <v>2461</v>
      </c>
      <c r="E54" s="111" t="s">
        <v>56</v>
      </c>
      <c r="F54" s="113" t="s">
        <v>1233</v>
      </c>
      <c r="G54" s="113" t="s">
        <v>1233</v>
      </c>
      <c r="H54" s="113" t="s">
        <v>56</v>
      </c>
      <c r="I54" s="114" t="s">
        <v>1397</v>
      </c>
      <c r="J54" s="115" t="s">
        <v>1643</v>
      </c>
      <c r="K54" s="114" t="s">
        <v>2003</v>
      </c>
      <c r="L54" s="114"/>
      <c r="M54" s="114"/>
      <c r="N54" s="114"/>
      <c r="O54" s="121"/>
      <c r="P54" s="123"/>
      <c r="Q54" s="123"/>
      <c r="R54" s="114"/>
      <c r="S54" s="114"/>
      <c r="T54" s="114"/>
      <c r="U54" s="114"/>
      <c r="V54" s="114"/>
      <c r="W54" s="114"/>
      <c r="X54" s="118"/>
    </row>
    <row r="55">
      <c r="A55" s="115" t="s">
        <v>878</v>
      </c>
      <c r="B55" s="111" t="s">
        <v>1734</v>
      </c>
      <c r="C55" s="111" t="s">
        <v>1735</v>
      </c>
      <c r="D55" s="111" t="s">
        <v>2462</v>
      </c>
      <c r="E55" s="111" t="s">
        <v>56</v>
      </c>
      <c r="F55" s="113" t="s">
        <v>1233</v>
      </c>
      <c r="G55" s="113" t="s">
        <v>1233</v>
      </c>
      <c r="H55" s="113" t="s">
        <v>56</v>
      </c>
      <c r="I55" s="114" t="s">
        <v>1397</v>
      </c>
      <c r="J55" s="115" t="s">
        <v>1645</v>
      </c>
      <c r="K55" s="114" t="s">
        <v>2001</v>
      </c>
      <c r="L55" s="114"/>
      <c r="M55" s="114"/>
      <c r="N55" s="114"/>
      <c r="O55" s="121"/>
      <c r="P55" s="123"/>
      <c r="Q55" s="123"/>
      <c r="R55" s="114"/>
      <c r="S55" s="114"/>
      <c r="T55" s="114"/>
      <c r="U55" s="114"/>
      <c r="V55" s="114"/>
      <c r="W55" s="114"/>
      <c r="X55" s="118"/>
    </row>
    <row r="56">
      <c r="A56" s="115" t="s">
        <v>187</v>
      </c>
      <c r="B56" s="111" t="s">
        <v>1343</v>
      </c>
      <c r="C56" s="111" t="s">
        <v>1344</v>
      </c>
      <c r="D56" s="111" t="s">
        <v>2463</v>
      </c>
      <c r="E56" s="111" t="s">
        <v>56</v>
      </c>
      <c r="F56" s="113" t="s">
        <v>1233</v>
      </c>
      <c r="G56" s="113" t="s">
        <v>1233</v>
      </c>
      <c r="H56" s="113" t="s">
        <v>56</v>
      </c>
      <c r="I56" s="114" t="s">
        <v>1397</v>
      </c>
      <c r="J56" s="115" t="s">
        <v>1645</v>
      </c>
      <c r="K56" s="114" t="s">
        <v>2003</v>
      </c>
      <c r="L56" s="114"/>
      <c r="M56" s="114"/>
      <c r="N56" s="114"/>
      <c r="O56" s="121"/>
      <c r="P56" s="123"/>
      <c r="Q56" s="123"/>
      <c r="R56" s="114"/>
      <c r="S56" s="114"/>
      <c r="T56" s="114"/>
      <c r="U56" s="114"/>
      <c r="V56" s="114"/>
      <c r="W56" s="114"/>
      <c r="X56" s="118"/>
    </row>
    <row r="57">
      <c r="A57" s="115" t="s">
        <v>891</v>
      </c>
      <c r="B57" s="111" t="s">
        <v>1740</v>
      </c>
      <c r="C57" s="111" t="s">
        <v>1741</v>
      </c>
      <c r="D57" s="111" t="s">
        <v>2464</v>
      </c>
      <c r="E57" s="111" t="s">
        <v>56</v>
      </c>
      <c r="F57" s="113" t="s">
        <v>1233</v>
      </c>
      <c r="G57" s="113" t="s">
        <v>1233</v>
      </c>
      <c r="H57" s="113" t="s">
        <v>56</v>
      </c>
      <c r="I57" s="114" t="s">
        <v>1397</v>
      </c>
      <c r="J57" s="115" t="s">
        <v>1647</v>
      </c>
      <c r="K57" s="114" t="s">
        <v>2001</v>
      </c>
      <c r="L57" s="114"/>
      <c r="M57" s="114"/>
      <c r="N57" s="114"/>
      <c r="O57" s="121"/>
      <c r="P57" s="123"/>
      <c r="Q57" s="123"/>
      <c r="R57" s="114"/>
      <c r="S57" s="114"/>
      <c r="T57" s="114"/>
      <c r="U57" s="114"/>
      <c r="V57" s="114"/>
      <c r="W57" s="114"/>
      <c r="X57" s="118"/>
    </row>
    <row r="58">
      <c r="A58" s="115" t="s">
        <v>893</v>
      </c>
      <c r="B58" s="111" t="s">
        <v>1742</v>
      </c>
      <c r="C58" s="111" t="s">
        <v>1743</v>
      </c>
      <c r="D58" s="111" t="s">
        <v>2465</v>
      </c>
      <c r="E58" s="111" t="s">
        <v>56</v>
      </c>
      <c r="F58" s="113" t="s">
        <v>1233</v>
      </c>
      <c r="G58" s="113" t="s">
        <v>1233</v>
      </c>
      <c r="H58" s="113" t="s">
        <v>56</v>
      </c>
      <c r="I58" s="114" t="s">
        <v>1397</v>
      </c>
      <c r="J58" s="115" t="s">
        <v>1647</v>
      </c>
      <c r="K58" s="114" t="s">
        <v>2003</v>
      </c>
      <c r="L58" s="114"/>
      <c r="M58" s="114"/>
      <c r="N58" s="114"/>
      <c r="O58" s="121"/>
      <c r="P58" s="123"/>
      <c r="Q58" s="123"/>
      <c r="R58" s="114"/>
      <c r="S58" s="114"/>
      <c r="T58" s="114"/>
      <c r="U58" s="114"/>
      <c r="V58" s="114"/>
      <c r="W58" s="114"/>
      <c r="X58" s="118"/>
    </row>
    <row r="59">
      <c r="A59" s="115" t="s">
        <v>53</v>
      </c>
      <c r="B59" s="111" t="s">
        <v>1240</v>
      </c>
      <c r="C59" s="111" t="s">
        <v>1241</v>
      </c>
      <c r="D59" s="111" t="s">
        <v>2466</v>
      </c>
      <c r="E59" s="111" t="s">
        <v>56</v>
      </c>
      <c r="F59" s="113" t="s">
        <v>1233</v>
      </c>
      <c r="G59" s="113" t="s">
        <v>1233</v>
      </c>
      <c r="H59" s="113" t="s">
        <v>56</v>
      </c>
      <c r="I59" s="114" t="s">
        <v>1397</v>
      </c>
      <c r="J59" s="115" t="s">
        <v>1649</v>
      </c>
      <c r="K59" s="114" t="s">
        <v>2001</v>
      </c>
      <c r="L59" s="114"/>
      <c r="M59" s="114"/>
      <c r="N59" s="114"/>
      <c r="O59" s="121"/>
      <c r="P59" s="123"/>
      <c r="Q59" s="123"/>
      <c r="R59" s="114"/>
      <c r="S59" s="114"/>
      <c r="T59" s="114"/>
      <c r="U59" s="114"/>
      <c r="V59" s="114"/>
      <c r="W59" s="114"/>
      <c r="X59" s="118"/>
    </row>
    <row r="60">
      <c r="A60" s="115" t="s">
        <v>53</v>
      </c>
      <c r="B60" s="111" t="s">
        <v>1240</v>
      </c>
      <c r="C60" s="111" t="s">
        <v>1241</v>
      </c>
      <c r="D60" s="111" t="s">
        <v>2467</v>
      </c>
      <c r="E60" s="111" t="s">
        <v>56</v>
      </c>
      <c r="F60" s="113" t="s">
        <v>1233</v>
      </c>
      <c r="G60" s="113" t="s">
        <v>1233</v>
      </c>
      <c r="H60" s="113" t="s">
        <v>56</v>
      </c>
      <c r="I60" s="114" t="s">
        <v>1397</v>
      </c>
      <c r="J60" s="115" t="s">
        <v>1651</v>
      </c>
      <c r="K60" s="114" t="s">
        <v>2001</v>
      </c>
      <c r="L60" s="114"/>
      <c r="M60" s="114"/>
      <c r="N60" s="114"/>
      <c r="O60" s="121"/>
      <c r="P60" s="123"/>
      <c r="Q60" s="123"/>
      <c r="R60" s="114"/>
      <c r="S60" s="114"/>
      <c r="T60" s="114"/>
      <c r="U60" s="114"/>
      <c r="V60" s="114"/>
      <c r="W60" s="114"/>
      <c r="X60" s="118"/>
    </row>
    <row r="61">
      <c r="A61" s="115" t="s">
        <v>53</v>
      </c>
      <c r="B61" s="111" t="s">
        <v>1240</v>
      </c>
      <c r="C61" s="111" t="s">
        <v>1241</v>
      </c>
      <c r="D61" s="111" t="s">
        <v>2468</v>
      </c>
      <c r="E61" s="111" t="s">
        <v>56</v>
      </c>
      <c r="F61" s="113" t="s">
        <v>1233</v>
      </c>
      <c r="G61" s="113" t="s">
        <v>1233</v>
      </c>
      <c r="H61" s="113" t="s">
        <v>56</v>
      </c>
      <c r="I61" s="114" t="s">
        <v>1397</v>
      </c>
      <c r="J61" s="115" t="s">
        <v>1653</v>
      </c>
      <c r="K61" s="114" t="s">
        <v>2001</v>
      </c>
      <c r="L61" s="114"/>
      <c r="M61" s="114"/>
      <c r="N61" s="114"/>
      <c r="O61" s="121"/>
      <c r="P61" s="123"/>
      <c r="Q61" s="123"/>
      <c r="R61" s="114"/>
      <c r="S61" s="114"/>
      <c r="T61" s="114"/>
      <c r="U61" s="114"/>
      <c r="V61" s="114"/>
      <c r="W61" s="114"/>
      <c r="X61" s="118"/>
    </row>
    <row r="62">
      <c r="A62" s="115" t="s">
        <v>53</v>
      </c>
      <c r="B62" s="111" t="s">
        <v>1240</v>
      </c>
      <c r="C62" s="111" t="s">
        <v>1241</v>
      </c>
      <c r="D62" s="111" t="s">
        <v>2469</v>
      </c>
      <c r="E62" s="111" t="s">
        <v>56</v>
      </c>
      <c r="F62" s="113" t="s">
        <v>1233</v>
      </c>
      <c r="G62" s="113" t="s">
        <v>1233</v>
      </c>
      <c r="H62" s="113" t="s">
        <v>56</v>
      </c>
      <c r="I62" s="114" t="s">
        <v>1397</v>
      </c>
      <c r="J62" s="115" t="s">
        <v>1655</v>
      </c>
      <c r="K62" s="114" t="s">
        <v>2001</v>
      </c>
      <c r="L62" s="114"/>
      <c r="M62" s="114"/>
      <c r="N62" s="114"/>
      <c r="O62" s="121"/>
      <c r="P62" s="123"/>
      <c r="Q62" s="123"/>
      <c r="R62" s="114"/>
      <c r="S62" s="114"/>
      <c r="T62" s="114"/>
      <c r="U62" s="114"/>
      <c r="V62" s="114"/>
      <c r="W62" s="114"/>
      <c r="X62" s="118"/>
    </row>
    <row r="63">
      <c r="A63" s="115" t="s">
        <v>901</v>
      </c>
      <c r="B63" s="111" t="s">
        <v>1744</v>
      </c>
      <c r="C63" s="111" t="s">
        <v>1745</v>
      </c>
      <c r="D63" s="111" t="s">
        <v>2470</v>
      </c>
      <c r="E63" s="111" t="s">
        <v>56</v>
      </c>
      <c r="F63" s="113" t="s">
        <v>1233</v>
      </c>
      <c r="G63" s="113" t="s">
        <v>1233</v>
      </c>
      <c r="H63" s="113" t="s">
        <v>56</v>
      </c>
      <c r="I63" s="114" t="s">
        <v>1397</v>
      </c>
      <c r="J63" s="115" t="s">
        <v>1657</v>
      </c>
      <c r="K63" s="114" t="s">
        <v>2001</v>
      </c>
      <c r="L63" s="114"/>
      <c r="M63" s="114"/>
      <c r="N63" s="114"/>
      <c r="O63" s="121"/>
      <c r="P63" s="123"/>
      <c r="Q63" s="123"/>
      <c r="R63" s="114"/>
      <c r="S63" s="114"/>
      <c r="T63" s="114"/>
      <c r="U63" s="114"/>
      <c r="V63" s="114"/>
      <c r="W63" s="114"/>
      <c r="X63" s="118"/>
    </row>
    <row r="64">
      <c r="A64" s="115" t="s">
        <v>903</v>
      </c>
      <c r="B64" s="111" t="s">
        <v>1746</v>
      </c>
      <c r="C64" s="111" t="s">
        <v>1747</v>
      </c>
      <c r="D64" s="111" t="s">
        <v>2471</v>
      </c>
      <c r="E64" s="111" t="s">
        <v>56</v>
      </c>
      <c r="F64" s="113" t="s">
        <v>1233</v>
      </c>
      <c r="G64" s="113" t="s">
        <v>1233</v>
      </c>
      <c r="H64" s="113" t="s">
        <v>56</v>
      </c>
      <c r="I64" s="114" t="s">
        <v>1397</v>
      </c>
      <c r="J64" s="115" t="s">
        <v>1659</v>
      </c>
      <c r="K64" s="114" t="s">
        <v>2001</v>
      </c>
      <c r="L64" s="114"/>
      <c r="M64" s="114"/>
      <c r="N64" s="114"/>
      <c r="O64" s="121"/>
      <c r="P64" s="123"/>
      <c r="Q64" s="123"/>
      <c r="R64" s="114"/>
      <c r="S64" s="114"/>
      <c r="T64" s="114"/>
      <c r="U64" s="114"/>
      <c r="V64" s="114"/>
      <c r="W64" s="114"/>
      <c r="X64" s="118"/>
    </row>
    <row r="65">
      <c r="A65" s="115" t="s">
        <v>53</v>
      </c>
      <c r="B65" s="111" t="s">
        <v>1240</v>
      </c>
      <c r="C65" s="111" t="s">
        <v>1241</v>
      </c>
      <c r="D65" s="111" t="s">
        <v>2472</v>
      </c>
      <c r="E65" s="111" t="s">
        <v>56</v>
      </c>
      <c r="F65" s="113" t="s">
        <v>1233</v>
      </c>
      <c r="G65" s="113" t="s">
        <v>1233</v>
      </c>
      <c r="H65" s="113" t="s">
        <v>56</v>
      </c>
      <c r="I65" s="114" t="s">
        <v>1397</v>
      </c>
      <c r="J65" s="115" t="s">
        <v>1661</v>
      </c>
      <c r="K65" s="114" t="s">
        <v>2001</v>
      </c>
      <c r="L65" s="114"/>
      <c r="M65" s="114"/>
      <c r="N65" s="114"/>
      <c r="O65" s="121"/>
      <c r="P65" s="123"/>
      <c r="Q65" s="123"/>
      <c r="R65" s="114"/>
      <c r="S65" s="114"/>
      <c r="T65" s="114"/>
      <c r="U65" s="114"/>
      <c r="V65" s="114"/>
      <c r="W65" s="114"/>
      <c r="X65" s="118"/>
    </row>
    <row r="66">
      <c r="A66" s="115" t="s">
        <v>906</v>
      </c>
      <c r="B66" s="111" t="s">
        <v>1748</v>
      </c>
      <c r="C66" s="111" t="s">
        <v>1749</v>
      </c>
      <c r="D66" s="111" t="s">
        <v>2473</v>
      </c>
      <c r="E66" s="111" t="s">
        <v>56</v>
      </c>
      <c r="F66" s="113" t="s">
        <v>1233</v>
      </c>
      <c r="G66" s="113" t="s">
        <v>1233</v>
      </c>
      <c r="H66" s="113" t="s">
        <v>56</v>
      </c>
      <c r="I66" s="114" t="s">
        <v>1397</v>
      </c>
      <c r="J66" s="115" t="s">
        <v>1663</v>
      </c>
      <c r="K66" s="114" t="s">
        <v>2001</v>
      </c>
      <c r="L66" s="114"/>
      <c r="M66" s="114"/>
      <c r="N66" s="114"/>
      <c r="O66" s="121"/>
      <c r="P66" s="123"/>
      <c r="Q66" s="123"/>
      <c r="R66" s="114"/>
      <c r="S66" s="114"/>
      <c r="T66" s="114"/>
      <c r="U66" s="114"/>
      <c r="V66" s="114"/>
      <c r="W66" s="114"/>
      <c r="X66" s="118"/>
    </row>
    <row r="67">
      <c r="A67" s="115" t="s">
        <v>53</v>
      </c>
      <c r="B67" s="111" t="s">
        <v>1240</v>
      </c>
      <c r="C67" s="111" t="s">
        <v>1241</v>
      </c>
      <c r="D67" s="111" t="s">
        <v>2474</v>
      </c>
      <c r="E67" s="111" t="s">
        <v>56</v>
      </c>
      <c r="F67" s="113" t="s">
        <v>1233</v>
      </c>
      <c r="G67" s="113" t="s">
        <v>1233</v>
      </c>
      <c r="H67" s="113" t="s">
        <v>56</v>
      </c>
      <c r="I67" s="114" t="s">
        <v>1397</v>
      </c>
      <c r="J67" s="115" t="s">
        <v>1663</v>
      </c>
      <c r="K67" s="114" t="s">
        <v>2003</v>
      </c>
      <c r="L67" s="114"/>
      <c r="M67" s="114"/>
      <c r="N67" s="114"/>
      <c r="O67" s="121"/>
      <c r="P67" s="123"/>
      <c r="Q67" s="123"/>
      <c r="R67" s="114"/>
      <c r="S67" s="114"/>
      <c r="T67" s="114"/>
      <c r="U67" s="114"/>
      <c r="V67" s="114"/>
      <c r="W67" s="114"/>
      <c r="X67" s="118"/>
    </row>
    <row r="68">
      <c r="A68" s="115" t="s">
        <v>53</v>
      </c>
      <c r="B68" s="111" t="s">
        <v>1240</v>
      </c>
      <c r="C68" s="111" t="s">
        <v>1241</v>
      </c>
      <c r="D68" s="111" t="s">
        <v>2475</v>
      </c>
      <c r="E68" s="111" t="s">
        <v>56</v>
      </c>
      <c r="F68" s="113" t="s">
        <v>1233</v>
      </c>
      <c r="G68" s="113" t="s">
        <v>1233</v>
      </c>
      <c r="H68" s="113" t="s">
        <v>56</v>
      </c>
      <c r="I68" s="114" t="s">
        <v>1397</v>
      </c>
      <c r="J68" s="115" t="s">
        <v>1665</v>
      </c>
      <c r="K68" s="114" t="s">
        <v>2001</v>
      </c>
      <c r="L68" s="114"/>
      <c r="M68" s="114"/>
      <c r="N68" s="114"/>
      <c r="O68" s="121"/>
      <c r="P68" s="123"/>
      <c r="Q68" s="123"/>
      <c r="R68" s="114"/>
      <c r="S68" s="114"/>
      <c r="T68" s="114"/>
      <c r="U68" s="114"/>
      <c r="V68" s="114"/>
      <c r="W68" s="114"/>
      <c r="X68" s="118"/>
    </row>
    <row r="69">
      <c r="A69" s="115" t="s">
        <v>909</v>
      </c>
      <c r="B69" s="111" t="s">
        <v>1750</v>
      </c>
      <c r="C69" s="111" t="s">
        <v>1751</v>
      </c>
      <c r="D69" s="111" t="s">
        <v>2476</v>
      </c>
      <c r="E69" s="111" t="s">
        <v>56</v>
      </c>
      <c r="F69" s="113" t="s">
        <v>1233</v>
      </c>
      <c r="G69" s="113" t="s">
        <v>1233</v>
      </c>
      <c r="H69" s="113" t="s">
        <v>56</v>
      </c>
      <c r="I69" s="114" t="s">
        <v>1397</v>
      </c>
      <c r="J69" s="115" t="s">
        <v>1667</v>
      </c>
      <c r="K69" s="114" t="s">
        <v>2001</v>
      </c>
      <c r="L69" s="114"/>
      <c r="M69" s="114"/>
      <c r="N69" s="114"/>
      <c r="O69" s="121"/>
      <c r="P69" s="123"/>
      <c r="Q69" s="123"/>
      <c r="R69" s="114"/>
      <c r="S69" s="114"/>
      <c r="T69" s="114"/>
      <c r="U69" s="114"/>
      <c r="V69" s="114"/>
      <c r="W69" s="114"/>
      <c r="X69" s="118"/>
    </row>
    <row r="70">
      <c r="A70" s="115" t="s">
        <v>912</v>
      </c>
      <c r="B70" s="111" t="s">
        <v>1752</v>
      </c>
      <c r="C70" s="111" t="s">
        <v>1753</v>
      </c>
      <c r="D70" s="111" t="s">
        <v>2477</v>
      </c>
      <c r="E70" s="111" t="s">
        <v>56</v>
      </c>
      <c r="F70" s="113" t="s">
        <v>1233</v>
      </c>
      <c r="G70" s="113" t="s">
        <v>1233</v>
      </c>
      <c r="H70" s="113" t="s">
        <v>56</v>
      </c>
      <c r="I70" s="114" t="s">
        <v>1397</v>
      </c>
      <c r="J70" s="115" t="s">
        <v>1669</v>
      </c>
      <c r="K70" s="114" t="s">
        <v>2001</v>
      </c>
      <c r="L70" s="114"/>
      <c r="M70" s="114"/>
      <c r="N70" s="114"/>
      <c r="O70" s="121"/>
      <c r="P70" s="123"/>
      <c r="Q70" s="123"/>
      <c r="R70" s="114"/>
      <c r="S70" s="114"/>
      <c r="T70" s="114"/>
      <c r="U70" s="114"/>
      <c r="V70" s="114"/>
      <c r="W70" s="114"/>
      <c r="X70" s="118"/>
    </row>
    <row r="71">
      <c r="A71" s="115" t="s">
        <v>59</v>
      </c>
      <c r="B71" s="111" t="s">
        <v>1242</v>
      </c>
      <c r="C71" s="111" t="s">
        <v>1243</v>
      </c>
      <c r="D71" s="111" t="s">
        <v>2478</v>
      </c>
      <c r="E71" s="111" t="s">
        <v>56</v>
      </c>
      <c r="F71" s="113" t="s">
        <v>1233</v>
      </c>
      <c r="G71" s="113" t="s">
        <v>1233</v>
      </c>
      <c r="H71" s="113" t="s">
        <v>56</v>
      </c>
      <c r="I71" s="114" t="s">
        <v>1397</v>
      </c>
      <c r="J71" s="115" t="s">
        <v>1671</v>
      </c>
      <c r="K71" s="114" t="s">
        <v>2001</v>
      </c>
      <c r="L71" s="114"/>
      <c r="M71" s="114"/>
      <c r="N71" s="114"/>
      <c r="O71" s="121"/>
      <c r="P71" s="123"/>
      <c r="Q71" s="123"/>
      <c r="R71" s="114"/>
      <c r="S71" s="114"/>
      <c r="T71" s="114"/>
      <c r="U71" s="114"/>
      <c r="V71" s="114"/>
      <c r="W71" s="114"/>
      <c r="X71" s="118"/>
    </row>
    <row r="72">
      <c r="A72" s="115" t="s">
        <v>59</v>
      </c>
      <c r="B72" s="111" t="s">
        <v>1242</v>
      </c>
      <c r="C72" s="111" t="s">
        <v>1243</v>
      </c>
      <c r="D72" s="111" t="s">
        <v>2479</v>
      </c>
      <c r="E72" s="111" t="s">
        <v>56</v>
      </c>
      <c r="F72" s="113" t="s">
        <v>1233</v>
      </c>
      <c r="G72" s="113" t="s">
        <v>1233</v>
      </c>
      <c r="H72" s="113" t="s">
        <v>56</v>
      </c>
      <c r="I72" s="114" t="s">
        <v>1397</v>
      </c>
      <c r="J72" s="115" t="s">
        <v>1673</v>
      </c>
      <c r="K72" s="114" t="s">
        <v>2001</v>
      </c>
      <c r="L72" s="114"/>
      <c r="M72" s="114"/>
      <c r="N72" s="114"/>
      <c r="O72" s="121"/>
      <c r="P72" s="123"/>
      <c r="Q72" s="123"/>
      <c r="R72" s="114"/>
      <c r="S72" s="114"/>
      <c r="T72" s="114"/>
      <c r="U72" s="114"/>
      <c r="V72" s="114"/>
      <c r="W72" s="114"/>
      <c r="X72" s="118"/>
    </row>
    <row r="73">
      <c r="A73" s="115" t="s">
        <v>916</v>
      </c>
      <c r="B73" s="111" t="s">
        <v>1754</v>
      </c>
      <c r="C73" s="111" t="s">
        <v>1755</v>
      </c>
      <c r="D73" s="111" t="s">
        <v>2480</v>
      </c>
      <c r="E73" s="111" t="s">
        <v>56</v>
      </c>
      <c r="F73" s="113" t="s">
        <v>1233</v>
      </c>
      <c r="G73" s="113" t="s">
        <v>1233</v>
      </c>
      <c r="H73" s="113" t="s">
        <v>56</v>
      </c>
      <c r="I73" s="114" t="s">
        <v>1397</v>
      </c>
      <c r="J73" s="115" t="s">
        <v>1675</v>
      </c>
      <c r="K73" s="114" t="s">
        <v>2001</v>
      </c>
      <c r="L73" s="114"/>
      <c r="M73" s="114"/>
      <c r="N73" s="114"/>
      <c r="O73" s="121"/>
      <c r="P73" s="123"/>
      <c r="Q73" s="123"/>
      <c r="R73" s="114"/>
      <c r="S73" s="114"/>
      <c r="T73" s="114"/>
      <c r="U73" s="114"/>
      <c r="V73" s="114"/>
      <c r="W73" s="114"/>
      <c r="X73" s="118"/>
    </row>
    <row r="74">
      <c r="A74" s="115" t="s">
        <v>916</v>
      </c>
      <c r="B74" s="111" t="s">
        <v>1754</v>
      </c>
      <c r="C74" s="111" t="s">
        <v>1755</v>
      </c>
      <c r="D74" s="111" t="s">
        <v>2481</v>
      </c>
      <c r="E74" s="111" t="s">
        <v>56</v>
      </c>
      <c r="F74" s="113" t="s">
        <v>1233</v>
      </c>
      <c r="G74" s="113" t="s">
        <v>1233</v>
      </c>
      <c r="H74" s="113" t="s">
        <v>56</v>
      </c>
      <c r="I74" s="114" t="s">
        <v>1397</v>
      </c>
      <c r="J74" s="115" t="s">
        <v>1675</v>
      </c>
      <c r="K74" s="114" t="s">
        <v>2003</v>
      </c>
      <c r="L74" s="114"/>
      <c r="M74" s="114"/>
      <c r="N74" s="114"/>
      <c r="O74" s="121"/>
      <c r="P74" s="123"/>
      <c r="Q74" s="123"/>
      <c r="R74" s="114"/>
      <c r="S74" s="114"/>
      <c r="T74" s="114"/>
      <c r="U74" s="114"/>
      <c r="V74" s="114"/>
      <c r="W74" s="114"/>
      <c r="X74" s="118"/>
    </row>
    <row r="75">
      <c r="A75" s="115" t="s">
        <v>916</v>
      </c>
      <c r="B75" s="111" t="s">
        <v>1754</v>
      </c>
      <c r="C75" s="111" t="s">
        <v>1755</v>
      </c>
      <c r="D75" s="111" t="s">
        <v>2482</v>
      </c>
      <c r="E75" s="111" t="s">
        <v>56</v>
      </c>
      <c r="F75" s="113" t="s">
        <v>1233</v>
      </c>
      <c r="G75" s="113" t="s">
        <v>1233</v>
      </c>
      <c r="H75" s="113" t="s">
        <v>56</v>
      </c>
      <c r="I75" s="114" t="s">
        <v>1397</v>
      </c>
      <c r="J75" s="115" t="s">
        <v>1677</v>
      </c>
      <c r="K75" s="114" t="s">
        <v>2001</v>
      </c>
      <c r="L75" s="114"/>
      <c r="M75" s="114"/>
      <c r="N75" s="114"/>
      <c r="O75" s="121"/>
      <c r="P75" s="123"/>
      <c r="Q75" s="123"/>
      <c r="R75" s="114"/>
      <c r="S75" s="114"/>
      <c r="T75" s="114"/>
      <c r="U75" s="114"/>
      <c r="V75" s="114"/>
      <c r="W75" s="114"/>
      <c r="X75" s="118"/>
    </row>
    <row r="76">
      <c r="A76" s="115" t="s">
        <v>916</v>
      </c>
      <c r="B76" s="111" t="s">
        <v>1754</v>
      </c>
      <c r="C76" s="111" t="s">
        <v>1755</v>
      </c>
      <c r="D76" s="111" t="s">
        <v>2483</v>
      </c>
      <c r="E76" s="111" t="s">
        <v>56</v>
      </c>
      <c r="F76" s="113" t="s">
        <v>1233</v>
      </c>
      <c r="G76" s="113" t="s">
        <v>1233</v>
      </c>
      <c r="H76" s="113" t="s">
        <v>56</v>
      </c>
      <c r="I76" s="114" t="s">
        <v>1397</v>
      </c>
      <c r="J76" s="115" t="s">
        <v>1679</v>
      </c>
      <c r="K76" s="114" t="s">
        <v>2001</v>
      </c>
      <c r="L76" s="114"/>
      <c r="M76" s="114"/>
      <c r="N76" s="114"/>
      <c r="O76" s="121"/>
      <c r="P76" s="123"/>
      <c r="Q76" s="123"/>
      <c r="R76" s="114"/>
      <c r="S76" s="114"/>
      <c r="T76" s="114"/>
      <c r="U76" s="114"/>
      <c r="V76" s="114"/>
      <c r="W76" s="114"/>
      <c r="X76" s="118"/>
    </row>
    <row r="77">
      <c r="A77" s="115" t="s">
        <v>922</v>
      </c>
      <c r="B77" s="111" t="s">
        <v>1756</v>
      </c>
      <c r="C77" s="111" t="s">
        <v>1757</v>
      </c>
      <c r="D77" s="111" t="s">
        <v>2484</v>
      </c>
      <c r="E77" s="111" t="s">
        <v>56</v>
      </c>
      <c r="F77" s="113" t="s">
        <v>1233</v>
      </c>
      <c r="G77" s="113" t="s">
        <v>1233</v>
      </c>
      <c r="H77" s="113" t="s">
        <v>56</v>
      </c>
      <c r="I77" s="114" t="s">
        <v>1397</v>
      </c>
      <c r="J77" s="115" t="s">
        <v>1679</v>
      </c>
      <c r="K77" s="114" t="s">
        <v>2003</v>
      </c>
      <c r="L77" s="114"/>
      <c r="M77" s="114"/>
      <c r="N77" s="114"/>
      <c r="O77" s="121"/>
      <c r="P77" s="123"/>
      <c r="Q77" s="123"/>
      <c r="R77" s="114"/>
      <c r="S77" s="114"/>
      <c r="T77" s="114"/>
      <c r="U77" s="114"/>
      <c r="V77" s="114"/>
      <c r="W77" s="114"/>
      <c r="X77" s="118"/>
    </row>
    <row r="78">
      <c r="A78" s="115" t="s">
        <v>925</v>
      </c>
      <c r="B78" s="111" t="s">
        <v>1758</v>
      </c>
      <c r="C78" s="111" t="s">
        <v>1759</v>
      </c>
      <c r="D78" s="111" t="s">
        <v>2485</v>
      </c>
      <c r="E78" s="111" t="s">
        <v>56</v>
      </c>
      <c r="F78" s="113" t="s">
        <v>1233</v>
      </c>
      <c r="G78" s="113" t="s">
        <v>1233</v>
      </c>
      <c r="H78" s="113" t="s">
        <v>56</v>
      </c>
      <c r="I78" s="114" t="s">
        <v>1397</v>
      </c>
      <c r="J78" s="115" t="s">
        <v>1681</v>
      </c>
      <c r="K78" s="114" t="s">
        <v>2001</v>
      </c>
      <c r="L78" s="114"/>
      <c r="M78" s="114"/>
      <c r="N78" s="114"/>
      <c r="O78" s="121"/>
      <c r="P78" s="123"/>
      <c r="Q78" s="123"/>
      <c r="R78" s="114"/>
      <c r="S78" s="114"/>
      <c r="T78" s="114"/>
      <c r="U78" s="114"/>
      <c r="V78" s="114"/>
      <c r="W78" s="114"/>
      <c r="X78" s="118"/>
    </row>
    <row r="79">
      <c r="A79" s="115" t="s">
        <v>929</v>
      </c>
      <c r="B79" s="111" t="s">
        <v>1760</v>
      </c>
      <c r="C79" s="111" t="s">
        <v>1761</v>
      </c>
      <c r="D79" s="111" t="s">
        <v>2486</v>
      </c>
      <c r="E79" s="111" t="s">
        <v>56</v>
      </c>
      <c r="F79" s="113" t="s">
        <v>1233</v>
      </c>
      <c r="G79" s="113" t="s">
        <v>1233</v>
      </c>
      <c r="H79" s="113" t="s">
        <v>56</v>
      </c>
      <c r="I79" s="114" t="s">
        <v>1397</v>
      </c>
      <c r="J79" s="115" t="s">
        <v>1683</v>
      </c>
      <c r="K79" s="114" t="s">
        <v>2001</v>
      </c>
      <c r="L79" s="114"/>
      <c r="M79" s="114"/>
      <c r="N79" s="114"/>
      <c r="O79" s="121"/>
      <c r="P79" s="123"/>
      <c r="Q79" s="123"/>
      <c r="R79" s="114"/>
      <c r="S79" s="114"/>
      <c r="T79" s="114"/>
      <c r="U79" s="114"/>
      <c r="V79" s="114"/>
      <c r="W79" s="114"/>
      <c r="X79" s="118"/>
    </row>
    <row r="80">
      <c r="A80" s="115" t="s">
        <v>932</v>
      </c>
      <c r="B80" s="111" t="s">
        <v>1762</v>
      </c>
      <c r="C80" s="111" t="s">
        <v>1763</v>
      </c>
      <c r="D80" s="111" t="s">
        <v>2487</v>
      </c>
      <c r="E80" s="111" t="s">
        <v>56</v>
      </c>
      <c r="F80" s="113" t="s">
        <v>1233</v>
      </c>
      <c r="G80" s="113" t="s">
        <v>1233</v>
      </c>
      <c r="H80" s="113" t="s">
        <v>56</v>
      </c>
      <c r="I80" s="114" t="s">
        <v>1397</v>
      </c>
      <c r="J80" s="115" t="s">
        <v>1685</v>
      </c>
      <c r="K80" s="114" t="s">
        <v>2001</v>
      </c>
      <c r="L80" s="114"/>
      <c r="M80" s="114"/>
      <c r="N80" s="114"/>
      <c r="O80" s="121"/>
      <c r="P80" s="123"/>
      <c r="Q80" s="123"/>
      <c r="R80" s="114"/>
      <c r="S80" s="114"/>
      <c r="T80" s="114"/>
      <c r="U80" s="114"/>
      <c r="V80" s="114"/>
      <c r="W80" s="114"/>
      <c r="X80" s="118"/>
    </row>
  </sheetData>
  <mergeCells count="4">
    <mergeCell ref="A1:B1"/>
    <mergeCell ref="F1:H1"/>
    <mergeCell ref="I1:P1"/>
    <mergeCell ref="Q1:X1"/>
  </mergeCells>
  <conditionalFormatting sqref="G3 O3 L4:L80 T4:T80">
    <cfRule type="cellIs" dxfId="3" priority="1" operator="equal">
      <formula>"Yes"</formula>
    </cfRule>
  </conditionalFormatting>
  <conditionalFormatting sqref="G3 O3 L4:L80 T4:T80">
    <cfRule type="cellIs" dxfId="4" priority="2" operator="equal">
      <formula>"No"</formula>
    </cfRule>
  </conditionalFormatting>
  <conditionalFormatting sqref="G3 O3 L4:L80 T4:T80">
    <cfRule type="cellIs" dxfId="5" priority="3" operator="equal">
      <formula>"Maybe"</formula>
    </cfRule>
  </conditionalFormatting>
  <conditionalFormatting sqref="H3 M4:M80 U4:U80">
    <cfRule type="cellIs" dxfId="3" priority="4" operator="equal">
      <formula>"No Issues"</formula>
    </cfRule>
  </conditionalFormatting>
  <conditionalFormatting sqref="H3 M4:M80 U4:U80">
    <cfRule type="cellIs" dxfId="4" priority="5" operator="equal">
      <formula>"Unresolved Issue"</formula>
    </cfRule>
  </conditionalFormatting>
  <conditionalFormatting sqref="H3 M4:M80 U4:U80">
    <cfRule type="cellIs" dxfId="6" priority="6" operator="equal">
      <formula>"Repaired Issue"</formula>
    </cfRule>
  </conditionalFormatting>
  <conditionalFormatting sqref="H3 M4:M80 U4:U80">
    <cfRule type="cellIs" dxfId="7" priority="7" operator="equal">
      <formula>"To Check (RCC)"</formula>
    </cfRule>
  </conditionalFormatting>
  <dataValidations>
    <dataValidation type="list" allowBlank="1" sqref="O3 L4:L80 T4:T80">
      <formula1>"Yes,Maybe,No"</formula1>
    </dataValidation>
    <dataValidation type="list" allowBlank="1" sqref="M4:M80 U4:U80">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s>
  <drawing r:id="rId15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3">IF($A$3:$A83&lt;&gt;"", XLOOKUP($A$3:$A83, Sourcepull!$B$3:$B83, Sourcepull!$A$3:$A83, ""), "")</f>
        <v/>
      </c>
      <c r="C3" s="57" t="str">
        <f t="array" ref="C3:C83">if($A$3:$A83&lt;&gt;"","SP-"&amp;$B$3:$B83&amp;"-"&amp;$A$3:$A83&amp;".pdf", "")</f>
        <v>SP--Keep this row hidden / do not edit!.pdf</v>
      </c>
      <c r="D3" s="57" t="str">
        <f t="array" ref="D3:D83">if($J$3:$J83&lt;&gt;"","R1-"&amp;$J$3:$J83&amp;"-"&amp;$K$3:$K83&amp;"-"&amp;$B$3:$B83&amp;"-"&amp;$A$3:$A83&amp;".pdf", "")</f>
        <v/>
      </c>
      <c r="E3" s="57" t="str">
        <f t="array" ref="E3:E83">if($R$3:$R83&lt;&gt;"","R2-"&amp;$R$3:$R83&amp;"-"&amp;$S$3:$S83&amp;"-"&amp;$B$3:$B83&amp;"-"&amp;$A$3:$A83&amp;".pdf", "")</f>
        <v/>
      </c>
      <c r="F3" s="107" t="str">
        <f t="array" ref="F3:F83">if($C$3:$C83 &lt;&gt; "", hyperlink("https://drive.google.com/drive/search?q=parent:" &amp; Properties!$C$8 &amp; "%20" &amp; char(34) &amp; $C$3:$C83 &amp; char(34), "➔"), "")</f>
        <v>➔</v>
      </c>
      <c r="G3" s="107" t="str">
        <f t="array" ref="G3:G83">if($D$3:$D83 &lt;&gt; "", hyperlink("https://drive.google.com/drive/search?q=parent:" &amp; Properties!$C$9 &amp; "%20" &amp; char(34) &amp; $D$3:$D83 &amp; char(34), "➔"), "")</f>
        <v/>
      </c>
      <c r="H3" s="107" t="str">
        <f t="array" ref="H3:H83">if($E$3:$E83 &lt;&gt; "", hyperlink("https://drive.google.com/drive/search?q=parent:" &amp; Properties!$C$10 &amp; "%20" &amp; char(34) &amp; $E$3:$E83 &amp; char(34), "➔"), "")</f>
        <v/>
      </c>
      <c r="I3" s="57"/>
      <c r="J3" s="57"/>
      <c r="K3" s="57"/>
      <c r="L3" s="57"/>
      <c r="M3" s="57"/>
      <c r="N3" s="57"/>
      <c r="O3" s="57"/>
      <c r="P3" s="108"/>
      <c r="Q3" s="109"/>
      <c r="R3" s="57"/>
      <c r="S3" s="57"/>
      <c r="T3" s="57"/>
      <c r="U3" s="57"/>
      <c r="V3" s="57"/>
      <c r="W3" s="57"/>
      <c r="X3" s="57"/>
    </row>
    <row r="4">
      <c r="A4" s="110" t="s">
        <v>187</v>
      </c>
      <c r="B4" s="111" t="s">
        <v>1343</v>
      </c>
      <c r="C4" s="111" t="s">
        <v>1344</v>
      </c>
      <c r="D4" s="111" t="s">
        <v>2488</v>
      </c>
      <c r="E4" s="111" t="s">
        <v>56</v>
      </c>
      <c r="F4" s="112" t="s">
        <v>1233</v>
      </c>
      <c r="G4" s="113" t="s">
        <v>1233</v>
      </c>
      <c r="H4" s="113" t="s">
        <v>56</v>
      </c>
      <c r="I4" s="114" t="s">
        <v>1640</v>
      </c>
      <c r="J4" s="115" t="s">
        <v>1687</v>
      </c>
      <c r="K4" s="114" t="s">
        <v>2001</v>
      </c>
      <c r="L4" s="114"/>
      <c r="M4" s="114"/>
      <c r="N4" s="114"/>
      <c r="O4" s="114"/>
      <c r="P4" s="116"/>
      <c r="Q4" s="117"/>
      <c r="R4" s="114"/>
      <c r="S4" s="114"/>
      <c r="T4" s="114"/>
      <c r="U4" s="114"/>
      <c r="V4" s="114"/>
      <c r="W4" s="114"/>
      <c r="X4" s="118"/>
    </row>
    <row r="5">
      <c r="A5" s="115" t="s">
        <v>936</v>
      </c>
      <c r="B5" s="111" t="s">
        <v>1764</v>
      </c>
      <c r="C5" s="111" t="s">
        <v>1765</v>
      </c>
      <c r="D5" s="111" t="s">
        <v>2489</v>
      </c>
      <c r="E5" s="111" t="s">
        <v>56</v>
      </c>
      <c r="F5" s="113" t="s">
        <v>1233</v>
      </c>
      <c r="G5" s="113" t="s">
        <v>1233</v>
      </c>
      <c r="H5" s="113" t="s">
        <v>56</v>
      </c>
      <c r="I5" s="114" t="s">
        <v>1640</v>
      </c>
      <c r="J5" s="115" t="s">
        <v>1687</v>
      </c>
      <c r="K5" s="114" t="s">
        <v>2003</v>
      </c>
      <c r="L5" s="114"/>
      <c r="M5" s="114"/>
      <c r="N5" s="119"/>
      <c r="O5" s="114"/>
      <c r="P5" s="120"/>
      <c r="Q5" s="117"/>
      <c r="R5" s="114"/>
      <c r="S5" s="114"/>
      <c r="T5" s="114"/>
      <c r="U5" s="114"/>
      <c r="V5" s="114"/>
      <c r="W5" s="114"/>
      <c r="X5" s="118"/>
    </row>
    <row r="6">
      <c r="A6" s="115" t="s">
        <v>939</v>
      </c>
      <c r="B6" s="111" t="s">
        <v>1766</v>
      </c>
      <c r="C6" s="111" t="s">
        <v>1767</v>
      </c>
      <c r="D6" s="111" t="s">
        <v>2490</v>
      </c>
      <c r="E6" s="111" t="s">
        <v>56</v>
      </c>
      <c r="F6" s="113" t="s">
        <v>1233</v>
      </c>
      <c r="G6" s="113" t="s">
        <v>1233</v>
      </c>
      <c r="H6" s="113" t="s">
        <v>56</v>
      </c>
      <c r="I6" s="114" t="s">
        <v>1640</v>
      </c>
      <c r="J6" s="115" t="s">
        <v>1689</v>
      </c>
      <c r="K6" s="114" t="s">
        <v>2001</v>
      </c>
      <c r="L6" s="114"/>
      <c r="M6" s="114"/>
      <c r="N6" s="114"/>
      <c r="O6" s="121"/>
      <c r="P6" s="116"/>
      <c r="Q6" s="117"/>
      <c r="R6" s="114"/>
      <c r="S6" s="114"/>
      <c r="T6" s="114"/>
      <c r="U6" s="114"/>
      <c r="V6" s="114"/>
      <c r="W6" s="114"/>
      <c r="X6" s="118"/>
    </row>
    <row r="7">
      <c r="A7" s="115" t="s">
        <v>586</v>
      </c>
      <c r="B7" s="111" t="s">
        <v>1568</v>
      </c>
      <c r="C7" s="111" t="s">
        <v>1569</v>
      </c>
      <c r="D7" s="111" t="s">
        <v>2491</v>
      </c>
      <c r="E7" s="111" t="s">
        <v>56</v>
      </c>
      <c r="F7" s="113" t="s">
        <v>1233</v>
      </c>
      <c r="G7" s="113" t="s">
        <v>1233</v>
      </c>
      <c r="H7" s="113" t="s">
        <v>56</v>
      </c>
      <c r="I7" s="114" t="s">
        <v>1640</v>
      </c>
      <c r="J7" s="115" t="s">
        <v>1691</v>
      </c>
      <c r="K7" s="114" t="s">
        <v>2001</v>
      </c>
      <c r="L7" s="114"/>
      <c r="M7" s="114"/>
      <c r="N7" s="114"/>
      <c r="O7" s="121"/>
      <c r="P7" s="122"/>
      <c r="Q7" s="123"/>
      <c r="R7" s="114"/>
      <c r="S7" s="114"/>
      <c r="T7" s="114"/>
      <c r="U7" s="114"/>
      <c r="V7" s="114"/>
      <c r="W7" s="114"/>
      <c r="X7" s="118"/>
    </row>
    <row r="8">
      <c r="A8" s="115" t="s">
        <v>786</v>
      </c>
      <c r="B8" s="111" t="s">
        <v>1687</v>
      </c>
      <c r="C8" s="111" t="s">
        <v>1688</v>
      </c>
      <c r="D8" s="111" t="s">
        <v>2492</v>
      </c>
      <c r="E8" s="111" t="s">
        <v>56</v>
      </c>
      <c r="F8" s="113" t="s">
        <v>1233</v>
      </c>
      <c r="G8" s="113" t="s">
        <v>1233</v>
      </c>
      <c r="H8" s="113" t="s">
        <v>56</v>
      </c>
      <c r="I8" s="114" t="s">
        <v>1640</v>
      </c>
      <c r="J8" s="115" t="s">
        <v>1691</v>
      </c>
      <c r="K8" s="114" t="s">
        <v>2003</v>
      </c>
      <c r="L8" s="114"/>
      <c r="M8" s="114"/>
      <c r="N8" s="114"/>
      <c r="O8" s="121"/>
      <c r="P8" s="122"/>
      <c r="Q8" s="123"/>
      <c r="R8" s="114"/>
      <c r="S8" s="114"/>
      <c r="T8" s="114"/>
      <c r="U8" s="114"/>
      <c r="V8" s="114"/>
      <c r="W8" s="114"/>
      <c r="X8" s="118"/>
    </row>
    <row r="9">
      <c r="A9" s="115" t="s">
        <v>782</v>
      </c>
      <c r="B9" s="111" t="s">
        <v>1683</v>
      </c>
      <c r="C9" s="111" t="s">
        <v>1684</v>
      </c>
      <c r="D9" s="111" t="s">
        <v>2493</v>
      </c>
      <c r="E9" s="111" t="s">
        <v>56</v>
      </c>
      <c r="F9" s="113" t="s">
        <v>1233</v>
      </c>
      <c r="G9" s="113" t="s">
        <v>1233</v>
      </c>
      <c r="H9" s="113" t="s">
        <v>56</v>
      </c>
      <c r="I9" s="114" t="s">
        <v>1640</v>
      </c>
      <c r="J9" s="115" t="s">
        <v>1691</v>
      </c>
      <c r="K9" s="114" t="s">
        <v>2005</v>
      </c>
      <c r="L9" s="114"/>
      <c r="M9" s="114"/>
      <c r="N9" s="114"/>
      <c r="O9" s="121"/>
      <c r="P9" s="122"/>
      <c r="Q9" s="123"/>
      <c r="R9" s="114"/>
      <c r="S9" s="114"/>
      <c r="T9" s="114"/>
      <c r="U9" s="114"/>
      <c r="V9" s="114"/>
      <c r="W9" s="114"/>
      <c r="X9" s="118"/>
    </row>
    <row r="10">
      <c r="A10" s="115" t="s">
        <v>769</v>
      </c>
      <c r="B10" s="111" t="s">
        <v>1677</v>
      </c>
      <c r="C10" s="111" t="s">
        <v>1678</v>
      </c>
      <c r="D10" s="111" t="s">
        <v>2494</v>
      </c>
      <c r="E10" s="111" t="s">
        <v>56</v>
      </c>
      <c r="F10" s="113" t="s">
        <v>1233</v>
      </c>
      <c r="G10" s="113" t="s">
        <v>1233</v>
      </c>
      <c r="H10" s="113" t="s">
        <v>56</v>
      </c>
      <c r="I10" s="114" t="s">
        <v>1640</v>
      </c>
      <c r="J10" s="115" t="s">
        <v>1693</v>
      </c>
      <c r="K10" s="114" t="s">
        <v>2001</v>
      </c>
      <c r="L10" s="114"/>
      <c r="M10" s="114"/>
      <c r="N10" s="114"/>
      <c r="O10" s="121"/>
      <c r="P10" s="122"/>
      <c r="Q10" s="123"/>
      <c r="R10" s="114"/>
      <c r="S10" s="114"/>
      <c r="T10" s="114"/>
      <c r="U10" s="114"/>
      <c r="V10" s="114"/>
      <c r="W10" s="114"/>
      <c r="X10" s="118"/>
    </row>
    <row r="11">
      <c r="A11" s="115" t="s">
        <v>946</v>
      </c>
      <c r="B11" s="111" t="s">
        <v>1768</v>
      </c>
      <c r="C11" s="111" t="s">
        <v>1769</v>
      </c>
      <c r="D11" s="111" t="s">
        <v>2495</v>
      </c>
      <c r="E11" s="111" t="s">
        <v>56</v>
      </c>
      <c r="F11" s="113" t="s">
        <v>1233</v>
      </c>
      <c r="G11" s="113" t="s">
        <v>1233</v>
      </c>
      <c r="H11" s="113" t="s">
        <v>56</v>
      </c>
      <c r="I11" s="114" t="s">
        <v>1640</v>
      </c>
      <c r="J11" s="115" t="s">
        <v>1693</v>
      </c>
      <c r="K11" s="114" t="s">
        <v>2003</v>
      </c>
      <c r="L11" s="114"/>
      <c r="M11" s="114"/>
      <c r="N11" s="114"/>
      <c r="O11" s="121"/>
      <c r="P11" s="122"/>
      <c r="Q11" s="123"/>
      <c r="R11" s="114"/>
      <c r="S11" s="114"/>
      <c r="T11" s="114"/>
      <c r="U11" s="114"/>
      <c r="V11" s="114"/>
      <c r="W11" s="114"/>
      <c r="X11" s="118"/>
    </row>
    <row r="12">
      <c r="A12" s="115" t="s">
        <v>731</v>
      </c>
      <c r="B12" s="111" t="s">
        <v>1657</v>
      </c>
      <c r="C12" s="111" t="s">
        <v>1658</v>
      </c>
      <c r="D12" s="111" t="s">
        <v>2496</v>
      </c>
      <c r="E12" s="111" t="s">
        <v>56</v>
      </c>
      <c r="F12" s="113" t="s">
        <v>1233</v>
      </c>
      <c r="G12" s="113" t="s">
        <v>1233</v>
      </c>
      <c r="H12" s="113" t="s">
        <v>56</v>
      </c>
      <c r="I12" s="114" t="s">
        <v>1640</v>
      </c>
      <c r="J12" s="115" t="s">
        <v>1695</v>
      </c>
      <c r="K12" s="114" t="s">
        <v>2001</v>
      </c>
      <c r="L12" s="114"/>
      <c r="M12" s="114"/>
      <c r="N12" s="114"/>
      <c r="O12" s="121"/>
      <c r="P12" s="123"/>
      <c r="Q12" s="123"/>
      <c r="R12" s="114"/>
      <c r="S12" s="114"/>
      <c r="T12" s="114"/>
      <c r="U12" s="114"/>
      <c r="V12" s="114"/>
      <c r="W12" s="114"/>
      <c r="X12" s="118"/>
    </row>
    <row r="13">
      <c r="A13" s="115" t="s">
        <v>736</v>
      </c>
      <c r="B13" s="111" t="s">
        <v>1659</v>
      </c>
      <c r="C13" s="111" t="s">
        <v>1660</v>
      </c>
      <c r="D13" s="111" t="s">
        <v>2497</v>
      </c>
      <c r="E13" s="111" t="s">
        <v>56</v>
      </c>
      <c r="F13" s="113" t="s">
        <v>1233</v>
      </c>
      <c r="G13" s="113" t="s">
        <v>1233</v>
      </c>
      <c r="H13" s="113" t="s">
        <v>56</v>
      </c>
      <c r="I13" s="114" t="s">
        <v>1640</v>
      </c>
      <c r="J13" s="115" t="s">
        <v>1697</v>
      </c>
      <c r="K13" s="114" t="s">
        <v>2001</v>
      </c>
      <c r="L13" s="114"/>
      <c r="M13" s="114"/>
      <c r="N13" s="114"/>
      <c r="O13" s="121"/>
      <c r="P13" s="123"/>
      <c r="Q13" s="123"/>
      <c r="R13" s="114"/>
      <c r="S13" s="114"/>
      <c r="T13" s="114"/>
      <c r="U13" s="114"/>
      <c r="V13" s="114"/>
      <c r="W13" s="114"/>
      <c r="X13" s="118"/>
    </row>
    <row r="14">
      <c r="A14" s="115" t="s">
        <v>736</v>
      </c>
      <c r="B14" s="111" t="s">
        <v>1659</v>
      </c>
      <c r="C14" s="111" t="s">
        <v>1660</v>
      </c>
      <c r="D14" s="111" t="s">
        <v>2498</v>
      </c>
      <c r="E14" s="111" t="s">
        <v>56</v>
      </c>
      <c r="F14" s="113" t="s">
        <v>1233</v>
      </c>
      <c r="G14" s="113" t="s">
        <v>1233</v>
      </c>
      <c r="H14" s="113" t="s">
        <v>56</v>
      </c>
      <c r="I14" s="114" t="s">
        <v>1640</v>
      </c>
      <c r="J14" s="115" t="s">
        <v>1699</v>
      </c>
      <c r="K14" s="114" t="s">
        <v>2001</v>
      </c>
      <c r="L14" s="114"/>
      <c r="M14" s="114"/>
      <c r="N14" s="114"/>
      <c r="O14" s="121"/>
      <c r="P14" s="123"/>
      <c r="Q14" s="123"/>
      <c r="R14" s="114"/>
      <c r="S14" s="114"/>
      <c r="T14" s="114"/>
      <c r="U14" s="114"/>
      <c r="V14" s="114"/>
      <c r="W14" s="114"/>
      <c r="X14" s="118"/>
    </row>
    <row r="15">
      <c r="A15" s="115" t="s">
        <v>821</v>
      </c>
      <c r="B15" s="111" t="s">
        <v>1701</v>
      </c>
      <c r="C15" s="111" t="s">
        <v>1702</v>
      </c>
      <c r="D15" s="111" t="s">
        <v>2499</v>
      </c>
      <c r="E15" s="111" t="s">
        <v>56</v>
      </c>
      <c r="F15" s="113" t="s">
        <v>1233</v>
      </c>
      <c r="G15" s="113" t="s">
        <v>1233</v>
      </c>
      <c r="H15" s="113" t="s">
        <v>56</v>
      </c>
      <c r="I15" s="114" t="s">
        <v>1640</v>
      </c>
      <c r="J15" s="115" t="s">
        <v>1701</v>
      </c>
      <c r="K15" s="114" t="s">
        <v>2001</v>
      </c>
      <c r="L15" s="114"/>
      <c r="M15" s="114"/>
      <c r="N15" s="114"/>
      <c r="O15" s="121"/>
      <c r="P15" s="123"/>
      <c r="Q15" s="123"/>
      <c r="R15" s="114"/>
      <c r="S15" s="114"/>
      <c r="T15" s="114"/>
      <c r="U15" s="114"/>
      <c r="V15" s="114"/>
      <c r="W15" s="114"/>
      <c r="X15" s="118"/>
    </row>
    <row r="16">
      <c r="A16" s="115" t="s">
        <v>821</v>
      </c>
      <c r="B16" s="111" t="s">
        <v>1701</v>
      </c>
      <c r="C16" s="111" t="s">
        <v>1702</v>
      </c>
      <c r="D16" s="111" t="s">
        <v>2500</v>
      </c>
      <c r="E16" s="111" t="s">
        <v>56</v>
      </c>
      <c r="F16" s="113" t="s">
        <v>1233</v>
      </c>
      <c r="G16" s="113" t="s">
        <v>1233</v>
      </c>
      <c r="H16" s="113" t="s">
        <v>56</v>
      </c>
      <c r="I16" s="114" t="s">
        <v>1640</v>
      </c>
      <c r="J16" s="115" t="s">
        <v>1701</v>
      </c>
      <c r="K16" s="114" t="s">
        <v>2003</v>
      </c>
      <c r="L16" s="114"/>
      <c r="M16" s="114"/>
      <c r="N16" s="114"/>
      <c r="O16" s="121"/>
      <c r="P16" s="123"/>
      <c r="Q16" s="123"/>
      <c r="R16" s="114"/>
      <c r="S16" s="114"/>
      <c r="T16" s="114"/>
      <c r="U16" s="114"/>
      <c r="V16" s="114"/>
      <c r="W16" s="114"/>
      <c r="X16" s="118"/>
    </row>
    <row r="17">
      <c r="A17" s="115" t="s">
        <v>719</v>
      </c>
      <c r="B17" s="111" t="s">
        <v>1647</v>
      </c>
      <c r="C17" s="111" t="s">
        <v>1648</v>
      </c>
      <c r="D17" s="111" t="s">
        <v>2501</v>
      </c>
      <c r="E17" s="111" t="s">
        <v>56</v>
      </c>
      <c r="F17" s="113" t="s">
        <v>1233</v>
      </c>
      <c r="G17" s="113" t="s">
        <v>1233</v>
      </c>
      <c r="H17" s="113" t="s">
        <v>56</v>
      </c>
      <c r="I17" s="114" t="s">
        <v>1640</v>
      </c>
      <c r="J17" s="115" t="s">
        <v>1703</v>
      </c>
      <c r="K17" s="114" t="s">
        <v>2001</v>
      </c>
      <c r="L17" s="114"/>
      <c r="M17" s="114"/>
      <c r="N17" s="114"/>
      <c r="O17" s="121"/>
      <c r="P17" s="123"/>
      <c r="Q17" s="123"/>
      <c r="R17" s="114"/>
      <c r="S17" s="114"/>
      <c r="T17" s="114"/>
      <c r="U17" s="114"/>
      <c r="V17" s="114"/>
      <c r="W17" s="114"/>
      <c r="X17" s="118"/>
    </row>
    <row r="18">
      <c r="A18" s="115" t="s">
        <v>717</v>
      </c>
      <c r="B18" s="111" t="s">
        <v>1645</v>
      </c>
      <c r="C18" s="111" t="s">
        <v>1646</v>
      </c>
      <c r="D18" s="111" t="s">
        <v>2502</v>
      </c>
      <c r="E18" s="111" t="s">
        <v>56</v>
      </c>
      <c r="F18" s="113" t="s">
        <v>1233</v>
      </c>
      <c r="G18" s="113" t="s">
        <v>1233</v>
      </c>
      <c r="H18" s="113" t="s">
        <v>56</v>
      </c>
      <c r="I18" s="114" t="s">
        <v>1640</v>
      </c>
      <c r="J18" s="115" t="s">
        <v>1705</v>
      </c>
      <c r="K18" s="114" t="s">
        <v>2001</v>
      </c>
      <c r="L18" s="114"/>
      <c r="M18" s="114"/>
      <c r="N18" s="114"/>
      <c r="O18" s="121"/>
      <c r="P18" s="123"/>
      <c r="Q18" s="123"/>
      <c r="R18" s="114"/>
      <c r="S18" s="114"/>
      <c r="T18" s="114"/>
      <c r="U18" s="114"/>
      <c r="V18" s="114"/>
      <c r="W18" s="114"/>
      <c r="X18" s="118"/>
    </row>
    <row r="19">
      <c r="A19" s="115" t="s">
        <v>717</v>
      </c>
      <c r="B19" s="111" t="s">
        <v>1645</v>
      </c>
      <c r="C19" s="111" t="s">
        <v>1646</v>
      </c>
      <c r="D19" s="111" t="s">
        <v>2503</v>
      </c>
      <c r="E19" s="111" t="s">
        <v>56</v>
      </c>
      <c r="F19" s="113" t="s">
        <v>1233</v>
      </c>
      <c r="G19" s="113" t="s">
        <v>1233</v>
      </c>
      <c r="H19" s="113" t="s">
        <v>56</v>
      </c>
      <c r="I19" s="114" t="s">
        <v>1640</v>
      </c>
      <c r="J19" s="115" t="s">
        <v>1707</v>
      </c>
      <c r="K19" s="114" t="s">
        <v>2001</v>
      </c>
      <c r="L19" s="114"/>
      <c r="M19" s="114"/>
      <c r="N19" s="114"/>
      <c r="O19" s="121"/>
      <c r="P19" s="123"/>
      <c r="Q19" s="123"/>
      <c r="R19" s="114"/>
      <c r="S19" s="114"/>
      <c r="T19" s="114"/>
      <c r="U19" s="114"/>
      <c r="V19" s="114"/>
      <c r="W19" s="114"/>
      <c r="X19" s="118"/>
    </row>
    <row r="20">
      <c r="A20" s="115" t="s">
        <v>638</v>
      </c>
      <c r="B20" s="111" t="s">
        <v>1596</v>
      </c>
      <c r="C20" s="111" t="s">
        <v>1597</v>
      </c>
      <c r="D20" s="111" t="s">
        <v>2504</v>
      </c>
      <c r="E20" s="111" t="s">
        <v>56</v>
      </c>
      <c r="F20" s="113" t="s">
        <v>1233</v>
      </c>
      <c r="G20" s="113" t="s">
        <v>1233</v>
      </c>
      <c r="H20" s="113" t="s">
        <v>56</v>
      </c>
      <c r="I20" s="114" t="s">
        <v>1640</v>
      </c>
      <c r="J20" s="115" t="s">
        <v>1707</v>
      </c>
      <c r="K20" s="114" t="s">
        <v>2003</v>
      </c>
      <c r="L20" s="114"/>
      <c r="M20" s="114"/>
      <c r="N20" s="114"/>
      <c r="O20" s="121"/>
      <c r="P20" s="123"/>
      <c r="Q20" s="123"/>
      <c r="R20" s="114"/>
      <c r="S20" s="114"/>
      <c r="T20" s="114"/>
      <c r="U20" s="114"/>
      <c r="V20" s="114"/>
      <c r="W20" s="114"/>
      <c r="X20" s="118"/>
    </row>
    <row r="21">
      <c r="A21" s="115" t="s">
        <v>366</v>
      </c>
      <c r="B21" s="111" t="s">
        <v>1442</v>
      </c>
      <c r="C21" s="111" t="s">
        <v>1443</v>
      </c>
      <c r="D21" s="111" t="s">
        <v>2505</v>
      </c>
      <c r="E21" s="111" t="s">
        <v>56</v>
      </c>
      <c r="F21" s="113" t="s">
        <v>1233</v>
      </c>
      <c r="G21" s="113" t="s">
        <v>1233</v>
      </c>
      <c r="H21" s="113" t="s">
        <v>56</v>
      </c>
      <c r="I21" s="114" t="s">
        <v>1640</v>
      </c>
      <c r="J21" s="115" t="s">
        <v>1709</v>
      </c>
      <c r="K21" s="114" t="s">
        <v>2001</v>
      </c>
      <c r="L21" s="114"/>
      <c r="M21" s="114"/>
      <c r="N21" s="114"/>
      <c r="O21" s="121"/>
      <c r="P21" s="123"/>
      <c r="Q21" s="123"/>
      <c r="R21" s="114"/>
      <c r="S21" s="114"/>
      <c r="T21" s="114"/>
      <c r="U21" s="114"/>
      <c r="V21" s="114"/>
      <c r="W21" s="114"/>
      <c r="X21" s="118"/>
    </row>
    <row r="22">
      <c r="A22" s="115" t="s">
        <v>736</v>
      </c>
      <c r="B22" s="111" t="s">
        <v>1659</v>
      </c>
      <c r="C22" s="111" t="s">
        <v>1660</v>
      </c>
      <c r="D22" s="111" t="s">
        <v>2506</v>
      </c>
      <c r="E22" s="111" t="s">
        <v>56</v>
      </c>
      <c r="F22" s="113" t="s">
        <v>1233</v>
      </c>
      <c r="G22" s="113" t="s">
        <v>1233</v>
      </c>
      <c r="H22" s="113" t="s">
        <v>56</v>
      </c>
      <c r="I22" s="114" t="s">
        <v>1640</v>
      </c>
      <c r="J22" s="115" t="s">
        <v>1711</v>
      </c>
      <c r="K22" s="114" t="s">
        <v>2001</v>
      </c>
      <c r="L22" s="114"/>
      <c r="M22" s="114"/>
      <c r="N22" s="114"/>
      <c r="O22" s="121"/>
      <c r="P22" s="123"/>
      <c r="Q22" s="123"/>
      <c r="R22" s="114"/>
      <c r="S22" s="114"/>
      <c r="T22" s="114"/>
      <c r="U22" s="114"/>
      <c r="V22" s="114"/>
      <c r="W22" s="114"/>
      <c r="X22" s="118"/>
    </row>
    <row r="23">
      <c r="A23" s="115" t="s">
        <v>821</v>
      </c>
      <c r="B23" s="111" t="s">
        <v>1701</v>
      </c>
      <c r="C23" s="111" t="s">
        <v>1702</v>
      </c>
      <c r="D23" s="111" t="s">
        <v>2507</v>
      </c>
      <c r="E23" s="111" t="s">
        <v>56</v>
      </c>
      <c r="F23" s="113" t="s">
        <v>1233</v>
      </c>
      <c r="G23" s="113" t="s">
        <v>1233</v>
      </c>
      <c r="H23" s="113" t="s">
        <v>56</v>
      </c>
      <c r="I23" s="114" t="s">
        <v>1640</v>
      </c>
      <c r="J23" s="115" t="s">
        <v>1713</v>
      </c>
      <c r="K23" s="114" t="s">
        <v>2001</v>
      </c>
      <c r="L23" s="114"/>
      <c r="M23" s="114"/>
      <c r="N23" s="114"/>
      <c r="O23" s="121"/>
      <c r="P23" s="123"/>
      <c r="Q23" s="123"/>
      <c r="R23" s="114"/>
      <c r="S23" s="114"/>
      <c r="T23" s="114"/>
      <c r="U23" s="114"/>
      <c r="V23" s="114"/>
      <c r="W23" s="114"/>
      <c r="X23" s="118"/>
    </row>
    <row r="24">
      <c r="A24" s="115" t="s">
        <v>717</v>
      </c>
      <c r="B24" s="111" t="s">
        <v>1645</v>
      </c>
      <c r="C24" s="111" t="s">
        <v>1646</v>
      </c>
      <c r="D24" s="111" t="s">
        <v>2508</v>
      </c>
      <c r="E24" s="111" t="s">
        <v>56</v>
      </c>
      <c r="F24" s="113" t="s">
        <v>1233</v>
      </c>
      <c r="G24" s="113" t="s">
        <v>1233</v>
      </c>
      <c r="H24" s="113" t="s">
        <v>56</v>
      </c>
      <c r="I24" s="114" t="s">
        <v>1640</v>
      </c>
      <c r="J24" s="115" t="s">
        <v>1715</v>
      </c>
      <c r="K24" s="114" t="s">
        <v>2001</v>
      </c>
      <c r="L24" s="114"/>
      <c r="M24" s="114"/>
      <c r="N24" s="114"/>
      <c r="O24" s="121"/>
      <c r="P24" s="123"/>
      <c r="Q24" s="123"/>
      <c r="R24" s="114"/>
      <c r="S24" s="114"/>
      <c r="T24" s="114"/>
      <c r="U24" s="114"/>
      <c r="V24" s="114"/>
      <c r="W24" s="114"/>
      <c r="X24" s="118"/>
    </row>
    <row r="25">
      <c r="A25" s="115" t="s">
        <v>717</v>
      </c>
      <c r="B25" s="111" t="s">
        <v>1645</v>
      </c>
      <c r="C25" s="111" t="s">
        <v>1646</v>
      </c>
      <c r="D25" s="111" t="s">
        <v>2509</v>
      </c>
      <c r="E25" s="111" t="s">
        <v>56</v>
      </c>
      <c r="F25" s="113" t="s">
        <v>1233</v>
      </c>
      <c r="G25" s="113" t="s">
        <v>1233</v>
      </c>
      <c r="H25" s="113" t="s">
        <v>56</v>
      </c>
      <c r="I25" s="114" t="s">
        <v>1640</v>
      </c>
      <c r="J25" s="115" t="s">
        <v>1717</v>
      </c>
      <c r="K25" s="114" t="s">
        <v>2001</v>
      </c>
      <c r="L25" s="114"/>
      <c r="M25" s="114"/>
      <c r="N25" s="114"/>
      <c r="O25" s="121"/>
      <c r="P25" s="123"/>
      <c r="Q25" s="123"/>
      <c r="R25" s="114"/>
      <c r="S25" s="114"/>
      <c r="T25" s="114"/>
      <c r="U25" s="114"/>
      <c r="V25" s="114"/>
      <c r="W25" s="114"/>
      <c r="X25" s="118"/>
    </row>
    <row r="26">
      <c r="A26" s="115" t="s">
        <v>366</v>
      </c>
      <c r="B26" s="111" t="s">
        <v>1442</v>
      </c>
      <c r="C26" s="111" t="s">
        <v>1443</v>
      </c>
      <c r="D26" s="111" t="s">
        <v>2510</v>
      </c>
      <c r="E26" s="111" t="s">
        <v>56</v>
      </c>
      <c r="F26" s="113" t="s">
        <v>1233</v>
      </c>
      <c r="G26" s="113" t="s">
        <v>1233</v>
      </c>
      <c r="H26" s="113" t="s">
        <v>56</v>
      </c>
      <c r="I26" s="114" t="s">
        <v>1640</v>
      </c>
      <c r="J26" s="115" t="s">
        <v>1719</v>
      </c>
      <c r="K26" s="114" t="s">
        <v>2001</v>
      </c>
      <c r="L26" s="114"/>
      <c r="M26" s="114"/>
      <c r="N26" s="114"/>
      <c r="O26" s="121"/>
      <c r="P26" s="123"/>
      <c r="Q26" s="123"/>
      <c r="R26" s="114"/>
      <c r="S26" s="114"/>
      <c r="T26" s="114"/>
      <c r="U26" s="114"/>
      <c r="V26" s="114"/>
      <c r="W26" s="114"/>
      <c r="X26" s="118"/>
    </row>
    <row r="27">
      <c r="A27" s="115" t="s">
        <v>963</v>
      </c>
      <c r="B27" s="111" t="s">
        <v>1770</v>
      </c>
      <c r="C27" s="111" t="s">
        <v>1771</v>
      </c>
      <c r="D27" s="111" t="s">
        <v>2511</v>
      </c>
      <c r="E27" s="111" t="s">
        <v>56</v>
      </c>
      <c r="F27" s="113" t="s">
        <v>1233</v>
      </c>
      <c r="G27" s="113" t="s">
        <v>1233</v>
      </c>
      <c r="H27" s="113" t="s">
        <v>56</v>
      </c>
      <c r="I27" s="114" t="s">
        <v>1640</v>
      </c>
      <c r="J27" s="115" t="s">
        <v>1722</v>
      </c>
      <c r="K27" s="114" t="s">
        <v>2001</v>
      </c>
      <c r="L27" s="114"/>
      <c r="M27" s="114"/>
      <c r="N27" s="114"/>
      <c r="O27" s="121"/>
      <c r="P27" s="123"/>
      <c r="Q27" s="123"/>
      <c r="R27" s="114"/>
      <c r="S27" s="114"/>
      <c r="T27" s="114"/>
      <c r="U27" s="114"/>
      <c r="V27" s="114"/>
      <c r="W27" s="114"/>
      <c r="X27" s="118"/>
    </row>
    <row r="28">
      <c r="A28" s="115" t="s">
        <v>966</v>
      </c>
      <c r="B28" s="111" t="s">
        <v>1772</v>
      </c>
      <c r="C28" s="111" t="s">
        <v>1773</v>
      </c>
      <c r="D28" s="111" t="s">
        <v>2512</v>
      </c>
      <c r="E28" s="111" t="s">
        <v>56</v>
      </c>
      <c r="F28" s="113" t="s">
        <v>1233</v>
      </c>
      <c r="G28" s="113" t="s">
        <v>1233</v>
      </c>
      <c r="H28" s="113" t="s">
        <v>56</v>
      </c>
      <c r="I28" s="114" t="s">
        <v>1640</v>
      </c>
      <c r="J28" s="115" t="s">
        <v>1724</v>
      </c>
      <c r="K28" s="114" t="s">
        <v>2001</v>
      </c>
      <c r="L28" s="114"/>
      <c r="M28" s="114"/>
      <c r="N28" s="114"/>
      <c r="O28" s="121"/>
      <c r="P28" s="123"/>
      <c r="Q28" s="123"/>
      <c r="R28" s="114"/>
      <c r="S28" s="114"/>
      <c r="T28" s="114"/>
      <c r="U28" s="114"/>
      <c r="V28" s="114"/>
      <c r="W28" s="114"/>
      <c r="X28" s="118"/>
    </row>
    <row r="29">
      <c r="A29" s="115" t="s">
        <v>969</v>
      </c>
      <c r="B29" s="111" t="s">
        <v>1774</v>
      </c>
      <c r="C29" s="111" t="s">
        <v>1775</v>
      </c>
      <c r="D29" s="111" t="s">
        <v>2513</v>
      </c>
      <c r="E29" s="111" t="s">
        <v>56</v>
      </c>
      <c r="F29" s="113" t="s">
        <v>1233</v>
      </c>
      <c r="G29" s="113" t="s">
        <v>1233</v>
      </c>
      <c r="H29" s="113" t="s">
        <v>56</v>
      </c>
      <c r="I29" s="114" t="s">
        <v>1640</v>
      </c>
      <c r="J29" s="115" t="s">
        <v>1726</v>
      </c>
      <c r="K29" s="114" t="s">
        <v>2001</v>
      </c>
      <c r="L29" s="114"/>
      <c r="M29" s="114"/>
      <c r="N29" s="114"/>
      <c r="O29" s="121"/>
      <c r="P29" s="123"/>
      <c r="Q29" s="123"/>
      <c r="R29" s="114"/>
      <c r="S29" s="114"/>
      <c r="T29" s="114"/>
      <c r="U29" s="114"/>
      <c r="V29" s="114"/>
      <c r="W29" s="114"/>
      <c r="X29" s="118"/>
    </row>
    <row r="30">
      <c r="A30" s="115" t="s">
        <v>972</v>
      </c>
      <c r="B30" s="111" t="s">
        <v>1776</v>
      </c>
      <c r="C30" s="111" t="s">
        <v>1777</v>
      </c>
      <c r="D30" s="111" t="s">
        <v>2514</v>
      </c>
      <c r="E30" s="111" t="s">
        <v>56</v>
      </c>
      <c r="F30" s="113" t="s">
        <v>1233</v>
      </c>
      <c r="G30" s="113" t="s">
        <v>1233</v>
      </c>
      <c r="H30" s="113" t="s">
        <v>56</v>
      </c>
      <c r="I30" s="114" t="s">
        <v>1640</v>
      </c>
      <c r="J30" s="115" t="s">
        <v>1728</v>
      </c>
      <c r="K30" s="114" t="s">
        <v>2001</v>
      </c>
      <c r="L30" s="114"/>
      <c r="M30" s="114"/>
      <c r="N30" s="114"/>
      <c r="O30" s="121"/>
      <c r="P30" s="123"/>
      <c r="Q30" s="123"/>
      <c r="R30" s="114"/>
      <c r="S30" s="114"/>
      <c r="T30" s="114"/>
      <c r="U30" s="114"/>
      <c r="V30" s="114"/>
      <c r="W30" s="114"/>
      <c r="X30" s="118"/>
    </row>
    <row r="31">
      <c r="A31" s="115" t="s">
        <v>975</v>
      </c>
      <c r="B31" s="111" t="s">
        <v>1778</v>
      </c>
      <c r="C31" s="111" t="s">
        <v>1779</v>
      </c>
      <c r="D31" s="111" t="s">
        <v>2515</v>
      </c>
      <c r="E31" s="111" t="s">
        <v>56</v>
      </c>
      <c r="F31" s="113" t="s">
        <v>1233</v>
      </c>
      <c r="G31" s="113" t="s">
        <v>1233</v>
      </c>
      <c r="H31" s="113" t="s">
        <v>56</v>
      </c>
      <c r="I31" s="114" t="s">
        <v>1640</v>
      </c>
      <c r="J31" s="115" t="s">
        <v>1730</v>
      </c>
      <c r="K31" s="114" t="s">
        <v>2001</v>
      </c>
      <c r="L31" s="114"/>
      <c r="M31" s="114"/>
      <c r="N31" s="114"/>
      <c r="O31" s="121"/>
      <c r="P31" s="123"/>
      <c r="Q31" s="123"/>
      <c r="R31" s="114"/>
      <c r="S31" s="114"/>
      <c r="T31" s="114"/>
      <c r="U31" s="114"/>
      <c r="V31" s="114"/>
      <c r="W31" s="114"/>
      <c r="X31" s="118"/>
    </row>
    <row r="32">
      <c r="A32" s="115" t="s">
        <v>407</v>
      </c>
      <c r="B32" s="111" t="s">
        <v>1458</v>
      </c>
      <c r="C32" s="111" t="s">
        <v>1459</v>
      </c>
      <c r="D32" s="111" t="s">
        <v>2516</v>
      </c>
      <c r="E32" s="111" t="s">
        <v>56</v>
      </c>
      <c r="F32" s="113" t="s">
        <v>1233</v>
      </c>
      <c r="G32" s="113" t="s">
        <v>1233</v>
      </c>
      <c r="H32" s="113" t="s">
        <v>56</v>
      </c>
      <c r="I32" s="114" t="s">
        <v>1640</v>
      </c>
      <c r="J32" s="115" t="s">
        <v>1732</v>
      </c>
      <c r="K32" s="114" t="s">
        <v>2001</v>
      </c>
      <c r="L32" s="114"/>
      <c r="M32" s="114"/>
      <c r="N32" s="114"/>
      <c r="O32" s="121"/>
      <c r="P32" s="123"/>
      <c r="Q32" s="123"/>
      <c r="R32" s="114"/>
      <c r="S32" s="114"/>
      <c r="T32" s="114"/>
      <c r="U32" s="114"/>
      <c r="V32" s="114"/>
      <c r="W32" s="114"/>
      <c r="X32" s="118"/>
    </row>
    <row r="33">
      <c r="A33" s="115" t="s">
        <v>407</v>
      </c>
      <c r="B33" s="111" t="s">
        <v>1458</v>
      </c>
      <c r="C33" s="111" t="s">
        <v>1459</v>
      </c>
      <c r="D33" s="111" t="s">
        <v>2517</v>
      </c>
      <c r="E33" s="111" t="s">
        <v>56</v>
      </c>
      <c r="F33" s="113" t="s">
        <v>1233</v>
      </c>
      <c r="G33" s="113" t="s">
        <v>1233</v>
      </c>
      <c r="H33" s="113" t="s">
        <v>56</v>
      </c>
      <c r="I33" s="114" t="s">
        <v>1640</v>
      </c>
      <c r="J33" s="115" t="s">
        <v>1734</v>
      </c>
      <c r="K33" s="114" t="s">
        <v>2001</v>
      </c>
      <c r="L33" s="114"/>
      <c r="M33" s="114"/>
      <c r="N33" s="114"/>
      <c r="O33" s="121"/>
      <c r="P33" s="123"/>
      <c r="Q33" s="123"/>
      <c r="R33" s="114"/>
      <c r="S33" s="114"/>
      <c r="T33" s="114"/>
      <c r="U33" s="114"/>
      <c r="V33" s="114"/>
      <c r="W33" s="114"/>
      <c r="X33" s="118"/>
    </row>
    <row r="34">
      <c r="A34" s="115" t="s">
        <v>736</v>
      </c>
      <c r="B34" s="111" t="s">
        <v>1659</v>
      </c>
      <c r="C34" s="111" t="s">
        <v>1660</v>
      </c>
      <c r="D34" s="111" t="s">
        <v>2518</v>
      </c>
      <c r="E34" s="111" t="s">
        <v>56</v>
      </c>
      <c r="F34" s="113" t="s">
        <v>1233</v>
      </c>
      <c r="G34" s="113" t="s">
        <v>1233</v>
      </c>
      <c r="H34" s="113" t="s">
        <v>56</v>
      </c>
      <c r="I34" s="114" t="s">
        <v>1640</v>
      </c>
      <c r="J34" s="115" t="s">
        <v>1734</v>
      </c>
      <c r="K34" s="114" t="s">
        <v>2003</v>
      </c>
      <c r="L34" s="114"/>
      <c r="M34" s="114"/>
      <c r="N34" s="114"/>
      <c r="O34" s="121"/>
      <c r="P34" s="123"/>
      <c r="Q34" s="123"/>
      <c r="R34" s="114"/>
      <c r="S34" s="114"/>
      <c r="T34" s="114"/>
      <c r="U34" s="114"/>
      <c r="V34" s="114"/>
      <c r="W34" s="114"/>
      <c r="X34" s="118"/>
    </row>
    <row r="35">
      <c r="A35" s="115" t="s">
        <v>526</v>
      </c>
      <c r="B35" s="111" t="s">
        <v>1539</v>
      </c>
      <c r="C35" s="111" t="s">
        <v>1540</v>
      </c>
      <c r="D35" s="111" t="s">
        <v>2519</v>
      </c>
      <c r="E35" s="111" t="s">
        <v>56</v>
      </c>
      <c r="F35" s="113" t="s">
        <v>1233</v>
      </c>
      <c r="G35" s="113" t="s">
        <v>1233</v>
      </c>
      <c r="H35" s="113" t="s">
        <v>56</v>
      </c>
      <c r="I35" s="114" t="s">
        <v>1640</v>
      </c>
      <c r="J35" s="115" t="s">
        <v>1734</v>
      </c>
      <c r="K35" s="114" t="s">
        <v>2005</v>
      </c>
      <c r="L35" s="114"/>
      <c r="M35" s="114"/>
      <c r="N35" s="114"/>
      <c r="O35" s="121"/>
      <c r="P35" s="123"/>
      <c r="Q35" s="123"/>
      <c r="R35" s="114"/>
      <c r="S35" s="114"/>
      <c r="T35" s="114"/>
      <c r="U35" s="114"/>
      <c r="V35" s="114"/>
      <c r="W35" s="114"/>
      <c r="X35" s="118"/>
    </row>
    <row r="36">
      <c r="A36" s="115" t="s">
        <v>983</v>
      </c>
      <c r="B36" s="111" t="s">
        <v>1780</v>
      </c>
      <c r="C36" s="111" t="s">
        <v>1781</v>
      </c>
      <c r="D36" s="111" t="s">
        <v>2520</v>
      </c>
      <c r="E36" s="111" t="s">
        <v>56</v>
      </c>
      <c r="F36" s="113" t="s">
        <v>1233</v>
      </c>
      <c r="G36" s="113" t="s">
        <v>1233</v>
      </c>
      <c r="H36" s="113" t="s">
        <v>56</v>
      </c>
      <c r="I36" s="114" t="s">
        <v>1640</v>
      </c>
      <c r="J36" s="115" t="s">
        <v>1736</v>
      </c>
      <c r="K36" s="114" t="s">
        <v>2001</v>
      </c>
      <c r="L36" s="114"/>
      <c r="M36" s="114"/>
      <c r="N36" s="114"/>
      <c r="O36" s="121"/>
      <c r="P36" s="123"/>
      <c r="Q36" s="123"/>
      <c r="R36" s="114"/>
      <c r="S36" s="114"/>
      <c r="T36" s="114"/>
      <c r="U36" s="114"/>
      <c r="V36" s="114"/>
      <c r="W36" s="114"/>
      <c r="X36" s="118"/>
    </row>
    <row r="37">
      <c r="A37" s="115" t="s">
        <v>986</v>
      </c>
      <c r="B37" s="111" t="s">
        <v>1782</v>
      </c>
      <c r="C37" s="111" t="s">
        <v>1783</v>
      </c>
      <c r="D37" s="111" t="s">
        <v>2521</v>
      </c>
      <c r="E37" s="111" t="s">
        <v>56</v>
      </c>
      <c r="F37" s="113" t="s">
        <v>1233</v>
      </c>
      <c r="G37" s="113" t="s">
        <v>1233</v>
      </c>
      <c r="H37" s="113" t="s">
        <v>56</v>
      </c>
      <c r="I37" s="114" t="s">
        <v>1640</v>
      </c>
      <c r="J37" s="115" t="s">
        <v>1738</v>
      </c>
      <c r="K37" s="114" t="s">
        <v>2001</v>
      </c>
      <c r="L37" s="114"/>
      <c r="M37" s="114"/>
      <c r="N37" s="114"/>
      <c r="O37" s="121"/>
      <c r="P37" s="123"/>
      <c r="Q37" s="123"/>
      <c r="R37" s="114"/>
      <c r="S37" s="114"/>
      <c r="T37" s="114"/>
      <c r="U37" s="114"/>
      <c r="V37" s="114"/>
      <c r="W37" s="114"/>
      <c r="X37" s="118"/>
    </row>
    <row r="38">
      <c r="A38" s="115" t="s">
        <v>731</v>
      </c>
      <c r="B38" s="111" t="s">
        <v>1657</v>
      </c>
      <c r="C38" s="111" t="s">
        <v>1658</v>
      </c>
      <c r="D38" s="111" t="s">
        <v>2522</v>
      </c>
      <c r="E38" s="111" t="s">
        <v>56</v>
      </c>
      <c r="F38" s="113" t="s">
        <v>1233</v>
      </c>
      <c r="G38" s="113" t="s">
        <v>1233</v>
      </c>
      <c r="H38" s="113" t="s">
        <v>56</v>
      </c>
      <c r="I38" s="114" t="s">
        <v>1640</v>
      </c>
      <c r="J38" s="115" t="s">
        <v>1738</v>
      </c>
      <c r="K38" s="114" t="s">
        <v>2003</v>
      </c>
      <c r="L38" s="114"/>
      <c r="M38" s="114"/>
      <c r="N38" s="114"/>
      <c r="O38" s="121"/>
      <c r="P38" s="123"/>
      <c r="Q38" s="123"/>
      <c r="R38" s="114"/>
      <c r="S38" s="114"/>
      <c r="T38" s="114"/>
      <c r="U38" s="114"/>
      <c r="V38" s="114"/>
      <c r="W38" s="114"/>
      <c r="X38" s="118"/>
    </row>
    <row r="39">
      <c r="A39" s="115" t="s">
        <v>719</v>
      </c>
      <c r="B39" s="111" t="s">
        <v>1647</v>
      </c>
      <c r="C39" s="111" t="s">
        <v>1648</v>
      </c>
      <c r="D39" s="111" t="s">
        <v>2523</v>
      </c>
      <c r="E39" s="111" t="s">
        <v>56</v>
      </c>
      <c r="F39" s="113" t="s">
        <v>1233</v>
      </c>
      <c r="G39" s="113" t="s">
        <v>1233</v>
      </c>
      <c r="H39" s="113" t="s">
        <v>56</v>
      </c>
      <c r="I39" s="114" t="s">
        <v>1640</v>
      </c>
      <c r="J39" s="115" t="s">
        <v>1740</v>
      </c>
      <c r="K39" s="114" t="s">
        <v>2001</v>
      </c>
      <c r="L39" s="114"/>
      <c r="M39" s="114"/>
      <c r="N39" s="114"/>
      <c r="O39" s="121"/>
      <c r="P39" s="123"/>
      <c r="Q39" s="123"/>
      <c r="R39" s="114"/>
      <c r="S39" s="114"/>
      <c r="T39" s="114"/>
      <c r="U39" s="114"/>
      <c r="V39" s="114"/>
      <c r="W39" s="114"/>
      <c r="X39" s="118"/>
    </row>
    <row r="40">
      <c r="A40" s="115" t="s">
        <v>991</v>
      </c>
      <c r="B40" s="111" t="s">
        <v>1784</v>
      </c>
      <c r="C40" s="111" t="s">
        <v>1785</v>
      </c>
      <c r="D40" s="111" t="s">
        <v>2524</v>
      </c>
      <c r="E40" s="111" t="s">
        <v>56</v>
      </c>
      <c r="F40" s="113" t="s">
        <v>1233</v>
      </c>
      <c r="G40" s="113" t="s">
        <v>1233</v>
      </c>
      <c r="H40" s="113" t="s">
        <v>56</v>
      </c>
      <c r="I40" s="114" t="s">
        <v>1640</v>
      </c>
      <c r="J40" s="115" t="s">
        <v>1740</v>
      </c>
      <c r="K40" s="114" t="s">
        <v>2003</v>
      </c>
      <c r="L40" s="114"/>
      <c r="M40" s="114"/>
      <c r="N40" s="114"/>
      <c r="O40" s="121"/>
      <c r="P40" s="123"/>
      <c r="Q40" s="123"/>
      <c r="R40" s="114"/>
      <c r="S40" s="114"/>
      <c r="T40" s="114"/>
      <c r="U40" s="114"/>
      <c r="V40" s="114"/>
      <c r="W40" s="114"/>
      <c r="X40" s="118"/>
    </row>
    <row r="41">
      <c r="A41" s="115" t="s">
        <v>738</v>
      </c>
      <c r="B41" s="111" t="s">
        <v>1661</v>
      </c>
      <c r="C41" s="111" t="s">
        <v>1662</v>
      </c>
      <c r="D41" s="111" t="s">
        <v>2525</v>
      </c>
      <c r="E41" s="111" t="s">
        <v>56</v>
      </c>
      <c r="F41" s="113" t="s">
        <v>1233</v>
      </c>
      <c r="G41" s="113" t="s">
        <v>1233</v>
      </c>
      <c r="H41" s="113" t="s">
        <v>56</v>
      </c>
      <c r="I41" s="114" t="s">
        <v>1640</v>
      </c>
      <c r="J41" s="115" t="s">
        <v>1740</v>
      </c>
      <c r="K41" s="114" t="s">
        <v>2005</v>
      </c>
      <c r="L41" s="114"/>
      <c r="M41" s="114"/>
      <c r="N41" s="114"/>
      <c r="O41" s="121"/>
      <c r="P41" s="123"/>
      <c r="Q41" s="123"/>
      <c r="R41" s="114"/>
      <c r="S41" s="114"/>
      <c r="T41" s="114"/>
      <c r="U41" s="114"/>
      <c r="V41" s="114"/>
      <c r="W41" s="114"/>
      <c r="X41" s="118"/>
    </row>
    <row r="42">
      <c r="A42" s="115" t="s">
        <v>434</v>
      </c>
      <c r="B42" s="111" t="s">
        <v>1472</v>
      </c>
      <c r="C42" s="111" t="s">
        <v>1473</v>
      </c>
      <c r="D42" s="111" t="s">
        <v>2526</v>
      </c>
      <c r="E42" s="111" t="s">
        <v>56</v>
      </c>
      <c r="F42" s="113" t="s">
        <v>1233</v>
      </c>
      <c r="G42" s="113" t="s">
        <v>1233</v>
      </c>
      <c r="H42" s="113" t="s">
        <v>56</v>
      </c>
      <c r="I42" s="114" t="s">
        <v>1640</v>
      </c>
      <c r="J42" s="115" t="s">
        <v>1740</v>
      </c>
      <c r="K42" s="114" t="s">
        <v>2007</v>
      </c>
      <c r="L42" s="114"/>
      <c r="M42" s="114"/>
      <c r="N42" s="114"/>
      <c r="O42" s="121"/>
      <c r="P42" s="123"/>
      <c r="Q42" s="123"/>
      <c r="R42" s="114"/>
      <c r="S42" s="114"/>
      <c r="T42" s="114"/>
      <c r="U42" s="114"/>
      <c r="V42" s="114"/>
      <c r="W42" s="114"/>
      <c r="X42" s="118"/>
    </row>
    <row r="43">
      <c r="A43" s="115" t="s">
        <v>96</v>
      </c>
      <c r="B43" s="111" t="s">
        <v>1270</v>
      </c>
      <c r="C43" s="111" t="s">
        <v>1271</v>
      </c>
      <c r="D43" s="111" t="s">
        <v>2527</v>
      </c>
      <c r="E43" s="111" t="s">
        <v>56</v>
      </c>
      <c r="F43" s="113" t="s">
        <v>1233</v>
      </c>
      <c r="G43" s="113" t="s">
        <v>1233</v>
      </c>
      <c r="H43" s="113" t="s">
        <v>56</v>
      </c>
      <c r="I43" s="114" t="s">
        <v>1640</v>
      </c>
      <c r="J43" s="115" t="s">
        <v>1740</v>
      </c>
      <c r="K43" s="114" t="s">
        <v>2009</v>
      </c>
      <c r="L43" s="114"/>
      <c r="M43" s="114"/>
      <c r="N43" s="114"/>
      <c r="O43" s="121"/>
      <c r="P43" s="123"/>
      <c r="Q43" s="123"/>
      <c r="R43" s="114"/>
      <c r="S43" s="114"/>
      <c r="T43" s="114"/>
      <c r="U43" s="114"/>
      <c r="V43" s="114"/>
      <c r="W43" s="114"/>
      <c r="X43" s="118"/>
    </row>
    <row r="44">
      <c r="A44" s="115" t="s">
        <v>197</v>
      </c>
      <c r="B44" s="111" t="s">
        <v>1353</v>
      </c>
      <c r="C44" s="111" t="s">
        <v>1354</v>
      </c>
      <c r="D44" s="111" t="s">
        <v>2528</v>
      </c>
      <c r="E44" s="111" t="s">
        <v>56</v>
      </c>
      <c r="F44" s="113" t="s">
        <v>1233</v>
      </c>
      <c r="G44" s="113" t="s">
        <v>1233</v>
      </c>
      <c r="H44" s="113" t="s">
        <v>56</v>
      </c>
      <c r="I44" s="114" t="s">
        <v>1640</v>
      </c>
      <c r="J44" s="115" t="s">
        <v>1740</v>
      </c>
      <c r="K44" s="114" t="s">
        <v>2041</v>
      </c>
      <c r="L44" s="114"/>
      <c r="M44" s="114"/>
      <c r="N44" s="114"/>
      <c r="O44" s="121"/>
      <c r="P44" s="123"/>
      <c r="Q44" s="123"/>
      <c r="R44" s="114"/>
      <c r="S44" s="114"/>
      <c r="T44" s="114"/>
      <c r="U44" s="114"/>
      <c r="V44" s="114"/>
      <c r="W44" s="114"/>
      <c r="X44" s="118"/>
    </row>
    <row r="45">
      <c r="A45" s="115" t="s">
        <v>998</v>
      </c>
      <c r="B45" s="111" t="s">
        <v>1786</v>
      </c>
      <c r="C45" s="111" t="s">
        <v>1787</v>
      </c>
      <c r="D45" s="111" t="s">
        <v>2529</v>
      </c>
      <c r="E45" s="111" t="s">
        <v>56</v>
      </c>
      <c r="F45" s="113" t="s">
        <v>1233</v>
      </c>
      <c r="G45" s="113" t="s">
        <v>1233</v>
      </c>
      <c r="H45" s="113" t="s">
        <v>56</v>
      </c>
      <c r="I45" s="114" t="s">
        <v>1640</v>
      </c>
      <c r="J45" s="115" t="s">
        <v>1742</v>
      </c>
      <c r="K45" s="114" t="s">
        <v>2001</v>
      </c>
      <c r="L45" s="114"/>
      <c r="M45" s="114"/>
      <c r="N45" s="114"/>
      <c r="O45" s="121"/>
      <c r="P45" s="123"/>
      <c r="Q45" s="123"/>
      <c r="R45" s="114"/>
      <c r="S45" s="114"/>
      <c r="T45" s="114"/>
      <c r="U45" s="114"/>
      <c r="V45" s="114"/>
      <c r="W45" s="114"/>
      <c r="X45" s="118"/>
    </row>
    <row r="46">
      <c r="A46" s="115" t="s">
        <v>1001</v>
      </c>
      <c r="B46" s="111" t="s">
        <v>1788</v>
      </c>
      <c r="C46" s="111" t="s">
        <v>1789</v>
      </c>
      <c r="D46" s="111" t="s">
        <v>2530</v>
      </c>
      <c r="E46" s="111" t="s">
        <v>56</v>
      </c>
      <c r="F46" s="113" t="s">
        <v>1233</v>
      </c>
      <c r="G46" s="113" t="s">
        <v>1233</v>
      </c>
      <c r="H46" s="113" t="s">
        <v>56</v>
      </c>
      <c r="I46" s="114" t="s">
        <v>1640</v>
      </c>
      <c r="J46" s="115" t="s">
        <v>1744</v>
      </c>
      <c r="K46" s="114" t="s">
        <v>2001</v>
      </c>
      <c r="L46" s="114"/>
      <c r="M46" s="114"/>
      <c r="N46" s="114"/>
      <c r="O46" s="121"/>
      <c r="P46" s="123"/>
      <c r="Q46" s="123"/>
      <c r="R46" s="114"/>
      <c r="S46" s="114"/>
      <c r="T46" s="114"/>
      <c r="U46" s="114"/>
      <c r="V46" s="114"/>
      <c r="W46" s="114"/>
      <c r="X46" s="118"/>
    </row>
    <row r="47">
      <c r="A47" s="115" t="s">
        <v>1001</v>
      </c>
      <c r="B47" s="111" t="s">
        <v>1788</v>
      </c>
      <c r="C47" s="111" t="s">
        <v>1789</v>
      </c>
      <c r="D47" s="111" t="s">
        <v>2531</v>
      </c>
      <c r="E47" s="111" t="s">
        <v>56</v>
      </c>
      <c r="F47" s="113" t="s">
        <v>1233</v>
      </c>
      <c r="G47" s="113" t="s">
        <v>1233</v>
      </c>
      <c r="H47" s="113" t="s">
        <v>56</v>
      </c>
      <c r="I47" s="114" t="s">
        <v>1640</v>
      </c>
      <c r="J47" s="115" t="s">
        <v>1746</v>
      </c>
      <c r="K47" s="114" t="s">
        <v>2001</v>
      </c>
      <c r="L47" s="114"/>
      <c r="M47" s="114"/>
      <c r="N47" s="114"/>
      <c r="O47" s="121"/>
      <c r="P47" s="123"/>
      <c r="Q47" s="123"/>
      <c r="R47" s="114"/>
      <c r="S47" s="114"/>
      <c r="T47" s="114"/>
      <c r="U47" s="114"/>
      <c r="V47" s="114"/>
      <c r="W47" s="114"/>
      <c r="X47" s="118"/>
    </row>
    <row r="48">
      <c r="A48" s="115" t="s">
        <v>366</v>
      </c>
      <c r="B48" s="111" t="s">
        <v>1442</v>
      </c>
      <c r="C48" s="111" t="s">
        <v>1443</v>
      </c>
      <c r="D48" s="111" t="s">
        <v>2532</v>
      </c>
      <c r="E48" s="111" t="s">
        <v>56</v>
      </c>
      <c r="F48" s="113" t="s">
        <v>1233</v>
      </c>
      <c r="G48" s="113" t="s">
        <v>1233</v>
      </c>
      <c r="H48" s="113" t="s">
        <v>56</v>
      </c>
      <c r="I48" s="114" t="s">
        <v>1640</v>
      </c>
      <c r="J48" s="115" t="s">
        <v>1748</v>
      </c>
      <c r="K48" s="114" t="s">
        <v>2001</v>
      </c>
      <c r="L48" s="114"/>
      <c r="M48" s="114"/>
      <c r="N48" s="114"/>
      <c r="O48" s="121"/>
      <c r="P48" s="123"/>
      <c r="Q48" s="123"/>
      <c r="R48" s="114"/>
      <c r="S48" s="114"/>
      <c r="T48" s="114"/>
      <c r="U48" s="114"/>
      <c r="V48" s="114"/>
      <c r="W48" s="114"/>
      <c r="X48" s="118"/>
    </row>
    <row r="49">
      <c r="A49" s="115" t="s">
        <v>366</v>
      </c>
      <c r="B49" s="111" t="s">
        <v>1442</v>
      </c>
      <c r="C49" s="111" t="s">
        <v>1443</v>
      </c>
      <c r="D49" s="111" t="s">
        <v>2533</v>
      </c>
      <c r="E49" s="111" t="s">
        <v>56</v>
      </c>
      <c r="F49" s="113" t="s">
        <v>1233</v>
      </c>
      <c r="G49" s="113" t="s">
        <v>1233</v>
      </c>
      <c r="H49" s="113" t="s">
        <v>56</v>
      </c>
      <c r="I49" s="114" t="s">
        <v>1640</v>
      </c>
      <c r="J49" s="115" t="s">
        <v>1750</v>
      </c>
      <c r="K49" s="114" t="s">
        <v>2001</v>
      </c>
      <c r="L49" s="114"/>
      <c r="M49" s="114"/>
      <c r="N49" s="114"/>
      <c r="O49" s="121"/>
      <c r="P49" s="123"/>
      <c r="Q49" s="123"/>
      <c r="R49" s="114"/>
      <c r="S49" s="114"/>
      <c r="T49" s="114"/>
      <c r="U49" s="114"/>
      <c r="V49" s="114"/>
      <c r="W49" s="114"/>
      <c r="X49" s="118"/>
    </row>
    <row r="50">
      <c r="A50" s="115" t="s">
        <v>195</v>
      </c>
      <c r="B50" s="111" t="s">
        <v>1351</v>
      </c>
      <c r="C50" s="111" t="s">
        <v>1352</v>
      </c>
      <c r="D50" s="111" t="s">
        <v>2534</v>
      </c>
      <c r="E50" s="111" t="s">
        <v>56</v>
      </c>
      <c r="F50" s="113" t="s">
        <v>1233</v>
      </c>
      <c r="G50" s="113" t="s">
        <v>1233</v>
      </c>
      <c r="H50" s="113" t="s">
        <v>56</v>
      </c>
      <c r="I50" s="114" t="s">
        <v>1640</v>
      </c>
      <c r="J50" s="115" t="s">
        <v>1750</v>
      </c>
      <c r="K50" s="114" t="s">
        <v>2003</v>
      </c>
      <c r="L50" s="114"/>
      <c r="M50" s="114"/>
      <c r="N50" s="114"/>
      <c r="O50" s="121"/>
      <c r="P50" s="123"/>
      <c r="Q50" s="123"/>
      <c r="R50" s="114"/>
      <c r="S50" s="114"/>
      <c r="T50" s="114"/>
      <c r="U50" s="114"/>
      <c r="V50" s="114"/>
      <c r="W50" s="114"/>
      <c r="X50" s="118"/>
    </row>
    <row r="51">
      <c r="A51" s="115" t="s">
        <v>129</v>
      </c>
      <c r="B51" s="111" t="s">
        <v>1298</v>
      </c>
      <c r="C51" s="111" t="s">
        <v>1299</v>
      </c>
      <c r="D51" s="111" t="s">
        <v>2535</v>
      </c>
      <c r="E51" s="111" t="s">
        <v>56</v>
      </c>
      <c r="F51" s="113" t="s">
        <v>1233</v>
      </c>
      <c r="G51" s="113" t="s">
        <v>1233</v>
      </c>
      <c r="H51" s="113" t="s">
        <v>56</v>
      </c>
      <c r="I51" s="114" t="s">
        <v>1640</v>
      </c>
      <c r="J51" s="115" t="s">
        <v>1752</v>
      </c>
      <c r="K51" s="114" t="s">
        <v>2001</v>
      </c>
      <c r="L51" s="114"/>
      <c r="M51" s="114"/>
      <c r="N51" s="114"/>
      <c r="O51" s="121"/>
      <c r="P51" s="123"/>
      <c r="Q51" s="123"/>
      <c r="R51" s="114"/>
      <c r="S51" s="114"/>
      <c r="T51" s="114"/>
      <c r="U51" s="114"/>
      <c r="V51" s="114"/>
      <c r="W51" s="114"/>
      <c r="X51" s="118"/>
    </row>
    <row r="52">
      <c r="A52" s="115" t="s">
        <v>129</v>
      </c>
      <c r="B52" s="111" t="s">
        <v>1298</v>
      </c>
      <c r="C52" s="111" t="s">
        <v>1299</v>
      </c>
      <c r="D52" s="111" t="s">
        <v>2536</v>
      </c>
      <c r="E52" s="111" t="s">
        <v>56</v>
      </c>
      <c r="F52" s="113" t="s">
        <v>1233</v>
      </c>
      <c r="G52" s="113" t="s">
        <v>1233</v>
      </c>
      <c r="H52" s="113" t="s">
        <v>56</v>
      </c>
      <c r="I52" s="114" t="s">
        <v>1640</v>
      </c>
      <c r="J52" s="115" t="s">
        <v>1754</v>
      </c>
      <c r="K52" s="114" t="s">
        <v>2001</v>
      </c>
      <c r="L52" s="114"/>
      <c r="M52" s="114"/>
      <c r="N52" s="114"/>
      <c r="O52" s="121"/>
      <c r="P52" s="123"/>
      <c r="Q52" s="123"/>
      <c r="R52" s="114"/>
      <c r="S52" s="114"/>
      <c r="T52" s="114"/>
      <c r="U52" s="114"/>
      <c r="V52" s="114"/>
      <c r="W52" s="114"/>
      <c r="X52" s="118"/>
    </row>
    <row r="53">
      <c r="A53" s="115" t="s">
        <v>129</v>
      </c>
      <c r="B53" s="111" t="s">
        <v>1298</v>
      </c>
      <c r="C53" s="111" t="s">
        <v>1299</v>
      </c>
      <c r="D53" s="111" t="s">
        <v>2537</v>
      </c>
      <c r="E53" s="111" t="s">
        <v>56</v>
      </c>
      <c r="F53" s="113" t="s">
        <v>1233</v>
      </c>
      <c r="G53" s="113" t="s">
        <v>1233</v>
      </c>
      <c r="H53" s="113" t="s">
        <v>56</v>
      </c>
      <c r="I53" s="114" t="s">
        <v>1640</v>
      </c>
      <c r="J53" s="115" t="s">
        <v>1756</v>
      </c>
      <c r="K53" s="114" t="s">
        <v>2001</v>
      </c>
      <c r="L53" s="114"/>
      <c r="M53" s="114"/>
      <c r="N53" s="114"/>
      <c r="O53" s="121"/>
      <c r="P53" s="123"/>
      <c r="Q53" s="123"/>
      <c r="R53" s="114"/>
      <c r="S53" s="114"/>
      <c r="T53" s="114"/>
      <c r="U53" s="114"/>
      <c r="V53" s="114"/>
      <c r="W53" s="114"/>
      <c r="X53" s="118"/>
    </row>
    <row r="54">
      <c r="A54" s="115" t="s">
        <v>1013</v>
      </c>
      <c r="B54" s="111" t="s">
        <v>1790</v>
      </c>
      <c r="C54" s="111" t="s">
        <v>1791</v>
      </c>
      <c r="D54" s="111" t="s">
        <v>2538</v>
      </c>
      <c r="E54" s="111" t="s">
        <v>56</v>
      </c>
      <c r="F54" s="113" t="s">
        <v>1233</v>
      </c>
      <c r="G54" s="113" t="s">
        <v>1233</v>
      </c>
      <c r="H54" s="113" t="s">
        <v>56</v>
      </c>
      <c r="I54" s="114" t="s">
        <v>1640</v>
      </c>
      <c r="J54" s="115" t="s">
        <v>1756</v>
      </c>
      <c r="K54" s="114" t="s">
        <v>2003</v>
      </c>
      <c r="L54" s="114"/>
      <c r="M54" s="114"/>
      <c r="N54" s="114"/>
      <c r="O54" s="121"/>
      <c r="P54" s="123"/>
      <c r="Q54" s="123"/>
      <c r="R54" s="114"/>
      <c r="S54" s="114"/>
      <c r="T54" s="114"/>
      <c r="U54" s="114"/>
      <c r="V54" s="114"/>
      <c r="W54" s="114"/>
      <c r="X54" s="118"/>
    </row>
    <row r="55">
      <c r="A55" s="115" t="s">
        <v>129</v>
      </c>
      <c r="B55" s="111" t="s">
        <v>1298</v>
      </c>
      <c r="C55" s="111" t="s">
        <v>1299</v>
      </c>
      <c r="D55" s="111" t="s">
        <v>2539</v>
      </c>
      <c r="E55" s="111" t="s">
        <v>56</v>
      </c>
      <c r="F55" s="113" t="s">
        <v>1233</v>
      </c>
      <c r="G55" s="113" t="s">
        <v>1233</v>
      </c>
      <c r="H55" s="113" t="s">
        <v>56</v>
      </c>
      <c r="I55" s="114" t="s">
        <v>1640</v>
      </c>
      <c r="J55" s="115" t="s">
        <v>1758</v>
      </c>
      <c r="K55" s="114" t="s">
        <v>2001</v>
      </c>
      <c r="L55" s="114"/>
      <c r="M55" s="114"/>
      <c r="N55" s="114"/>
      <c r="O55" s="121"/>
      <c r="P55" s="123"/>
      <c r="Q55" s="123"/>
      <c r="R55" s="114"/>
      <c r="S55" s="114"/>
      <c r="T55" s="114"/>
      <c r="U55" s="114"/>
      <c r="V55" s="114"/>
      <c r="W55" s="114"/>
      <c r="X55" s="118"/>
    </row>
    <row r="56">
      <c r="A56" s="115" t="s">
        <v>129</v>
      </c>
      <c r="B56" s="111" t="s">
        <v>1298</v>
      </c>
      <c r="C56" s="111" t="s">
        <v>1299</v>
      </c>
      <c r="D56" s="111" t="s">
        <v>2540</v>
      </c>
      <c r="E56" s="111" t="s">
        <v>56</v>
      </c>
      <c r="F56" s="113" t="s">
        <v>1233</v>
      </c>
      <c r="G56" s="113" t="s">
        <v>1233</v>
      </c>
      <c r="H56" s="113" t="s">
        <v>56</v>
      </c>
      <c r="I56" s="114" t="s">
        <v>1640</v>
      </c>
      <c r="J56" s="115" t="s">
        <v>1760</v>
      </c>
      <c r="K56" s="114" t="s">
        <v>2001</v>
      </c>
      <c r="L56" s="114"/>
      <c r="M56" s="114"/>
      <c r="N56" s="114"/>
      <c r="O56" s="121"/>
      <c r="P56" s="123"/>
      <c r="Q56" s="123"/>
      <c r="R56" s="114"/>
      <c r="S56" s="114"/>
      <c r="T56" s="114"/>
      <c r="U56" s="114"/>
      <c r="V56" s="114"/>
      <c r="W56" s="114"/>
      <c r="X56" s="118"/>
    </row>
    <row r="57">
      <c r="A57" s="115" t="s">
        <v>129</v>
      </c>
      <c r="B57" s="111" t="s">
        <v>1298</v>
      </c>
      <c r="C57" s="111" t="s">
        <v>1299</v>
      </c>
      <c r="D57" s="111" t="s">
        <v>2541</v>
      </c>
      <c r="E57" s="111" t="s">
        <v>56</v>
      </c>
      <c r="F57" s="113" t="s">
        <v>1233</v>
      </c>
      <c r="G57" s="113" t="s">
        <v>1233</v>
      </c>
      <c r="H57" s="113" t="s">
        <v>56</v>
      </c>
      <c r="I57" s="114" t="s">
        <v>1640</v>
      </c>
      <c r="J57" s="115" t="s">
        <v>1760</v>
      </c>
      <c r="K57" s="114" t="s">
        <v>2003</v>
      </c>
      <c r="L57" s="114"/>
      <c r="M57" s="114"/>
      <c r="N57" s="114"/>
      <c r="O57" s="121"/>
      <c r="P57" s="123"/>
      <c r="Q57" s="123"/>
      <c r="R57" s="114"/>
      <c r="S57" s="114"/>
      <c r="T57" s="114"/>
      <c r="U57" s="114"/>
      <c r="V57" s="114"/>
      <c r="W57" s="114"/>
      <c r="X57" s="118"/>
    </row>
    <row r="58">
      <c r="A58" s="115" t="s">
        <v>1018</v>
      </c>
      <c r="B58" s="111" t="s">
        <v>1792</v>
      </c>
      <c r="C58" s="111" t="s">
        <v>1793</v>
      </c>
      <c r="D58" s="111" t="s">
        <v>2542</v>
      </c>
      <c r="E58" s="111" t="s">
        <v>56</v>
      </c>
      <c r="F58" s="113" t="s">
        <v>1233</v>
      </c>
      <c r="G58" s="113" t="s">
        <v>1233</v>
      </c>
      <c r="H58" s="113" t="s">
        <v>56</v>
      </c>
      <c r="I58" s="114" t="s">
        <v>1640</v>
      </c>
      <c r="J58" s="115" t="s">
        <v>1760</v>
      </c>
      <c r="K58" s="114" t="s">
        <v>2005</v>
      </c>
      <c r="L58" s="114"/>
      <c r="M58" s="114"/>
      <c r="N58" s="114"/>
      <c r="O58" s="121"/>
      <c r="P58" s="123"/>
      <c r="Q58" s="123"/>
      <c r="R58" s="114"/>
      <c r="S58" s="114"/>
      <c r="T58" s="114"/>
      <c r="U58" s="114"/>
      <c r="V58" s="114"/>
      <c r="W58" s="114"/>
      <c r="X58" s="118"/>
    </row>
    <row r="59">
      <c r="A59" s="115" t="s">
        <v>1021</v>
      </c>
      <c r="B59" s="111" t="s">
        <v>1794</v>
      </c>
      <c r="C59" s="111" t="s">
        <v>1795</v>
      </c>
      <c r="D59" s="111" t="s">
        <v>2543</v>
      </c>
      <c r="E59" s="111" t="s">
        <v>56</v>
      </c>
      <c r="F59" s="113" t="s">
        <v>1233</v>
      </c>
      <c r="G59" s="113" t="s">
        <v>1233</v>
      </c>
      <c r="H59" s="113" t="s">
        <v>56</v>
      </c>
      <c r="I59" s="114" t="s">
        <v>1640</v>
      </c>
      <c r="J59" s="115" t="s">
        <v>1762</v>
      </c>
      <c r="K59" s="114" t="s">
        <v>2001</v>
      </c>
      <c r="L59" s="114"/>
      <c r="M59" s="114"/>
      <c r="N59" s="114"/>
      <c r="O59" s="121"/>
      <c r="P59" s="123"/>
      <c r="Q59" s="123"/>
      <c r="R59" s="114"/>
      <c r="S59" s="114"/>
      <c r="T59" s="114"/>
      <c r="U59" s="114"/>
      <c r="V59" s="114"/>
      <c r="W59" s="114"/>
      <c r="X59" s="118"/>
    </row>
    <row r="60">
      <c r="A60" s="115" t="s">
        <v>717</v>
      </c>
      <c r="B60" s="111" t="s">
        <v>1645</v>
      </c>
      <c r="C60" s="111" t="s">
        <v>1646</v>
      </c>
      <c r="D60" s="111" t="s">
        <v>2544</v>
      </c>
      <c r="E60" s="111" t="s">
        <v>56</v>
      </c>
      <c r="F60" s="113" t="s">
        <v>1233</v>
      </c>
      <c r="G60" s="113" t="s">
        <v>1233</v>
      </c>
      <c r="H60" s="113" t="s">
        <v>56</v>
      </c>
      <c r="I60" s="114" t="s">
        <v>1640</v>
      </c>
      <c r="J60" s="115" t="s">
        <v>1764</v>
      </c>
      <c r="K60" s="114" t="s">
        <v>2001</v>
      </c>
      <c r="L60" s="114"/>
      <c r="M60" s="114"/>
      <c r="N60" s="114"/>
      <c r="O60" s="121"/>
      <c r="P60" s="123"/>
      <c r="Q60" s="123"/>
      <c r="R60" s="114"/>
      <c r="S60" s="114"/>
      <c r="T60" s="114"/>
      <c r="U60" s="114"/>
      <c r="V60" s="114"/>
      <c r="W60" s="114"/>
      <c r="X60" s="118"/>
    </row>
    <row r="61">
      <c r="A61" s="115" t="s">
        <v>717</v>
      </c>
      <c r="B61" s="111" t="s">
        <v>1645</v>
      </c>
      <c r="C61" s="111" t="s">
        <v>1646</v>
      </c>
      <c r="D61" s="111" t="s">
        <v>2545</v>
      </c>
      <c r="E61" s="111" t="s">
        <v>56</v>
      </c>
      <c r="F61" s="113" t="s">
        <v>1233</v>
      </c>
      <c r="G61" s="113" t="s">
        <v>1233</v>
      </c>
      <c r="H61" s="113" t="s">
        <v>56</v>
      </c>
      <c r="I61" s="114" t="s">
        <v>1640</v>
      </c>
      <c r="J61" s="115" t="s">
        <v>1766</v>
      </c>
      <c r="K61" s="114" t="s">
        <v>2001</v>
      </c>
      <c r="L61" s="114"/>
      <c r="M61" s="114"/>
      <c r="N61" s="114"/>
      <c r="O61" s="121"/>
      <c r="P61" s="123"/>
      <c r="Q61" s="123"/>
      <c r="R61" s="114"/>
      <c r="S61" s="114"/>
      <c r="T61" s="114"/>
      <c r="U61" s="114"/>
      <c r="V61" s="114"/>
      <c r="W61" s="114"/>
      <c r="X61" s="118"/>
    </row>
    <row r="62">
      <c r="A62" s="115" t="s">
        <v>717</v>
      </c>
      <c r="B62" s="111" t="s">
        <v>1645</v>
      </c>
      <c r="C62" s="111" t="s">
        <v>1646</v>
      </c>
      <c r="D62" s="111" t="s">
        <v>2546</v>
      </c>
      <c r="E62" s="111" t="s">
        <v>56</v>
      </c>
      <c r="F62" s="113" t="s">
        <v>1233</v>
      </c>
      <c r="G62" s="113" t="s">
        <v>1233</v>
      </c>
      <c r="H62" s="113" t="s">
        <v>56</v>
      </c>
      <c r="I62" s="114" t="s">
        <v>1640</v>
      </c>
      <c r="J62" s="115" t="s">
        <v>1768</v>
      </c>
      <c r="K62" s="114" t="s">
        <v>2001</v>
      </c>
      <c r="L62" s="114"/>
      <c r="M62" s="114"/>
      <c r="N62" s="114"/>
      <c r="O62" s="121"/>
      <c r="P62" s="123"/>
      <c r="Q62" s="123"/>
      <c r="R62" s="114"/>
      <c r="S62" s="114"/>
      <c r="T62" s="114"/>
      <c r="U62" s="114"/>
      <c r="V62" s="114"/>
      <c r="W62" s="114"/>
      <c r="X62" s="118"/>
    </row>
    <row r="63">
      <c r="A63" s="115" t="s">
        <v>717</v>
      </c>
      <c r="B63" s="111" t="s">
        <v>1645</v>
      </c>
      <c r="C63" s="111" t="s">
        <v>1646</v>
      </c>
      <c r="D63" s="111" t="s">
        <v>2547</v>
      </c>
      <c r="E63" s="111" t="s">
        <v>56</v>
      </c>
      <c r="F63" s="113" t="s">
        <v>1233</v>
      </c>
      <c r="G63" s="113" t="s">
        <v>1233</v>
      </c>
      <c r="H63" s="113" t="s">
        <v>56</v>
      </c>
      <c r="I63" s="114" t="s">
        <v>1640</v>
      </c>
      <c r="J63" s="115" t="s">
        <v>1770</v>
      </c>
      <c r="K63" s="114" t="s">
        <v>2001</v>
      </c>
      <c r="L63" s="114"/>
      <c r="M63" s="114"/>
      <c r="N63" s="114"/>
      <c r="O63" s="121"/>
      <c r="P63" s="123"/>
      <c r="Q63" s="123"/>
      <c r="R63" s="114"/>
      <c r="S63" s="114"/>
      <c r="T63" s="114"/>
      <c r="U63" s="114"/>
      <c r="V63" s="114"/>
      <c r="W63" s="114"/>
      <c r="X63" s="118"/>
    </row>
    <row r="64">
      <c r="A64" s="115" t="s">
        <v>736</v>
      </c>
      <c r="B64" s="111" t="s">
        <v>1659</v>
      </c>
      <c r="C64" s="111" t="s">
        <v>1660</v>
      </c>
      <c r="D64" s="111" t="s">
        <v>2548</v>
      </c>
      <c r="E64" s="111" t="s">
        <v>56</v>
      </c>
      <c r="F64" s="113" t="s">
        <v>1233</v>
      </c>
      <c r="G64" s="113" t="s">
        <v>1233</v>
      </c>
      <c r="H64" s="113" t="s">
        <v>56</v>
      </c>
      <c r="I64" s="114" t="s">
        <v>1640</v>
      </c>
      <c r="J64" s="115" t="s">
        <v>1770</v>
      </c>
      <c r="K64" s="114" t="s">
        <v>2003</v>
      </c>
      <c r="L64" s="114"/>
      <c r="M64" s="114"/>
      <c r="N64" s="114"/>
      <c r="O64" s="121"/>
      <c r="P64" s="123"/>
      <c r="Q64" s="123"/>
      <c r="R64" s="114"/>
      <c r="S64" s="114"/>
      <c r="T64" s="114"/>
      <c r="U64" s="114"/>
      <c r="V64" s="114"/>
      <c r="W64" s="114"/>
      <c r="X64" s="118"/>
    </row>
    <row r="65">
      <c r="A65" s="115" t="s">
        <v>717</v>
      </c>
      <c r="B65" s="111" t="s">
        <v>1645</v>
      </c>
      <c r="C65" s="111" t="s">
        <v>1646</v>
      </c>
      <c r="D65" s="111" t="s">
        <v>2549</v>
      </c>
      <c r="E65" s="111" t="s">
        <v>56</v>
      </c>
      <c r="F65" s="113" t="s">
        <v>1233</v>
      </c>
      <c r="G65" s="113" t="s">
        <v>1233</v>
      </c>
      <c r="H65" s="113" t="s">
        <v>56</v>
      </c>
      <c r="I65" s="114" t="s">
        <v>1640</v>
      </c>
      <c r="J65" s="115" t="s">
        <v>1772</v>
      </c>
      <c r="K65" s="114" t="s">
        <v>2001</v>
      </c>
      <c r="L65" s="114"/>
      <c r="M65" s="114"/>
      <c r="N65" s="114"/>
      <c r="O65" s="121"/>
      <c r="P65" s="123"/>
      <c r="Q65" s="123"/>
      <c r="R65" s="114"/>
      <c r="S65" s="114"/>
      <c r="T65" s="114"/>
      <c r="U65" s="114"/>
      <c r="V65" s="114"/>
      <c r="W65" s="114"/>
      <c r="X65" s="118"/>
    </row>
    <row r="66">
      <c r="A66" s="115" t="s">
        <v>829</v>
      </c>
      <c r="B66" s="111" t="s">
        <v>1703</v>
      </c>
      <c r="C66" s="111" t="s">
        <v>1704</v>
      </c>
      <c r="D66" s="111" t="s">
        <v>2550</v>
      </c>
      <c r="E66" s="111" t="s">
        <v>56</v>
      </c>
      <c r="F66" s="113" t="s">
        <v>1233</v>
      </c>
      <c r="G66" s="113" t="s">
        <v>1233</v>
      </c>
      <c r="H66" s="113" t="s">
        <v>56</v>
      </c>
      <c r="I66" s="114" t="s">
        <v>1640</v>
      </c>
      <c r="J66" s="115" t="s">
        <v>1774</v>
      </c>
      <c r="K66" s="114" t="s">
        <v>2001</v>
      </c>
      <c r="L66" s="114"/>
      <c r="M66" s="114"/>
      <c r="N66" s="114"/>
      <c r="O66" s="121"/>
      <c r="P66" s="123"/>
      <c r="Q66" s="123"/>
      <c r="R66" s="114"/>
      <c r="S66" s="114"/>
      <c r="T66" s="114"/>
      <c r="U66" s="114"/>
      <c r="V66" s="114"/>
      <c r="W66" s="114"/>
      <c r="X66" s="118"/>
    </row>
    <row r="67">
      <c r="A67" s="115" t="s">
        <v>1033</v>
      </c>
      <c r="B67" s="111" t="s">
        <v>1796</v>
      </c>
      <c r="C67" s="111" t="s">
        <v>1797</v>
      </c>
      <c r="D67" s="111" t="s">
        <v>2551</v>
      </c>
      <c r="E67" s="111" t="s">
        <v>56</v>
      </c>
      <c r="F67" s="113" t="s">
        <v>1233</v>
      </c>
      <c r="G67" s="113" t="s">
        <v>1233</v>
      </c>
      <c r="H67" s="113" t="s">
        <v>56</v>
      </c>
      <c r="I67" s="114" t="s">
        <v>1640</v>
      </c>
      <c r="J67" s="115" t="s">
        <v>1776</v>
      </c>
      <c r="K67" s="114" t="s">
        <v>2001</v>
      </c>
      <c r="L67" s="114"/>
      <c r="M67" s="114"/>
      <c r="N67" s="114"/>
      <c r="O67" s="121"/>
      <c r="P67" s="123"/>
      <c r="Q67" s="123"/>
      <c r="R67" s="114"/>
      <c r="S67" s="114"/>
      <c r="T67" s="114"/>
      <c r="U67" s="114"/>
      <c r="V67" s="114"/>
      <c r="W67" s="114"/>
      <c r="X67" s="118"/>
    </row>
    <row r="68">
      <c r="A68" s="115" t="s">
        <v>1035</v>
      </c>
      <c r="B68" s="111" t="s">
        <v>1798</v>
      </c>
      <c r="C68" s="111" t="s">
        <v>1799</v>
      </c>
      <c r="D68" s="111" t="s">
        <v>2552</v>
      </c>
      <c r="E68" s="111" t="s">
        <v>56</v>
      </c>
      <c r="F68" s="113" t="s">
        <v>1233</v>
      </c>
      <c r="G68" s="113" t="s">
        <v>1233</v>
      </c>
      <c r="H68" s="113" t="s">
        <v>56</v>
      </c>
      <c r="I68" s="114" t="s">
        <v>1640</v>
      </c>
      <c r="J68" s="115" t="s">
        <v>1776</v>
      </c>
      <c r="K68" s="114" t="s">
        <v>2003</v>
      </c>
      <c r="L68" s="114"/>
      <c r="M68" s="114"/>
      <c r="N68" s="114"/>
      <c r="O68" s="121"/>
      <c r="P68" s="123"/>
      <c r="Q68" s="123"/>
      <c r="R68" s="114"/>
      <c r="S68" s="114"/>
      <c r="T68" s="114"/>
      <c r="U68" s="114"/>
      <c r="V68" s="114"/>
      <c r="W68" s="114"/>
      <c r="X68" s="118"/>
    </row>
    <row r="69">
      <c r="A69" s="115" t="s">
        <v>1038</v>
      </c>
      <c r="B69" s="111" t="s">
        <v>1801</v>
      </c>
      <c r="C69" s="111" t="s">
        <v>1802</v>
      </c>
      <c r="D69" s="111" t="s">
        <v>2553</v>
      </c>
      <c r="E69" s="111" t="s">
        <v>56</v>
      </c>
      <c r="F69" s="113" t="s">
        <v>1233</v>
      </c>
      <c r="G69" s="113" t="s">
        <v>1233</v>
      </c>
      <c r="H69" s="113" t="s">
        <v>56</v>
      </c>
      <c r="I69" s="114" t="s">
        <v>1640</v>
      </c>
      <c r="J69" s="115" t="s">
        <v>1778</v>
      </c>
      <c r="K69" s="114" t="s">
        <v>2001</v>
      </c>
      <c r="L69" s="114"/>
      <c r="M69" s="114"/>
      <c r="N69" s="114"/>
      <c r="O69" s="121"/>
      <c r="P69" s="123"/>
      <c r="Q69" s="123"/>
      <c r="R69" s="114"/>
      <c r="S69" s="114"/>
      <c r="T69" s="114"/>
      <c r="U69" s="114"/>
      <c r="V69" s="114"/>
      <c r="W69" s="114"/>
      <c r="X69" s="118"/>
    </row>
    <row r="70">
      <c r="A70" s="115" t="s">
        <v>1041</v>
      </c>
      <c r="B70" s="111" t="s">
        <v>1803</v>
      </c>
      <c r="C70" s="111" t="s">
        <v>1804</v>
      </c>
      <c r="D70" s="111" t="s">
        <v>2554</v>
      </c>
      <c r="E70" s="111" t="s">
        <v>56</v>
      </c>
      <c r="F70" s="113" t="s">
        <v>1233</v>
      </c>
      <c r="G70" s="113" t="s">
        <v>1233</v>
      </c>
      <c r="H70" s="113" t="s">
        <v>56</v>
      </c>
      <c r="I70" s="114" t="s">
        <v>1640</v>
      </c>
      <c r="J70" s="115" t="s">
        <v>1780</v>
      </c>
      <c r="K70" s="114" t="s">
        <v>2001</v>
      </c>
      <c r="L70" s="114"/>
      <c r="M70" s="114"/>
      <c r="N70" s="114"/>
      <c r="O70" s="121"/>
      <c r="P70" s="123"/>
      <c r="Q70" s="123"/>
      <c r="R70" s="114"/>
      <c r="S70" s="114"/>
      <c r="T70" s="114"/>
      <c r="U70" s="114"/>
      <c r="V70" s="114"/>
      <c r="W70" s="114"/>
      <c r="X70" s="118"/>
    </row>
    <row r="71">
      <c r="A71" s="115" t="s">
        <v>1044</v>
      </c>
      <c r="B71" s="111" t="s">
        <v>1805</v>
      </c>
      <c r="C71" s="111" t="s">
        <v>1806</v>
      </c>
      <c r="D71" s="111" t="s">
        <v>2555</v>
      </c>
      <c r="E71" s="111" t="s">
        <v>56</v>
      </c>
      <c r="F71" s="113" t="s">
        <v>1233</v>
      </c>
      <c r="G71" s="113" t="s">
        <v>1233</v>
      </c>
      <c r="H71" s="113" t="s">
        <v>56</v>
      </c>
      <c r="I71" s="114" t="s">
        <v>1640</v>
      </c>
      <c r="J71" s="115" t="s">
        <v>1782</v>
      </c>
      <c r="K71" s="114" t="s">
        <v>2001</v>
      </c>
      <c r="L71" s="114"/>
      <c r="M71" s="114"/>
      <c r="N71" s="114"/>
      <c r="O71" s="121"/>
      <c r="P71" s="123"/>
      <c r="Q71" s="123"/>
      <c r="R71" s="114"/>
      <c r="S71" s="114"/>
      <c r="T71" s="114"/>
      <c r="U71" s="114"/>
      <c r="V71" s="114"/>
      <c r="W71" s="114"/>
      <c r="X71" s="118"/>
    </row>
    <row r="72">
      <c r="A72" s="115" t="s">
        <v>1047</v>
      </c>
      <c r="B72" s="111" t="s">
        <v>1807</v>
      </c>
      <c r="C72" s="111" t="s">
        <v>1808</v>
      </c>
      <c r="D72" s="111" t="s">
        <v>2556</v>
      </c>
      <c r="E72" s="111" t="s">
        <v>56</v>
      </c>
      <c r="F72" s="113" t="s">
        <v>1233</v>
      </c>
      <c r="G72" s="113" t="s">
        <v>1233</v>
      </c>
      <c r="H72" s="113" t="s">
        <v>56</v>
      </c>
      <c r="I72" s="114" t="s">
        <v>1640</v>
      </c>
      <c r="J72" s="115" t="s">
        <v>1784</v>
      </c>
      <c r="K72" s="114" t="s">
        <v>2001</v>
      </c>
      <c r="L72" s="114"/>
      <c r="M72" s="114"/>
      <c r="N72" s="114"/>
      <c r="O72" s="121"/>
      <c r="P72" s="123"/>
      <c r="Q72" s="123"/>
      <c r="R72" s="114"/>
      <c r="S72" s="114"/>
      <c r="T72" s="114"/>
      <c r="U72" s="114"/>
      <c r="V72" s="114"/>
      <c r="W72" s="114"/>
      <c r="X72" s="118"/>
    </row>
    <row r="73">
      <c r="A73" s="115" t="s">
        <v>1049</v>
      </c>
      <c r="B73" s="111" t="s">
        <v>1809</v>
      </c>
      <c r="C73" s="111" t="s">
        <v>1810</v>
      </c>
      <c r="D73" s="111" t="s">
        <v>2557</v>
      </c>
      <c r="E73" s="111" t="s">
        <v>56</v>
      </c>
      <c r="F73" s="113" t="s">
        <v>1233</v>
      </c>
      <c r="G73" s="113" t="s">
        <v>1233</v>
      </c>
      <c r="H73" s="113" t="s">
        <v>56</v>
      </c>
      <c r="I73" s="114" t="s">
        <v>1640</v>
      </c>
      <c r="J73" s="115" t="s">
        <v>1784</v>
      </c>
      <c r="K73" s="114" t="s">
        <v>2003</v>
      </c>
      <c r="L73" s="114"/>
      <c r="M73" s="114"/>
      <c r="N73" s="114"/>
      <c r="O73" s="121"/>
      <c r="P73" s="123"/>
      <c r="Q73" s="123"/>
      <c r="R73" s="114"/>
      <c r="S73" s="114"/>
      <c r="T73" s="114"/>
      <c r="U73" s="114"/>
      <c r="V73" s="114"/>
      <c r="W73" s="114"/>
      <c r="X73" s="118"/>
    </row>
    <row r="74">
      <c r="A74" s="115" t="s">
        <v>1051</v>
      </c>
      <c r="B74" s="111" t="s">
        <v>1811</v>
      </c>
      <c r="C74" s="111" t="s">
        <v>1812</v>
      </c>
      <c r="D74" s="111" t="s">
        <v>2558</v>
      </c>
      <c r="E74" s="111" t="s">
        <v>56</v>
      </c>
      <c r="F74" s="113" t="s">
        <v>1233</v>
      </c>
      <c r="G74" s="113" t="s">
        <v>1233</v>
      </c>
      <c r="H74" s="113" t="s">
        <v>56</v>
      </c>
      <c r="I74" s="114" t="s">
        <v>1640</v>
      </c>
      <c r="J74" s="115" t="s">
        <v>1784</v>
      </c>
      <c r="K74" s="114" t="s">
        <v>2005</v>
      </c>
      <c r="L74" s="114"/>
      <c r="M74" s="114"/>
      <c r="N74" s="114"/>
      <c r="O74" s="121"/>
      <c r="P74" s="123"/>
      <c r="Q74" s="123"/>
      <c r="R74" s="114"/>
      <c r="S74" s="114"/>
      <c r="T74" s="114"/>
      <c r="U74" s="114"/>
      <c r="V74" s="114"/>
      <c r="W74" s="114"/>
      <c r="X74" s="118"/>
    </row>
    <row r="75">
      <c r="A75" s="115" t="s">
        <v>1054</v>
      </c>
      <c r="B75" s="111" t="s">
        <v>1813</v>
      </c>
      <c r="C75" s="111" t="s">
        <v>1814</v>
      </c>
      <c r="D75" s="111" t="s">
        <v>2559</v>
      </c>
      <c r="E75" s="111" t="s">
        <v>56</v>
      </c>
      <c r="F75" s="113" t="s">
        <v>1233</v>
      </c>
      <c r="G75" s="113" t="s">
        <v>1233</v>
      </c>
      <c r="H75" s="113" t="s">
        <v>56</v>
      </c>
      <c r="I75" s="114" t="s">
        <v>1640</v>
      </c>
      <c r="J75" s="115" t="s">
        <v>1786</v>
      </c>
      <c r="K75" s="114" t="s">
        <v>2001</v>
      </c>
      <c r="L75" s="114"/>
      <c r="M75" s="114"/>
      <c r="N75" s="114"/>
      <c r="O75" s="121"/>
      <c r="P75" s="123"/>
      <c r="Q75" s="123"/>
      <c r="R75" s="114"/>
      <c r="S75" s="114"/>
      <c r="T75" s="114"/>
      <c r="U75" s="114"/>
      <c r="V75" s="114"/>
      <c r="W75" s="114"/>
      <c r="X75" s="118"/>
    </row>
    <row r="76">
      <c r="A76" s="115" t="s">
        <v>1057</v>
      </c>
      <c r="B76" s="111" t="s">
        <v>1815</v>
      </c>
      <c r="C76" s="111" t="s">
        <v>1816</v>
      </c>
      <c r="D76" s="111" t="s">
        <v>2560</v>
      </c>
      <c r="E76" s="111" t="s">
        <v>56</v>
      </c>
      <c r="F76" s="113" t="s">
        <v>1233</v>
      </c>
      <c r="G76" s="113" t="s">
        <v>1233</v>
      </c>
      <c r="H76" s="113" t="s">
        <v>56</v>
      </c>
      <c r="I76" s="114" t="s">
        <v>1640</v>
      </c>
      <c r="J76" s="115" t="s">
        <v>1788</v>
      </c>
      <c r="K76" s="114" t="s">
        <v>2001</v>
      </c>
      <c r="L76" s="114"/>
      <c r="M76" s="114"/>
      <c r="N76" s="114"/>
      <c r="O76" s="121"/>
      <c r="P76" s="123"/>
      <c r="Q76" s="123"/>
      <c r="R76" s="114"/>
      <c r="S76" s="114"/>
      <c r="T76" s="114"/>
      <c r="U76" s="114"/>
      <c r="V76" s="114"/>
      <c r="W76" s="114"/>
      <c r="X76" s="118"/>
    </row>
    <row r="77">
      <c r="A77" s="115" t="s">
        <v>1060</v>
      </c>
      <c r="B77" s="111" t="s">
        <v>1817</v>
      </c>
      <c r="C77" s="111" t="s">
        <v>1818</v>
      </c>
      <c r="D77" s="111" t="s">
        <v>2561</v>
      </c>
      <c r="E77" s="111" t="s">
        <v>56</v>
      </c>
      <c r="F77" s="113" t="s">
        <v>1233</v>
      </c>
      <c r="G77" s="113" t="s">
        <v>1233</v>
      </c>
      <c r="H77" s="113" t="s">
        <v>56</v>
      </c>
      <c r="I77" s="114" t="s">
        <v>1640</v>
      </c>
      <c r="J77" s="115" t="s">
        <v>1790</v>
      </c>
      <c r="K77" s="114" t="s">
        <v>2001</v>
      </c>
      <c r="L77" s="114"/>
      <c r="M77" s="114"/>
      <c r="N77" s="114"/>
      <c r="O77" s="121"/>
      <c r="P77" s="123"/>
      <c r="Q77" s="123"/>
      <c r="R77" s="114"/>
      <c r="S77" s="114"/>
      <c r="T77" s="114"/>
      <c r="U77" s="114"/>
      <c r="V77" s="114"/>
      <c r="W77" s="114"/>
      <c r="X77" s="118"/>
    </row>
    <row r="78">
      <c r="A78" s="115" t="s">
        <v>1062</v>
      </c>
      <c r="B78" s="111" t="s">
        <v>1819</v>
      </c>
      <c r="C78" s="111" t="s">
        <v>1820</v>
      </c>
      <c r="D78" s="111" t="s">
        <v>2562</v>
      </c>
      <c r="E78" s="111" t="s">
        <v>56</v>
      </c>
      <c r="F78" s="113" t="s">
        <v>1233</v>
      </c>
      <c r="G78" s="113" t="s">
        <v>1233</v>
      </c>
      <c r="H78" s="113" t="s">
        <v>56</v>
      </c>
      <c r="I78" s="114" t="s">
        <v>1640</v>
      </c>
      <c r="J78" s="115" t="s">
        <v>1790</v>
      </c>
      <c r="K78" s="114" t="s">
        <v>2003</v>
      </c>
      <c r="L78" s="114"/>
      <c r="M78" s="114"/>
      <c r="N78" s="114"/>
      <c r="O78" s="121"/>
      <c r="P78" s="123"/>
      <c r="Q78" s="123"/>
      <c r="R78" s="114"/>
      <c r="S78" s="114"/>
      <c r="T78" s="114"/>
      <c r="U78" s="114"/>
      <c r="V78" s="114"/>
      <c r="W78" s="114"/>
      <c r="X78" s="118"/>
    </row>
    <row r="79">
      <c r="A79" s="115" t="s">
        <v>1064</v>
      </c>
      <c r="B79" s="111" t="s">
        <v>1821</v>
      </c>
      <c r="C79" s="111" t="s">
        <v>1822</v>
      </c>
      <c r="D79" s="111" t="s">
        <v>2563</v>
      </c>
      <c r="E79" s="111" t="s">
        <v>56</v>
      </c>
      <c r="F79" s="113" t="s">
        <v>1233</v>
      </c>
      <c r="G79" s="113" t="s">
        <v>1233</v>
      </c>
      <c r="H79" s="113" t="s">
        <v>56</v>
      </c>
      <c r="I79" s="114" t="s">
        <v>1640</v>
      </c>
      <c r="J79" s="115" t="s">
        <v>1790</v>
      </c>
      <c r="K79" s="114" t="s">
        <v>2005</v>
      </c>
      <c r="L79" s="114"/>
      <c r="M79" s="114"/>
      <c r="N79" s="114"/>
      <c r="O79" s="121"/>
      <c r="P79" s="123"/>
      <c r="Q79" s="123"/>
      <c r="R79" s="114"/>
      <c r="S79" s="114"/>
      <c r="T79" s="114"/>
      <c r="U79" s="114"/>
      <c r="V79" s="114"/>
      <c r="W79" s="114"/>
      <c r="X79" s="118"/>
    </row>
    <row r="80">
      <c r="A80" s="115" t="s">
        <v>1067</v>
      </c>
      <c r="B80" s="111" t="s">
        <v>1823</v>
      </c>
      <c r="C80" s="111" t="s">
        <v>1824</v>
      </c>
      <c r="D80" s="111" t="s">
        <v>2564</v>
      </c>
      <c r="E80" s="111" t="s">
        <v>56</v>
      </c>
      <c r="F80" s="113" t="s">
        <v>1233</v>
      </c>
      <c r="G80" s="113" t="s">
        <v>1233</v>
      </c>
      <c r="H80" s="113" t="s">
        <v>56</v>
      </c>
      <c r="I80" s="114" t="s">
        <v>1640</v>
      </c>
      <c r="J80" s="115" t="s">
        <v>1792</v>
      </c>
      <c r="K80" s="114" t="s">
        <v>2001</v>
      </c>
      <c r="L80" s="114"/>
      <c r="M80" s="114"/>
      <c r="N80" s="114"/>
      <c r="O80" s="121"/>
      <c r="P80" s="123"/>
      <c r="Q80" s="123"/>
      <c r="R80" s="114"/>
      <c r="S80" s="114"/>
      <c r="T80" s="114"/>
      <c r="U80" s="114"/>
      <c r="V80" s="114"/>
      <c r="W80" s="114"/>
      <c r="X80" s="118"/>
    </row>
    <row r="81">
      <c r="A81" s="115" t="s">
        <v>1069</v>
      </c>
      <c r="B81" s="111" t="s">
        <v>1825</v>
      </c>
      <c r="C81" s="111" t="s">
        <v>1826</v>
      </c>
      <c r="D81" s="111" t="s">
        <v>2565</v>
      </c>
      <c r="E81" s="111" t="s">
        <v>56</v>
      </c>
      <c r="F81" s="113" t="s">
        <v>1233</v>
      </c>
      <c r="G81" s="113" t="s">
        <v>1233</v>
      </c>
      <c r="H81" s="113" t="s">
        <v>56</v>
      </c>
      <c r="I81" s="114" t="s">
        <v>1640</v>
      </c>
      <c r="J81" s="115" t="s">
        <v>1792</v>
      </c>
      <c r="K81" s="114" t="s">
        <v>2003</v>
      </c>
      <c r="L81" s="114"/>
      <c r="M81" s="114"/>
      <c r="N81" s="114"/>
      <c r="O81" s="121"/>
      <c r="P81" s="123"/>
      <c r="Q81" s="123"/>
      <c r="R81" s="114"/>
      <c r="S81" s="114"/>
      <c r="T81" s="114"/>
      <c r="U81" s="114"/>
      <c r="V81" s="114"/>
      <c r="W81" s="114"/>
      <c r="X81" s="118"/>
    </row>
    <row r="82">
      <c r="A82" s="115" t="s">
        <v>1072</v>
      </c>
      <c r="B82" s="111" t="s">
        <v>1827</v>
      </c>
      <c r="C82" s="111" t="s">
        <v>1828</v>
      </c>
      <c r="D82" s="111" t="s">
        <v>2566</v>
      </c>
      <c r="E82" s="111" t="s">
        <v>56</v>
      </c>
      <c r="F82" s="113" t="s">
        <v>1233</v>
      </c>
      <c r="G82" s="113" t="s">
        <v>1233</v>
      </c>
      <c r="H82" s="113" t="s">
        <v>56</v>
      </c>
      <c r="I82" s="114" t="s">
        <v>1640</v>
      </c>
      <c r="J82" s="115" t="s">
        <v>1794</v>
      </c>
      <c r="K82" s="114" t="s">
        <v>2001</v>
      </c>
      <c r="L82" s="114"/>
      <c r="M82" s="114"/>
      <c r="N82" s="114"/>
      <c r="O82" s="121"/>
      <c r="P82" s="123"/>
      <c r="Q82" s="123"/>
      <c r="R82" s="114"/>
      <c r="S82" s="114"/>
      <c r="T82" s="114"/>
      <c r="U82" s="114"/>
      <c r="V82" s="114"/>
      <c r="W82" s="114"/>
      <c r="X82" s="118"/>
    </row>
    <row r="83">
      <c r="A83" s="115" t="s">
        <v>857</v>
      </c>
      <c r="B83" s="111" t="s">
        <v>1717</v>
      </c>
      <c r="C83" s="111" t="s">
        <v>1718</v>
      </c>
      <c r="D83" s="111" t="s">
        <v>2567</v>
      </c>
      <c r="E83" s="111" t="s">
        <v>56</v>
      </c>
      <c r="F83" s="113" t="s">
        <v>1233</v>
      </c>
      <c r="G83" s="113" t="s">
        <v>1233</v>
      </c>
      <c r="H83" s="113" t="s">
        <v>56</v>
      </c>
      <c r="I83" s="114" t="s">
        <v>1640</v>
      </c>
      <c r="J83" s="115" t="s">
        <v>1796</v>
      </c>
      <c r="K83" s="114" t="s">
        <v>2001</v>
      </c>
      <c r="L83" s="114"/>
      <c r="M83" s="114"/>
      <c r="N83" s="114"/>
      <c r="O83" s="121"/>
      <c r="P83" s="123"/>
      <c r="Q83" s="123"/>
      <c r="R83" s="114"/>
      <c r="S83" s="114"/>
      <c r="T83" s="114"/>
      <c r="U83" s="114"/>
      <c r="V83" s="114"/>
      <c r="W83" s="114"/>
      <c r="X83" s="118"/>
    </row>
  </sheetData>
  <mergeCells count="4">
    <mergeCell ref="A1:B1"/>
    <mergeCell ref="F1:H1"/>
    <mergeCell ref="I1:P1"/>
    <mergeCell ref="Q1:X1"/>
  </mergeCells>
  <conditionalFormatting sqref="G3 O3 L4:L83 T4:T83">
    <cfRule type="cellIs" dxfId="3" priority="1" operator="equal">
      <formula>"Yes"</formula>
    </cfRule>
  </conditionalFormatting>
  <conditionalFormatting sqref="G3 O3 L4:L83 T4:T83">
    <cfRule type="cellIs" dxfId="4" priority="2" operator="equal">
      <formula>"No"</formula>
    </cfRule>
  </conditionalFormatting>
  <conditionalFormatting sqref="G3 O3 L4:L83 T4:T83">
    <cfRule type="cellIs" dxfId="5" priority="3" operator="equal">
      <formula>"Maybe"</formula>
    </cfRule>
  </conditionalFormatting>
  <conditionalFormatting sqref="H3 M4:M83 U4:U83">
    <cfRule type="cellIs" dxfId="3" priority="4" operator="equal">
      <formula>"No Issues"</formula>
    </cfRule>
  </conditionalFormatting>
  <conditionalFormatting sqref="H3 M4:M83 U4:U83">
    <cfRule type="cellIs" dxfId="4" priority="5" operator="equal">
      <formula>"Unresolved Issue"</formula>
    </cfRule>
  </conditionalFormatting>
  <conditionalFormatting sqref="H3 M4:M83 U4:U83">
    <cfRule type="cellIs" dxfId="6" priority="6" operator="equal">
      <formula>"Repaired Issue"</formula>
    </cfRule>
  </conditionalFormatting>
  <conditionalFormatting sqref="H3 M4:M83 U4:U83">
    <cfRule type="cellIs" dxfId="7" priority="7" operator="equal">
      <formula>"To Check (RCC)"</formula>
    </cfRule>
  </conditionalFormatting>
  <dataValidations>
    <dataValidation type="list" allowBlank="1" sqref="O3 L4:L83 T4:T83">
      <formula1>"Yes,Maybe,No"</formula1>
    </dataValidation>
    <dataValidation type="list" allowBlank="1" sqref="M4:M83 U4:U83">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 r:id="rId159" ref="F83"/>
    <hyperlink r:id="rId160" ref="G83"/>
  </hyperlinks>
  <drawing r:id="rId16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63"/>
    <col customWidth="1" min="2" max="2" width="7.88"/>
    <col customWidth="1" hidden="1" min="3" max="3" width="6.63"/>
    <col customWidth="1" hidden="1" min="4" max="4" width="7.5"/>
    <col customWidth="1" hidden="1" min="5" max="5" width="5.63"/>
    <col customWidth="1" min="6" max="6" width="3.13"/>
    <col customWidth="1" min="7" max="8" width="3.25"/>
    <col customWidth="1" min="9" max="9" width="5.25"/>
    <col customWidth="1" min="10" max="11" width="6.63"/>
    <col customWidth="1" min="12" max="12" width="9.38"/>
    <col customWidth="1" min="13" max="13" width="15.63"/>
    <col customWidth="1" min="14" max="14" width="31.63"/>
    <col customWidth="1" min="15" max="15" width="27.38"/>
    <col customWidth="1" min="16" max="16" width="20.13"/>
    <col customWidth="1" min="17" max="17" width="5.5"/>
    <col customWidth="1" min="18" max="19" width="6.63"/>
    <col customWidth="1" min="20" max="20" width="9.38"/>
    <col customWidth="1" min="21" max="21" width="15.63"/>
    <col customWidth="1" min="22" max="22" width="31.63"/>
    <col customWidth="1" min="23" max="23" width="27.38"/>
    <col customWidth="1" min="24" max="24" width="20.13"/>
  </cols>
  <sheetData>
    <row r="1" ht="21.0" customHeight="1">
      <c r="A1" s="94" t="s">
        <v>1895</v>
      </c>
      <c r="C1" s="94"/>
      <c r="D1" s="94"/>
      <c r="E1" s="94"/>
      <c r="F1" s="95" t="s">
        <v>1896</v>
      </c>
      <c r="I1" s="96" t="s">
        <v>1897</v>
      </c>
      <c r="J1" s="97"/>
      <c r="K1" s="97"/>
      <c r="L1" s="97"/>
      <c r="M1" s="97"/>
      <c r="N1" s="97"/>
      <c r="O1" s="97"/>
      <c r="P1" s="98"/>
      <c r="Q1" s="99" t="s">
        <v>1898</v>
      </c>
      <c r="R1" s="97"/>
      <c r="S1" s="97"/>
      <c r="T1" s="97"/>
      <c r="U1" s="97"/>
      <c r="V1" s="97"/>
      <c r="W1" s="97"/>
      <c r="X1" s="98"/>
    </row>
    <row r="2" ht="21.0" customHeight="1">
      <c r="A2" s="100" t="s">
        <v>1219</v>
      </c>
      <c r="B2" s="100" t="s">
        <v>1218</v>
      </c>
      <c r="C2" s="94" t="s">
        <v>1899</v>
      </c>
      <c r="D2" s="94" t="s">
        <v>1900</v>
      </c>
      <c r="E2" s="94" t="s">
        <v>1901</v>
      </c>
      <c r="F2" s="95" t="s">
        <v>1902</v>
      </c>
      <c r="G2" s="95" t="s">
        <v>1903</v>
      </c>
      <c r="H2" s="101" t="s">
        <v>1904</v>
      </c>
      <c r="I2" s="102" t="s">
        <v>1905</v>
      </c>
      <c r="J2" s="103" t="s">
        <v>1220</v>
      </c>
      <c r="K2" s="103" t="s">
        <v>27</v>
      </c>
      <c r="L2" s="103" t="s">
        <v>1906</v>
      </c>
      <c r="M2" s="102" t="s">
        <v>1907</v>
      </c>
      <c r="N2" s="103" t="s">
        <v>1908</v>
      </c>
      <c r="O2" s="95" t="s">
        <v>1909</v>
      </c>
      <c r="P2" s="104" t="s">
        <v>1910</v>
      </c>
      <c r="Q2" s="105" t="s">
        <v>1905</v>
      </c>
      <c r="R2" s="103" t="s">
        <v>1220</v>
      </c>
      <c r="S2" s="103" t="s">
        <v>27</v>
      </c>
      <c r="T2" s="103" t="s">
        <v>1906</v>
      </c>
      <c r="U2" s="102" t="s">
        <v>1907</v>
      </c>
      <c r="V2" s="103" t="s">
        <v>1908</v>
      </c>
      <c r="W2" s="103" t="s">
        <v>1909</v>
      </c>
      <c r="X2" s="103" t="s">
        <v>1910</v>
      </c>
    </row>
    <row r="3" hidden="1">
      <c r="A3" s="106" t="s">
        <v>1911</v>
      </c>
      <c r="B3" s="57" t="str">
        <f t="array" ref="B3:B86">IF($A$3:$A86&lt;&gt;"", XLOOKUP($A$3:$A86, Sourcepull!$B$3:$B86, Sourcepull!$A$3:$A86, ""), "")</f>
        <v/>
      </c>
      <c r="C3" s="57" t="str">
        <f t="array" ref="C3:C86">if($A$3:$A86&lt;&gt;"","SP-"&amp;$B$3:$B86&amp;"-"&amp;$A$3:$A86&amp;".pdf", "")</f>
        <v>SP--Keep this row hidden / do not edit!.pdf</v>
      </c>
      <c r="D3" s="57" t="str">
        <f t="array" ref="D3:D86">if($J$3:$J86&lt;&gt;"","R1-"&amp;$J$3:$J86&amp;"-"&amp;$K$3:$K86&amp;"-"&amp;$B$3:$B86&amp;"-"&amp;$A$3:$A86&amp;".pdf", "")</f>
        <v/>
      </c>
      <c r="E3" s="57" t="str">
        <f t="array" ref="E3:E86">if($R$3:$R86&lt;&gt;"","R2-"&amp;$R$3:$R86&amp;"-"&amp;$S$3:$S86&amp;"-"&amp;$B$3:$B86&amp;"-"&amp;$A$3:$A86&amp;".pdf", "")</f>
        <v/>
      </c>
      <c r="F3" s="107" t="str">
        <f t="array" ref="F3:F86">if($C$3:$C86 &lt;&gt; "", hyperlink("https://drive.google.com/drive/search?q=parent:" &amp; Properties!$C$8 &amp; "%20" &amp; char(34) &amp; $C$3:$C86 &amp; char(34), "➔"), "")</f>
        <v>➔</v>
      </c>
      <c r="G3" s="107" t="str">
        <f t="array" ref="G3:G86">if($D$3:$D86 &lt;&gt; "", hyperlink("https://drive.google.com/drive/search?q=parent:" &amp; Properties!$C$9 &amp; "%20" &amp; char(34) &amp; $D$3:$D86 &amp; char(34), "➔"), "")</f>
        <v/>
      </c>
      <c r="H3" s="107" t="str">
        <f t="array" ref="H3:H86">if($E$3:$E86 &lt;&gt; "", hyperlink("https://drive.google.com/drive/search?q=parent:" &amp; Properties!$C$10 &amp; "%20" &amp; char(34) &amp; $E$3:$E86 &amp; char(34), "➔"), "")</f>
        <v/>
      </c>
      <c r="I3" s="57"/>
      <c r="J3" s="57"/>
      <c r="K3" s="57"/>
      <c r="L3" s="57"/>
      <c r="M3" s="57"/>
      <c r="N3" s="57"/>
      <c r="O3" s="57"/>
      <c r="P3" s="108"/>
      <c r="Q3" s="109"/>
      <c r="R3" s="57"/>
      <c r="S3" s="57"/>
      <c r="T3" s="57"/>
      <c r="U3" s="57"/>
      <c r="V3" s="57"/>
      <c r="W3" s="57"/>
      <c r="X3" s="57"/>
    </row>
    <row r="4">
      <c r="A4" s="110" t="s">
        <v>721</v>
      </c>
      <c r="B4" s="111" t="s">
        <v>1649</v>
      </c>
      <c r="C4" s="111" t="s">
        <v>1650</v>
      </c>
      <c r="D4" s="111" t="s">
        <v>2568</v>
      </c>
      <c r="E4" s="111" t="s">
        <v>56</v>
      </c>
      <c r="F4" s="112" t="s">
        <v>1233</v>
      </c>
      <c r="G4" s="113" t="s">
        <v>1233</v>
      </c>
      <c r="H4" s="113" t="s">
        <v>56</v>
      </c>
      <c r="I4" s="114" t="s">
        <v>1235</v>
      </c>
      <c r="J4" s="115" t="s">
        <v>1798</v>
      </c>
      <c r="K4" s="114" t="s">
        <v>2001</v>
      </c>
      <c r="L4" s="114"/>
      <c r="M4" s="114"/>
      <c r="N4" s="114"/>
      <c r="O4" s="114"/>
      <c r="P4" s="116"/>
      <c r="Q4" s="117"/>
      <c r="R4" s="114"/>
      <c r="S4" s="114"/>
      <c r="T4" s="114"/>
      <c r="U4" s="114"/>
      <c r="V4" s="114"/>
      <c r="W4" s="114"/>
      <c r="X4" s="118"/>
    </row>
    <row r="5">
      <c r="A5" s="115" t="s">
        <v>526</v>
      </c>
      <c r="B5" s="111" t="s">
        <v>1539</v>
      </c>
      <c r="C5" s="111" t="s">
        <v>1540</v>
      </c>
      <c r="D5" s="111" t="s">
        <v>2569</v>
      </c>
      <c r="E5" s="111" t="s">
        <v>56</v>
      </c>
      <c r="F5" s="113" t="s">
        <v>1233</v>
      </c>
      <c r="G5" s="113" t="s">
        <v>1233</v>
      </c>
      <c r="H5" s="113" t="s">
        <v>56</v>
      </c>
      <c r="I5" s="114" t="s">
        <v>1235</v>
      </c>
      <c r="J5" s="115" t="s">
        <v>1798</v>
      </c>
      <c r="K5" s="114" t="s">
        <v>2003</v>
      </c>
      <c r="L5" s="114"/>
      <c r="M5" s="114"/>
      <c r="N5" s="119"/>
      <c r="O5" s="114"/>
      <c r="P5" s="120"/>
      <c r="Q5" s="117"/>
      <c r="R5" s="114"/>
      <c r="S5" s="114"/>
      <c r="T5" s="114"/>
      <c r="U5" s="114"/>
      <c r="V5" s="114"/>
      <c r="W5" s="114"/>
      <c r="X5" s="118"/>
    </row>
    <row r="6">
      <c r="A6" s="115" t="s">
        <v>1079</v>
      </c>
      <c r="B6" s="111" t="s">
        <v>1829</v>
      </c>
      <c r="C6" s="111" t="s">
        <v>1830</v>
      </c>
      <c r="D6" s="111" t="s">
        <v>2570</v>
      </c>
      <c r="E6" s="111" t="s">
        <v>56</v>
      </c>
      <c r="F6" s="113" t="s">
        <v>1233</v>
      </c>
      <c r="G6" s="113" t="s">
        <v>1233</v>
      </c>
      <c r="H6" s="113" t="s">
        <v>56</v>
      </c>
      <c r="I6" s="114" t="s">
        <v>1235</v>
      </c>
      <c r="J6" s="115" t="s">
        <v>1798</v>
      </c>
      <c r="K6" s="114" t="s">
        <v>2005</v>
      </c>
      <c r="L6" s="114"/>
      <c r="M6" s="114"/>
      <c r="N6" s="114"/>
      <c r="O6" s="121"/>
      <c r="P6" s="116"/>
      <c r="Q6" s="117"/>
      <c r="R6" s="114"/>
      <c r="S6" s="114"/>
      <c r="T6" s="114"/>
      <c r="U6" s="114"/>
      <c r="V6" s="114"/>
      <c r="W6" s="114"/>
      <c r="X6" s="118"/>
    </row>
    <row r="7">
      <c r="A7" s="115" t="s">
        <v>466</v>
      </c>
      <c r="B7" s="111" t="s">
        <v>1491</v>
      </c>
      <c r="C7" s="111" t="s">
        <v>1492</v>
      </c>
      <c r="D7" s="111" t="s">
        <v>2571</v>
      </c>
      <c r="E7" s="111" t="s">
        <v>56</v>
      </c>
      <c r="F7" s="113" t="s">
        <v>1233</v>
      </c>
      <c r="G7" s="113" t="s">
        <v>1233</v>
      </c>
      <c r="H7" s="113" t="s">
        <v>56</v>
      </c>
      <c r="I7" s="114" t="s">
        <v>1235</v>
      </c>
      <c r="J7" s="115" t="s">
        <v>1798</v>
      </c>
      <c r="K7" s="114" t="s">
        <v>2007</v>
      </c>
      <c r="L7" s="114"/>
      <c r="M7" s="114"/>
      <c r="N7" s="114"/>
      <c r="O7" s="121"/>
      <c r="P7" s="122"/>
      <c r="Q7" s="123"/>
      <c r="R7" s="114"/>
      <c r="S7" s="114"/>
      <c r="T7" s="114"/>
      <c r="U7" s="114"/>
      <c r="V7" s="114"/>
      <c r="W7" s="114"/>
      <c r="X7" s="118"/>
    </row>
    <row r="8">
      <c r="A8" s="115" t="s">
        <v>470</v>
      </c>
      <c r="B8" s="111" t="s">
        <v>1495</v>
      </c>
      <c r="C8" s="111" t="s">
        <v>1496</v>
      </c>
      <c r="D8" s="111" t="s">
        <v>2572</v>
      </c>
      <c r="E8" s="111" t="s">
        <v>56</v>
      </c>
      <c r="F8" s="113" t="s">
        <v>1233</v>
      </c>
      <c r="G8" s="113" t="s">
        <v>1233</v>
      </c>
      <c r="H8" s="113" t="s">
        <v>56</v>
      </c>
      <c r="I8" s="114" t="s">
        <v>1235</v>
      </c>
      <c r="J8" s="115" t="s">
        <v>1798</v>
      </c>
      <c r="K8" s="114" t="s">
        <v>2009</v>
      </c>
      <c r="L8" s="114"/>
      <c r="M8" s="114"/>
      <c r="N8" s="114"/>
      <c r="O8" s="121"/>
      <c r="P8" s="122"/>
      <c r="Q8" s="123"/>
      <c r="R8" s="114"/>
      <c r="S8" s="114"/>
      <c r="T8" s="114"/>
      <c r="U8" s="114"/>
      <c r="V8" s="114"/>
      <c r="W8" s="114"/>
      <c r="X8" s="118"/>
    </row>
    <row r="9">
      <c r="A9" s="115" t="s">
        <v>96</v>
      </c>
      <c r="B9" s="111" t="s">
        <v>1270</v>
      </c>
      <c r="C9" s="111" t="s">
        <v>1271</v>
      </c>
      <c r="D9" s="111" t="s">
        <v>2573</v>
      </c>
      <c r="E9" s="111" t="s">
        <v>56</v>
      </c>
      <c r="F9" s="113" t="s">
        <v>1233</v>
      </c>
      <c r="G9" s="113" t="s">
        <v>1233</v>
      </c>
      <c r="H9" s="113" t="s">
        <v>56</v>
      </c>
      <c r="I9" s="114" t="s">
        <v>1235</v>
      </c>
      <c r="J9" s="115" t="s">
        <v>1798</v>
      </c>
      <c r="K9" s="114" t="s">
        <v>2041</v>
      </c>
      <c r="L9" s="114"/>
      <c r="M9" s="114"/>
      <c r="N9" s="114"/>
      <c r="O9" s="121"/>
      <c r="P9" s="122"/>
      <c r="Q9" s="123"/>
      <c r="R9" s="114"/>
      <c r="S9" s="114"/>
      <c r="T9" s="114"/>
      <c r="U9" s="114"/>
      <c r="V9" s="114"/>
      <c r="W9" s="114"/>
      <c r="X9" s="118"/>
    </row>
    <row r="10">
      <c r="A10" s="115" t="s">
        <v>1083</v>
      </c>
      <c r="B10" s="111" t="s">
        <v>1831</v>
      </c>
      <c r="C10" s="111" t="s">
        <v>1832</v>
      </c>
      <c r="D10" s="111" t="s">
        <v>2574</v>
      </c>
      <c r="E10" s="111" t="s">
        <v>56</v>
      </c>
      <c r="F10" s="113" t="s">
        <v>1233</v>
      </c>
      <c r="G10" s="113" t="s">
        <v>1233</v>
      </c>
      <c r="H10" s="113" t="s">
        <v>56</v>
      </c>
      <c r="I10" s="114" t="s">
        <v>1235</v>
      </c>
      <c r="J10" s="115" t="s">
        <v>1798</v>
      </c>
      <c r="K10" s="114" t="s">
        <v>2043</v>
      </c>
      <c r="L10" s="114"/>
      <c r="M10" s="114"/>
      <c r="N10" s="114"/>
      <c r="O10" s="121"/>
      <c r="P10" s="122"/>
      <c r="Q10" s="123"/>
      <c r="R10" s="114"/>
      <c r="S10" s="114"/>
      <c r="T10" s="114"/>
      <c r="U10" s="114"/>
      <c r="V10" s="114"/>
      <c r="W10" s="114"/>
      <c r="X10" s="118"/>
    </row>
    <row r="11">
      <c r="A11" s="115" t="s">
        <v>1085</v>
      </c>
      <c r="B11" s="111" t="s">
        <v>1833</v>
      </c>
      <c r="C11" s="111" t="s">
        <v>1834</v>
      </c>
      <c r="D11" s="111" t="s">
        <v>2575</v>
      </c>
      <c r="E11" s="111" t="s">
        <v>56</v>
      </c>
      <c r="F11" s="113" t="s">
        <v>1233</v>
      </c>
      <c r="G11" s="113" t="s">
        <v>1233</v>
      </c>
      <c r="H11" s="113" t="s">
        <v>56</v>
      </c>
      <c r="I11" s="114" t="s">
        <v>1235</v>
      </c>
      <c r="J11" s="115" t="s">
        <v>1798</v>
      </c>
      <c r="K11" s="114" t="s">
        <v>2045</v>
      </c>
      <c r="L11" s="114"/>
      <c r="M11" s="114"/>
      <c r="N11" s="114"/>
      <c r="O11" s="121"/>
      <c r="P11" s="122"/>
      <c r="Q11" s="123"/>
      <c r="R11" s="114"/>
      <c r="S11" s="114"/>
      <c r="T11" s="114"/>
      <c r="U11" s="114"/>
      <c r="V11" s="114"/>
      <c r="W11" s="114"/>
      <c r="X11" s="118"/>
    </row>
    <row r="12">
      <c r="A12" s="115">
        <v>1292.0</v>
      </c>
      <c r="B12" s="111" t="s">
        <v>1325</v>
      </c>
      <c r="C12" s="111" t="s">
        <v>1326</v>
      </c>
      <c r="D12" s="111" t="s">
        <v>2576</v>
      </c>
      <c r="E12" s="111" t="s">
        <v>56</v>
      </c>
      <c r="F12" s="113" t="s">
        <v>1233</v>
      </c>
      <c r="G12" s="113" t="s">
        <v>1233</v>
      </c>
      <c r="H12" s="113" t="s">
        <v>56</v>
      </c>
      <c r="I12" s="114" t="s">
        <v>1235</v>
      </c>
      <c r="J12" s="115" t="s">
        <v>1798</v>
      </c>
      <c r="K12" s="114" t="s">
        <v>2047</v>
      </c>
      <c r="L12" s="114"/>
      <c r="M12" s="114"/>
      <c r="N12" s="114"/>
      <c r="O12" s="121"/>
      <c r="P12" s="123"/>
      <c r="Q12" s="123"/>
      <c r="R12" s="114"/>
      <c r="S12" s="114"/>
      <c r="T12" s="114"/>
      <c r="U12" s="114"/>
      <c r="V12" s="114"/>
      <c r="W12" s="114"/>
      <c r="X12" s="118"/>
    </row>
    <row r="13">
      <c r="A13" s="115" t="s">
        <v>82</v>
      </c>
      <c r="B13" s="111" t="s">
        <v>1258</v>
      </c>
      <c r="C13" s="111" t="s">
        <v>1259</v>
      </c>
      <c r="D13" s="111" t="s">
        <v>2577</v>
      </c>
      <c r="E13" s="111" t="s">
        <v>56</v>
      </c>
      <c r="F13" s="113" t="s">
        <v>1233</v>
      </c>
      <c r="G13" s="113" t="s">
        <v>1233</v>
      </c>
      <c r="H13" s="113" t="s">
        <v>56</v>
      </c>
      <c r="I13" s="114" t="s">
        <v>1235</v>
      </c>
      <c r="J13" s="115" t="s">
        <v>1801</v>
      </c>
      <c r="K13" s="114" t="s">
        <v>2001</v>
      </c>
      <c r="L13" s="114"/>
      <c r="M13" s="114"/>
      <c r="N13" s="114"/>
      <c r="O13" s="121"/>
      <c r="P13" s="123"/>
      <c r="Q13" s="123"/>
      <c r="R13" s="114"/>
      <c r="S13" s="114"/>
      <c r="T13" s="114"/>
      <c r="U13" s="114"/>
      <c r="V13" s="114"/>
      <c r="W13" s="114"/>
      <c r="X13" s="118"/>
    </row>
    <row r="14">
      <c r="A14" s="115" t="s">
        <v>1089</v>
      </c>
      <c r="B14" s="111" t="s">
        <v>1835</v>
      </c>
      <c r="C14" s="111" t="s">
        <v>1836</v>
      </c>
      <c r="D14" s="111" t="s">
        <v>2578</v>
      </c>
      <c r="E14" s="111" t="s">
        <v>56</v>
      </c>
      <c r="F14" s="113" t="s">
        <v>1233</v>
      </c>
      <c r="G14" s="113" t="s">
        <v>1233</v>
      </c>
      <c r="H14" s="113" t="s">
        <v>56</v>
      </c>
      <c r="I14" s="114" t="s">
        <v>1235</v>
      </c>
      <c r="J14" s="115" t="s">
        <v>1801</v>
      </c>
      <c r="K14" s="114" t="s">
        <v>2003</v>
      </c>
      <c r="L14" s="114"/>
      <c r="M14" s="114"/>
      <c r="N14" s="114"/>
      <c r="O14" s="121"/>
      <c r="P14" s="123"/>
      <c r="Q14" s="123"/>
      <c r="R14" s="114"/>
      <c r="S14" s="114"/>
      <c r="T14" s="114"/>
      <c r="U14" s="114"/>
      <c r="V14" s="114"/>
      <c r="W14" s="114"/>
      <c r="X14" s="118"/>
    </row>
    <row r="15">
      <c r="A15" s="115" t="s">
        <v>1091</v>
      </c>
      <c r="B15" s="111" t="s">
        <v>1837</v>
      </c>
      <c r="C15" s="111" t="s">
        <v>1838</v>
      </c>
      <c r="D15" s="111" t="s">
        <v>2579</v>
      </c>
      <c r="E15" s="111" t="s">
        <v>56</v>
      </c>
      <c r="F15" s="113" t="s">
        <v>1233</v>
      </c>
      <c r="G15" s="113" t="s">
        <v>1233</v>
      </c>
      <c r="H15" s="113" t="s">
        <v>56</v>
      </c>
      <c r="I15" s="114" t="s">
        <v>1235</v>
      </c>
      <c r="J15" s="115" t="s">
        <v>1801</v>
      </c>
      <c r="K15" s="114" t="s">
        <v>2005</v>
      </c>
      <c r="L15" s="114"/>
      <c r="M15" s="114"/>
      <c r="N15" s="114"/>
      <c r="O15" s="121"/>
      <c r="P15" s="123"/>
      <c r="Q15" s="123"/>
      <c r="R15" s="114"/>
      <c r="S15" s="114"/>
      <c r="T15" s="114"/>
      <c r="U15" s="114"/>
      <c r="V15" s="114"/>
      <c r="W15" s="114"/>
      <c r="X15" s="118"/>
    </row>
    <row r="16">
      <c r="A16" s="115" t="s">
        <v>1093</v>
      </c>
      <c r="B16" s="111" t="s">
        <v>1839</v>
      </c>
      <c r="C16" s="111" t="s">
        <v>1840</v>
      </c>
      <c r="D16" s="111" t="s">
        <v>2580</v>
      </c>
      <c r="E16" s="111" t="s">
        <v>56</v>
      </c>
      <c r="F16" s="113" t="s">
        <v>1233</v>
      </c>
      <c r="G16" s="113" t="s">
        <v>1233</v>
      </c>
      <c r="H16" s="113" t="s">
        <v>56</v>
      </c>
      <c r="I16" s="114" t="s">
        <v>1235</v>
      </c>
      <c r="J16" s="115" t="s">
        <v>1801</v>
      </c>
      <c r="K16" s="114" t="s">
        <v>2007</v>
      </c>
      <c r="L16" s="114"/>
      <c r="M16" s="114"/>
      <c r="N16" s="114"/>
      <c r="O16" s="121"/>
      <c r="P16" s="123"/>
      <c r="Q16" s="123"/>
      <c r="R16" s="114"/>
      <c r="S16" s="114"/>
      <c r="T16" s="114"/>
      <c r="U16" s="114"/>
      <c r="V16" s="114"/>
      <c r="W16" s="114"/>
      <c r="X16" s="118"/>
    </row>
    <row r="17">
      <c r="A17" s="115" t="s">
        <v>1096</v>
      </c>
      <c r="B17" s="111" t="s">
        <v>1841</v>
      </c>
      <c r="C17" s="111" t="s">
        <v>1842</v>
      </c>
      <c r="D17" s="111" t="s">
        <v>2581</v>
      </c>
      <c r="E17" s="111" t="s">
        <v>56</v>
      </c>
      <c r="F17" s="113" t="s">
        <v>1233</v>
      </c>
      <c r="G17" s="113" t="s">
        <v>1233</v>
      </c>
      <c r="H17" s="113" t="s">
        <v>56</v>
      </c>
      <c r="I17" s="114" t="s">
        <v>1235</v>
      </c>
      <c r="J17" s="115" t="s">
        <v>1803</v>
      </c>
      <c r="K17" s="114" t="s">
        <v>2001</v>
      </c>
      <c r="L17" s="114"/>
      <c r="M17" s="114"/>
      <c r="N17" s="114"/>
      <c r="O17" s="121"/>
      <c r="P17" s="123"/>
      <c r="Q17" s="123"/>
      <c r="R17" s="114"/>
      <c r="S17" s="114"/>
      <c r="T17" s="114"/>
      <c r="U17" s="114"/>
      <c r="V17" s="114"/>
      <c r="W17" s="114"/>
      <c r="X17" s="118"/>
    </row>
    <row r="18">
      <c r="A18" s="115" t="s">
        <v>717</v>
      </c>
      <c r="B18" s="111" t="s">
        <v>1645</v>
      </c>
      <c r="C18" s="111" t="s">
        <v>1646</v>
      </c>
      <c r="D18" s="111" t="s">
        <v>2582</v>
      </c>
      <c r="E18" s="111" t="s">
        <v>56</v>
      </c>
      <c r="F18" s="113" t="s">
        <v>1233</v>
      </c>
      <c r="G18" s="113" t="s">
        <v>1233</v>
      </c>
      <c r="H18" s="113" t="s">
        <v>56</v>
      </c>
      <c r="I18" s="114" t="s">
        <v>1235</v>
      </c>
      <c r="J18" s="115" t="s">
        <v>1803</v>
      </c>
      <c r="K18" s="114" t="s">
        <v>2003</v>
      </c>
      <c r="L18" s="114"/>
      <c r="M18" s="114"/>
      <c r="N18" s="114"/>
      <c r="O18" s="121"/>
      <c r="P18" s="123"/>
      <c r="Q18" s="123"/>
      <c r="R18" s="114"/>
      <c r="S18" s="114"/>
      <c r="T18" s="114"/>
      <c r="U18" s="114"/>
      <c r="V18" s="114"/>
      <c r="W18" s="114"/>
      <c r="X18" s="118"/>
    </row>
    <row r="19">
      <c r="A19" s="115" t="s">
        <v>526</v>
      </c>
      <c r="B19" s="111" t="s">
        <v>1539</v>
      </c>
      <c r="C19" s="111" t="s">
        <v>1540</v>
      </c>
      <c r="D19" s="111" t="s">
        <v>2583</v>
      </c>
      <c r="E19" s="111" t="s">
        <v>56</v>
      </c>
      <c r="F19" s="113" t="s">
        <v>1233</v>
      </c>
      <c r="G19" s="113" t="s">
        <v>1233</v>
      </c>
      <c r="H19" s="113" t="s">
        <v>56</v>
      </c>
      <c r="I19" s="114" t="s">
        <v>1235</v>
      </c>
      <c r="J19" s="115" t="s">
        <v>1805</v>
      </c>
      <c r="K19" s="114" t="s">
        <v>2001</v>
      </c>
      <c r="L19" s="114"/>
      <c r="M19" s="114"/>
      <c r="N19" s="114"/>
      <c r="O19" s="121"/>
      <c r="P19" s="123"/>
      <c r="Q19" s="123"/>
      <c r="R19" s="114"/>
      <c r="S19" s="114"/>
      <c r="T19" s="114"/>
      <c r="U19" s="114"/>
      <c r="V19" s="114"/>
      <c r="W19" s="114"/>
      <c r="X19" s="118"/>
    </row>
    <row r="20">
      <c r="A20" s="115" t="s">
        <v>1101</v>
      </c>
      <c r="B20" s="111" t="s">
        <v>1843</v>
      </c>
      <c r="C20" s="111" t="s">
        <v>1844</v>
      </c>
      <c r="D20" s="111" t="s">
        <v>2584</v>
      </c>
      <c r="E20" s="111" t="s">
        <v>56</v>
      </c>
      <c r="F20" s="113" t="s">
        <v>1233</v>
      </c>
      <c r="G20" s="113" t="s">
        <v>1233</v>
      </c>
      <c r="H20" s="113" t="s">
        <v>56</v>
      </c>
      <c r="I20" s="114" t="s">
        <v>1235</v>
      </c>
      <c r="J20" s="115" t="s">
        <v>1805</v>
      </c>
      <c r="K20" s="114" t="s">
        <v>2003</v>
      </c>
      <c r="L20" s="114"/>
      <c r="M20" s="114"/>
      <c r="N20" s="114"/>
      <c r="O20" s="121"/>
      <c r="P20" s="123"/>
      <c r="Q20" s="123"/>
      <c r="R20" s="114"/>
      <c r="S20" s="114"/>
      <c r="T20" s="114"/>
      <c r="U20" s="114"/>
      <c r="V20" s="114"/>
      <c r="W20" s="114"/>
      <c r="X20" s="118"/>
    </row>
    <row r="21">
      <c r="A21" s="115" t="s">
        <v>1103</v>
      </c>
      <c r="B21" s="111" t="s">
        <v>1845</v>
      </c>
      <c r="C21" s="111" t="s">
        <v>1846</v>
      </c>
      <c r="D21" s="111" t="s">
        <v>2585</v>
      </c>
      <c r="E21" s="111" t="s">
        <v>56</v>
      </c>
      <c r="F21" s="113" t="s">
        <v>1233</v>
      </c>
      <c r="G21" s="113" t="s">
        <v>1233</v>
      </c>
      <c r="H21" s="113" t="s">
        <v>56</v>
      </c>
      <c r="I21" s="114" t="s">
        <v>1235</v>
      </c>
      <c r="J21" s="115" t="s">
        <v>1805</v>
      </c>
      <c r="K21" s="114" t="s">
        <v>2005</v>
      </c>
      <c r="L21" s="114"/>
      <c r="M21" s="114"/>
      <c r="N21" s="114"/>
      <c r="O21" s="121"/>
      <c r="P21" s="123"/>
      <c r="Q21" s="123"/>
      <c r="R21" s="114"/>
      <c r="S21" s="114"/>
      <c r="T21" s="114"/>
      <c r="U21" s="114"/>
      <c r="V21" s="114"/>
      <c r="W21" s="114"/>
      <c r="X21" s="118"/>
    </row>
    <row r="22">
      <c r="A22" s="115" t="s">
        <v>1096</v>
      </c>
      <c r="B22" s="111" t="s">
        <v>1841</v>
      </c>
      <c r="C22" s="111" t="s">
        <v>1842</v>
      </c>
      <c r="D22" s="111" t="s">
        <v>2586</v>
      </c>
      <c r="E22" s="111" t="s">
        <v>56</v>
      </c>
      <c r="F22" s="113" t="s">
        <v>1233</v>
      </c>
      <c r="G22" s="113" t="s">
        <v>1233</v>
      </c>
      <c r="H22" s="113" t="s">
        <v>56</v>
      </c>
      <c r="I22" s="114" t="s">
        <v>1235</v>
      </c>
      <c r="J22" s="115" t="s">
        <v>1807</v>
      </c>
      <c r="K22" s="114" t="s">
        <v>2001</v>
      </c>
      <c r="L22" s="114"/>
      <c r="M22" s="114"/>
      <c r="N22" s="114"/>
      <c r="O22" s="121"/>
      <c r="P22" s="123"/>
      <c r="Q22" s="123"/>
      <c r="R22" s="114"/>
      <c r="S22" s="114"/>
      <c r="T22" s="114"/>
      <c r="U22" s="114"/>
      <c r="V22" s="114"/>
      <c r="W22" s="114"/>
      <c r="X22" s="118"/>
    </row>
    <row r="23">
      <c r="A23" s="115" t="s">
        <v>1096</v>
      </c>
      <c r="B23" s="111" t="s">
        <v>1841</v>
      </c>
      <c r="C23" s="111" t="s">
        <v>1842</v>
      </c>
      <c r="D23" s="111" t="s">
        <v>2587</v>
      </c>
      <c r="E23" s="111" t="s">
        <v>56</v>
      </c>
      <c r="F23" s="113" t="s">
        <v>1233</v>
      </c>
      <c r="G23" s="113" t="s">
        <v>1233</v>
      </c>
      <c r="H23" s="113" t="s">
        <v>56</v>
      </c>
      <c r="I23" s="114" t="s">
        <v>1235</v>
      </c>
      <c r="J23" s="115" t="s">
        <v>1809</v>
      </c>
      <c r="K23" s="114" t="s">
        <v>2001</v>
      </c>
      <c r="L23" s="114"/>
      <c r="M23" s="114"/>
      <c r="N23" s="114"/>
      <c r="O23" s="121"/>
      <c r="P23" s="123"/>
      <c r="Q23" s="123"/>
      <c r="R23" s="114"/>
      <c r="S23" s="114"/>
      <c r="T23" s="114"/>
      <c r="U23" s="114"/>
      <c r="V23" s="114"/>
      <c r="W23" s="114"/>
      <c r="X23" s="118"/>
    </row>
    <row r="24">
      <c r="A24" s="115" t="s">
        <v>526</v>
      </c>
      <c r="B24" s="111" t="s">
        <v>1539</v>
      </c>
      <c r="C24" s="111" t="s">
        <v>1540</v>
      </c>
      <c r="D24" s="111" t="s">
        <v>2588</v>
      </c>
      <c r="E24" s="111" t="s">
        <v>56</v>
      </c>
      <c r="F24" s="113" t="s">
        <v>1233</v>
      </c>
      <c r="G24" s="113" t="s">
        <v>1233</v>
      </c>
      <c r="H24" s="113" t="s">
        <v>56</v>
      </c>
      <c r="I24" s="114" t="s">
        <v>1235</v>
      </c>
      <c r="J24" s="115" t="s">
        <v>1811</v>
      </c>
      <c r="K24" s="114" t="s">
        <v>2001</v>
      </c>
      <c r="L24" s="114"/>
      <c r="M24" s="114"/>
      <c r="N24" s="114"/>
      <c r="O24" s="121"/>
      <c r="P24" s="123"/>
      <c r="Q24" s="123"/>
      <c r="R24" s="114"/>
      <c r="S24" s="114"/>
      <c r="T24" s="114"/>
      <c r="U24" s="114"/>
      <c r="V24" s="114"/>
      <c r="W24" s="114"/>
      <c r="X24" s="118"/>
    </row>
    <row r="25">
      <c r="A25" s="115" t="s">
        <v>1111</v>
      </c>
      <c r="B25" s="111" t="s">
        <v>1847</v>
      </c>
      <c r="C25" s="111" t="s">
        <v>1848</v>
      </c>
      <c r="D25" s="111" t="s">
        <v>2589</v>
      </c>
      <c r="E25" s="111" t="s">
        <v>56</v>
      </c>
      <c r="F25" s="113" t="s">
        <v>1233</v>
      </c>
      <c r="G25" s="113" t="s">
        <v>1233</v>
      </c>
      <c r="H25" s="113" t="s">
        <v>56</v>
      </c>
      <c r="I25" s="114" t="s">
        <v>1235</v>
      </c>
      <c r="J25" s="115" t="s">
        <v>1811</v>
      </c>
      <c r="K25" s="114" t="s">
        <v>2003</v>
      </c>
      <c r="L25" s="114"/>
      <c r="M25" s="114"/>
      <c r="N25" s="114"/>
      <c r="O25" s="121"/>
      <c r="P25" s="123"/>
      <c r="Q25" s="123"/>
      <c r="R25" s="114"/>
      <c r="S25" s="114"/>
      <c r="T25" s="114"/>
      <c r="U25" s="114"/>
      <c r="V25" s="114"/>
      <c r="W25" s="114"/>
      <c r="X25" s="118"/>
    </row>
    <row r="26">
      <c r="A26" s="115" t="s">
        <v>109</v>
      </c>
      <c r="B26" s="111" t="s">
        <v>1282</v>
      </c>
      <c r="C26" s="111" t="s">
        <v>1283</v>
      </c>
      <c r="D26" s="111" t="s">
        <v>2590</v>
      </c>
      <c r="E26" s="111" t="s">
        <v>56</v>
      </c>
      <c r="F26" s="113" t="s">
        <v>1233</v>
      </c>
      <c r="G26" s="113" t="s">
        <v>1233</v>
      </c>
      <c r="H26" s="113" t="s">
        <v>56</v>
      </c>
      <c r="I26" s="114" t="s">
        <v>1235</v>
      </c>
      <c r="J26" s="115" t="s">
        <v>1811</v>
      </c>
      <c r="K26" s="114" t="s">
        <v>2005</v>
      </c>
      <c r="L26" s="114"/>
      <c r="M26" s="114"/>
      <c r="N26" s="114"/>
      <c r="O26" s="121"/>
      <c r="P26" s="123"/>
      <c r="Q26" s="123"/>
      <c r="R26" s="114"/>
      <c r="S26" s="114"/>
      <c r="T26" s="114"/>
      <c r="U26" s="114"/>
      <c r="V26" s="114"/>
      <c r="W26" s="114"/>
      <c r="X26" s="118"/>
    </row>
    <row r="27">
      <c r="A27" s="115" t="s">
        <v>111</v>
      </c>
      <c r="B27" s="111" t="s">
        <v>1284</v>
      </c>
      <c r="C27" s="111" t="s">
        <v>1285</v>
      </c>
      <c r="D27" s="111" t="s">
        <v>2591</v>
      </c>
      <c r="E27" s="111" t="s">
        <v>56</v>
      </c>
      <c r="F27" s="113" t="s">
        <v>1233</v>
      </c>
      <c r="G27" s="113" t="s">
        <v>1233</v>
      </c>
      <c r="H27" s="113" t="s">
        <v>56</v>
      </c>
      <c r="I27" s="114" t="s">
        <v>1235</v>
      </c>
      <c r="J27" s="115" t="s">
        <v>1813</v>
      </c>
      <c r="K27" s="114" t="s">
        <v>2001</v>
      </c>
      <c r="L27" s="114"/>
      <c r="M27" s="114"/>
      <c r="N27" s="114"/>
      <c r="O27" s="121"/>
      <c r="P27" s="123"/>
      <c r="Q27" s="123"/>
      <c r="R27" s="114"/>
      <c r="S27" s="114"/>
      <c r="T27" s="114"/>
      <c r="U27" s="114"/>
      <c r="V27" s="114"/>
      <c r="W27" s="114"/>
      <c r="X27" s="118"/>
    </row>
    <row r="28">
      <c r="A28" s="115" t="s">
        <v>884</v>
      </c>
      <c r="B28" s="111" t="s">
        <v>1738</v>
      </c>
      <c r="C28" s="111" t="s">
        <v>1739</v>
      </c>
      <c r="D28" s="111" t="s">
        <v>2592</v>
      </c>
      <c r="E28" s="111" t="s">
        <v>56</v>
      </c>
      <c r="F28" s="113" t="s">
        <v>1233</v>
      </c>
      <c r="G28" s="113" t="s">
        <v>1233</v>
      </c>
      <c r="H28" s="113" t="s">
        <v>56</v>
      </c>
      <c r="I28" s="114" t="s">
        <v>1235</v>
      </c>
      <c r="J28" s="115" t="s">
        <v>1815</v>
      </c>
      <c r="K28" s="114" t="s">
        <v>2001</v>
      </c>
      <c r="L28" s="114"/>
      <c r="M28" s="114"/>
      <c r="N28" s="114"/>
      <c r="O28" s="121"/>
      <c r="P28" s="123"/>
      <c r="Q28" s="123"/>
      <c r="R28" s="114"/>
      <c r="S28" s="114"/>
      <c r="T28" s="114"/>
      <c r="U28" s="114"/>
      <c r="V28" s="114"/>
      <c r="W28" s="114"/>
      <c r="X28" s="118"/>
    </row>
    <row r="29">
      <c r="A29" s="115" t="s">
        <v>1118</v>
      </c>
      <c r="B29" s="111" t="s">
        <v>1849</v>
      </c>
      <c r="C29" s="111" t="s">
        <v>1850</v>
      </c>
      <c r="D29" s="111" t="s">
        <v>2593</v>
      </c>
      <c r="E29" s="111" t="s">
        <v>56</v>
      </c>
      <c r="F29" s="113" t="s">
        <v>1233</v>
      </c>
      <c r="G29" s="113" t="s">
        <v>1233</v>
      </c>
      <c r="H29" s="113" t="s">
        <v>56</v>
      </c>
      <c r="I29" s="114" t="s">
        <v>1235</v>
      </c>
      <c r="J29" s="115" t="s">
        <v>1817</v>
      </c>
      <c r="K29" s="114" t="s">
        <v>2001</v>
      </c>
      <c r="L29" s="114"/>
      <c r="M29" s="114"/>
      <c r="N29" s="114"/>
      <c r="O29" s="121"/>
      <c r="P29" s="123"/>
      <c r="Q29" s="123"/>
      <c r="R29" s="114"/>
      <c r="S29" s="114"/>
      <c r="T29" s="114"/>
      <c r="U29" s="114"/>
      <c r="V29" s="114"/>
      <c r="W29" s="114"/>
      <c r="X29" s="118"/>
    </row>
    <row r="30">
      <c r="A30" s="115" t="s">
        <v>1120</v>
      </c>
      <c r="B30" s="111" t="s">
        <v>1851</v>
      </c>
      <c r="C30" s="111" t="s">
        <v>1852</v>
      </c>
      <c r="D30" s="111" t="s">
        <v>2594</v>
      </c>
      <c r="E30" s="111" t="s">
        <v>56</v>
      </c>
      <c r="F30" s="113" t="s">
        <v>1233</v>
      </c>
      <c r="G30" s="113" t="s">
        <v>1233</v>
      </c>
      <c r="H30" s="113" t="s">
        <v>56</v>
      </c>
      <c r="I30" s="114" t="s">
        <v>1235</v>
      </c>
      <c r="J30" s="115" t="s">
        <v>1817</v>
      </c>
      <c r="K30" s="114" t="s">
        <v>2003</v>
      </c>
      <c r="L30" s="114"/>
      <c r="M30" s="114"/>
      <c r="N30" s="114"/>
      <c r="O30" s="121"/>
      <c r="P30" s="123"/>
      <c r="Q30" s="123"/>
      <c r="R30" s="114"/>
      <c r="S30" s="114"/>
      <c r="T30" s="114"/>
      <c r="U30" s="114"/>
      <c r="V30" s="114"/>
      <c r="W30" s="114"/>
      <c r="X30" s="118"/>
    </row>
    <row r="31">
      <c r="A31" s="115" t="s">
        <v>140</v>
      </c>
      <c r="B31" s="111" t="s">
        <v>1306</v>
      </c>
      <c r="C31" s="111" t="s">
        <v>1307</v>
      </c>
      <c r="D31" s="111" t="s">
        <v>2595</v>
      </c>
      <c r="E31" s="111" t="s">
        <v>56</v>
      </c>
      <c r="F31" s="113" t="s">
        <v>1233</v>
      </c>
      <c r="G31" s="113" t="s">
        <v>1233</v>
      </c>
      <c r="H31" s="113" t="s">
        <v>56</v>
      </c>
      <c r="I31" s="114" t="s">
        <v>1235</v>
      </c>
      <c r="J31" s="115" t="s">
        <v>1819</v>
      </c>
      <c r="K31" s="114" t="s">
        <v>2001</v>
      </c>
      <c r="L31" s="114"/>
      <c r="M31" s="114"/>
      <c r="N31" s="114"/>
      <c r="O31" s="121"/>
      <c r="P31" s="123"/>
      <c r="Q31" s="123"/>
      <c r="R31" s="114"/>
      <c r="S31" s="114"/>
      <c r="T31" s="114"/>
      <c r="U31" s="114"/>
      <c r="V31" s="114"/>
      <c r="W31" s="114"/>
      <c r="X31" s="118"/>
    </row>
    <row r="32">
      <c r="A32" s="115" t="s">
        <v>129</v>
      </c>
      <c r="B32" s="111" t="s">
        <v>1298</v>
      </c>
      <c r="C32" s="111" t="s">
        <v>1299</v>
      </c>
      <c r="D32" s="111" t="s">
        <v>2596</v>
      </c>
      <c r="E32" s="111" t="s">
        <v>56</v>
      </c>
      <c r="F32" s="113" t="s">
        <v>1233</v>
      </c>
      <c r="G32" s="113" t="s">
        <v>1233</v>
      </c>
      <c r="H32" s="113" t="s">
        <v>56</v>
      </c>
      <c r="I32" s="114" t="s">
        <v>1235</v>
      </c>
      <c r="J32" s="115" t="s">
        <v>1821</v>
      </c>
      <c r="K32" s="114" t="s">
        <v>2001</v>
      </c>
      <c r="L32" s="114"/>
      <c r="M32" s="114"/>
      <c r="N32" s="114"/>
      <c r="O32" s="121"/>
      <c r="P32" s="123"/>
      <c r="Q32" s="123"/>
      <c r="R32" s="114"/>
      <c r="S32" s="114"/>
      <c r="T32" s="114"/>
      <c r="U32" s="114"/>
      <c r="V32" s="114"/>
      <c r="W32" s="114"/>
      <c r="X32" s="118"/>
    </row>
    <row r="33">
      <c r="A33" s="115" t="s">
        <v>205</v>
      </c>
      <c r="B33" s="111" t="s">
        <v>1359</v>
      </c>
      <c r="C33" s="111" t="s">
        <v>1360</v>
      </c>
      <c r="D33" s="111" t="s">
        <v>2597</v>
      </c>
      <c r="E33" s="111" t="s">
        <v>56</v>
      </c>
      <c r="F33" s="113" t="s">
        <v>1233</v>
      </c>
      <c r="G33" s="113" t="s">
        <v>1233</v>
      </c>
      <c r="H33" s="113" t="s">
        <v>56</v>
      </c>
      <c r="I33" s="114" t="s">
        <v>1235</v>
      </c>
      <c r="J33" s="115" t="s">
        <v>1821</v>
      </c>
      <c r="K33" s="114" t="s">
        <v>2003</v>
      </c>
      <c r="L33" s="114"/>
      <c r="M33" s="114"/>
      <c r="N33" s="114"/>
      <c r="O33" s="121"/>
      <c r="P33" s="123"/>
      <c r="Q33" s="123"/>
      <c r="R33" s="114"/>
      <c r="S33" s="114"/>
      <c r="T33" s="114"/>
      <c r="U33" s="114"/>
      <c r="V33" s="114"/>
      <c r="W33" s="114"/>
      <c r="X33" s="118"/>
    </row>
    <row r="34">
      <c r="A34" s="115" t="s">
        <v>195</v>
      </c>
      <c r="B34" s="111" t="s">
        <v>1351</v>
      </c>
      <c r="C34" s="111" t="s">
        <v>1352</v>
      </c>
      <c r="D34" s="111" t="s">
        <v>2598</v>
      </c>
      <c r="E34" s="111" t="s">
        <v>56</v>
      </c>
      <c r="F34" s="113" t="s">
        <v>1233</v>
      </c>
      <c r="G34" s="113" t="s">
        <v>1233</v>
      </c>
      <c r="H34" s="113" t="s">
        <v>56</v>
      </c>
      <c r="I34" s="114" t="s">
        <v>1235</v>
      </c>
      <c r="J34" s="115" t="s">
        <v>1821</v>
      </c>
      <c r="K34" s="114" t="s">
        <v>2005</v>
      </c>
      <c r="L34" s="114"/>
      <c r="M34" s="114"/>
      <c r="N34" s="114"/>
      <c r="O34" s="121"/>
      <c r="P34" s="123"/>
      <c r="Q34" s="123"/>
      <c r="R34" s="114"/>
      <c r="S34" s="114"/>
      <c r="T34" s="114"/>
      <c r="U34" s="114"/>
      <c r="V34" s="114"/>
      <c r="W34" s="114"/>
      <c r="X34" s="118"/>
    </row>
    <row r="35">
      <c r="A35" s="115" t="s">
        <v>140</v>
      </c>
      <c r="B35" s="111" t="s">
        <v>1306</v>
      </c>
      <c r="C35" s="111" t="s">
        <v>1307</v>
      </c>
      <c r="D35" s="111" t="s">
        <v>2599</v>
      </c>
      <c r="E35" s="111" t="s">
        <v>56</v>
      </c>
      <c r="F35" s="113" t="s">
        <v>1233</v>
      </c>
      <c r="G35" s="113" t="s">
        <v>1233</v>
      </c>
      <c r="H35" s="113" t="s">
        <v>56</v>
      </c>
      <c r="I35" s="114" t="s">
        <v>1235</v>
      </c>
      <c r="J35" s="115" t="s">
        <v>1823</v>
      </c>
      <c r="K35" s="114" t="s">
        <v>2001</v>
      </c>
      <c r="L35" s="114"/>
      <c r="M35" s="114"/>
      <c r="N35" s="114"/>
      <c r="O35" s="121"/>
      <c r="P35" s="123"/>
      <c r="Q35" s="123"/>
      <c r="R35" s="114"/>
      <c r="S35" s="114"/>
      <c r="T35" s="114"/>
      <c r="U35" s="114"/>
      <c r="V35" s="114"/>
      <c r="W35" s="114"/>
      <c r="X35" s="118"/>
    </row>
    <row r="36">
      <c r="A36" s="115" t="s">
        <v>884</v>
      </c>
      <c r="B36" s="111" t="s">
        <v>1738</v>
      </c>
      <c r="C36" s="111" t="s">
        <v>1739</v>
      </c>
      <c r="D36" s="111" t="s">
        <v>2600</v>
      </c>
      <c r="E36" s="111" t="s">
        <v>56</v>
      </c>
      <c r="F36" s="113" t="s">
        <v>1233</v>
      </c>
      <c r="G36" s="113" t="s">
        <v>1233</v>
      </c>
      <c r="H36" s="113" t="s">
        <v>56</v>
      </c>
      <c r="I36" s="114" t="s">
        <v>1235</v>
      </c>
      <c r="J36" s="115" t="s">
        <v>1823</v>
      </c>
      <c r="K36" s="114" t="s">
        <v>2003</v>
      </c>
      <c r="L36" s="114"/>
      <c r="M36" s="114"/>
      <c r="N36" s="114"/>
      <c r="O36" s="121"/>
      <c r="P36" s="123"/>
      <c r="Q36" s="123"/>
      <c r="R36" s="114"/>
      <c r="S36" s="114"/>
      <c r="T36" s="114"/>
      <c r="U36" s="114"/>
      <c r="V36" s="114"/>
      <c r="W36" s="114"/>
      <c r="X36" s="118"/>
    </row>
    <row r="37">
      <c r="A37" s="115" t="s">
        <v>884</v>
      </c>
      <c r="B37" s="111" t="s">
        <v>1738</v>
      </c>
      <c r="C37" s="111" t="s">
        <v>1739</v>
      </c>
      <c r="D37" s="111" t="s">
        <v>2601</v>
      </c>
      <c r="E37" s="111" t="s">
        <v>56</v>
      </c>
      <c r="F37" s="113" t="s">
        <v>1233</v>
      </c>
      <c r="G37" s="113" t="s">
        <v>1233</v>
      </c>
      <c r="H37" s="113" t="s">
        <v>56</v>
      </c>
      <c r="I37" s="114" t="s">
        <v>1235</v>
      </c>
      <c r="J37" s="115" t="s">
        <v>1825</v>
      </c>
      <c r="K37" s="114" t="s">
        <v>2001</v>
      </c>
      <c r="L37" s="114"/>
      <c r="M37" s="114"/>
      <c r="N37" s="114"/>
      <c r="O37" s="121"/>
      <c r="P37" s="123"/>
      <c r="Q37" s="123"/>
      <c r="R37" s="114"/>
      <c r="S37" s="114"/>
      <c r="T37" s="114"/>
      <c r="U37" s="114"/>
      <c r="V37" s="114"/>
      <c r="W37" s="114"/>
      <c r="X37" s="118"/>
    </row>
    <row r="38">
      <c r="A38" s="115" t="s">
        <v>1133</v>
      </c>
      <c r="B38" s="111" t="s">
        <v>1853</v>
      </c>
      <c r="C38" s="111" t="s">
        <v>1854</v>
      </c>
      <c r="D38" s="111" t="s">
        <v>2602</v>
      </c>
      <c r="E38" s="111" t="s">
        <v>56</v>
      </c>
      <c r="F38" s="113" t="s">
        <v>1233</v>
      </c>
      <c r="G38" s="113" t="s">
        <v>1233</v>
      </c>
      <c r="H38" s="113" t="s">
        <v>56</v>
      </c>
      <c r="I38" s="114" t="s">
        <v>1235</v>
      </c>
      <c r="J38" s="115" t="s">
        <v>1825</v>
      </c>
      <c r="K38" s="114" t="s">
        <v>2003</v>
      </c>
      <c r="L38" s="114"/>
      <c r="M38" s="114"/>
      <c r="N38" s="114"/>
      <c r="O38" s="121"/>
      <c r="P38" s="123"/>
      <c r="Q38" s="123"/>
      <c r="R38" s="114"/>
      <c r="S38" s="114"/>
      <c r="T38" s="114"/>
      <c r="U38" s="114"/>
      <c r="V38" s="114"/>
      <c r="W38" s="114"/>
      <c r="X38" s="118"/>
    </row>
    <row r="39">
      <c r="A39" s="115" t="s">
        <v>205</v>
      </c>
      <c r="B39" s="111" t="s">
        <v>1359</v>
      </c>
      <c r="C39" s="111" t="s">
        <v>1360</v>
      </c>
      <c r="D39" s="111" t="s">
        <v>2603</v>
      </c>
      <c r="E39" s="111" t="s">
        <v>56</v>
      </c>
      <c r="F39" s="113" t="s">
        <v>1233</v>
      </c>
      <c r="G39" s="113" t="s">
        <v>1233</v>
      </c>
      <c r="H39" s="113" t="s">
        <v>56</v>
      </c>
      <c r="I39" s="114" t="s">
        <v>1235</v>
      </c>
      <c r="J39" s="115" t="s">
        <v>1827</v>
      </c>
      <c r="K39" s="114" t="s">
        <v>2001</v>
      </c>
      <c r="L39" s="114"/>
      <c r="M39" s="114"/>
      <c r="N39" s="114"/>
      <c r="O39" s="121"/>
      <c r="P39" s="123"/>
      <c r="Q39" s="123"/>
      <c r="R39" s="114"/>
      <c r="S39" s="114"/>
      <c r="T39" s="114"/>
      <c r="U39" s="114"/>
      <c r="V39" s="114"/>
      <c r="W39" s="114"/>
      <c r="X39" s="118"/>
    </row>
    <row r="40">
      <c r="A40" s="115" t="s">
        <v>359</v>
      </c>
      <c r="B40" s="111" t="s">
        <v>1438</v>
      </c>
      <c r="C40" s="111" t="s">
        <v>1439</v>
      </c>
      <c r="D40" s="111" t="s">
        <v>2604</v>
      </c>
      <c r="E40" s="111" t="s">
        <v>56</v>
      </c>
      <c r="F40" s="113" t="s">
        <v>1233</v>
      </c>
      <c r="G40" s="113" t="s">
        <v>1233</v>
      </c>
      <c r="H40" s="113" t="s">
        <v>56</v>
      </c>
      <c r="I40" s="114" t="s">
        <v>1235</v>
      </c>
      <c r="J40" s="115" t="s">
        <v>1829</v>
      </c>
      <c r="K40" s="114" t="s">
        <v>2001</v>
      </c>
      <c r="L40" s="114"/>
      <c r="M40" s="114"/>
      <c r="N40" s="114"/>
      <c r="O40" s="121"/>
      <c r="P40" s="123"/>
      <c r="Q40" s="123"/>
      <c r="R40" s="114"/>
      <c r="S40" s="114"/>
      <c r="T40" s="114"/>
      <c r="U40" s="114"/>
      <c r="V40" s="114"/>
      <c r="W40" s="114"/>
      <c r="X40" s="118"/>
    </row>
    <row r="41">
      <c r="A41" s="115" t="s">
        <v>359</v>
      </c>
      <c r="B41" s="111" t="s">
        <v>1438</v>
      </c>
      <c r="C41" s="111" t="s">
        <v>1439</v>
      </c>
      <c r="D41" s="111" t="s">
        <v>2605</v>
      </c>
      <c r="E41" s="111" t="s">
        <v>56</v>
      </c>
      <c r="F41" s="113" t="s">
        <v>1233</v>
      </c>
      <c r="G41" s="113" t="s">
        <v>1233</v>
      </c>
      <c r="H41" s="113" t="s">
        <v>56</v>
      </c>
      <c r="I41" s="114" t="s">
        <v>1235</v>
      </c>
      <c r="J41" s="115" t="s">
        <v>1831</v>
      </c>
      <c r="K41" s="114" t="s">
        <v>2001</v>
      </c>
      <c r="L41" s="114"/>
      <c r="M41" s="114"/>
      <c r="N41" s="114"/>
      <c r="O41" s="121"/>
      <c r="P41" s="123"/>
      <c r="Q41" s="123"/>
      <c r="R41" s="114"/>
      <c r="S41" s="114"/>
      <c r="T41" s="114"/>
      <c r="U41" s="114"/>
      <c r="V41" s="114"/>
      <c r="W41" s="114"/>
      <c r="X41" s="118"/>
    </row>
    <row r="42">
      <c r="A42" s="115" t="s">
        <v>1141</v>
      </c>
      <c r="B42" s="111" t="s">
        <v>1855</v>
      </c>
      <c r="C42" s="111" t="s">
        <v>1856</v>
      </c>
      <c r="D42" s="111" t="s">
        <v>2606</v>
      </c>
      <c r="E42" s="111" t="s">
        <v>56</v>
      </c>
      <c r="F42" s="113" t="s">
        <v>1233</v>
      </c>
      <c r="G42" s="113" t="s">
        <v>1233</v>
      </c>
      <c r="H42" s="113" t="s">
        <v>56</v>
      </c>
      <c r="I42" s="114" t="s">
        <v>1235</v>
      </c>
      <c r="J42" s="115" t="s">
        <v>1833</v>
      </c>
      <c r="K42" s="114" t="s">
        <v>2001</v>
      </c>
      <c r="L42" s="114"/>
      <c r="M42" s="114"/>
      <c r="N42" s="114"/>
      <c r="O42" s="121"/>
      <c r="P42" s="123"/>
      <c r="Q42" s="123"/>
      <c r="R42" s="114"/>
      <c r="S42" s="114"/>
      <c r="T42" s="114"/>
      <c r="U42" s="114"/>
      <c r="V42" s="114"/>
      <c r="W42" s="114"/>
      <c r="X42" s="118"/>
    </row>
    <row r="43">
      <c r="A43" s="115">
        <v>1292.0</v>
      </c>
      <c r="B43" s="111" t="s">
        <v>1325</v>
      </c>
      <c r="C43" s="111" t="s">
        <v>1326</v>
      </c>
      <c r="D43" s="111" t="s">
        <v>2607</v>
      </c>
      <c r="E43" s="111" t="s">
        <v>56</v>
      </c>
      <c r="F43" s="113" t="s">
        <v>1233</v>
      </c>
      <c r="G43" s="113" t="s">
        <v>1233</v>
      </c>
      <c r="H43" s="113" t="s">
        <v>56</v>
      </c>
      <c r="I43" s="114" t="s">
        <v>1235</v>
      </c>
      <c r="J43" s="115" t="s">
        <v>1833</v>
      </c>
      <c r="K43" s="114" t="s">
        <v>2003</v>
      </c>
      <c r="L43" s="114"/>
      <c r="M43" s="114"/>
      <c r="N43" s="114"/>
      <c r="O43" s="121"/>
      <c r="P43" s="123"/>
      <c r="Q43" s="123"/>
      <c r="R43" s="114"/>
      <c r="S43" s="114"/>
      <c r="T43" s="114"/>
      <c r="U43" s="114"/>
      <c r="V43" s="114"/>
      <c r="W43" s="114"/>
      <c r="X43" s="118"/>
    </row>
    <row r="44">
      <c r="A44" s="115" t="s">
        <v>496</v>
      </c>
      <c r="B44" s="111" t="s">
        <v>1517</v>
      </c>
      <c r="C44" s="111" t="s">
        <v>1518</v>
      </c>
      <c r="D44" s="111" t="s">
        <v>2608</v>
      </c>
      <c r="E44" s="111" t="s">
        <v>56</v>
      </c>
      <c r="F44" s="113" t="s">
        <v>1233</v>
      </c>
      <c r="G44" s="113" t="s">
        <v>1233</v>
      </c>
      <c r="H44" s="113" t="s">
        <v>56</v>
      </c>
      <c r="I44" s="114" t="s">
        <v>1235</v>
      </c>
      <c r="J44" s="115" t="s">
        <v>1833</v>
      </c>
      <c r="K44" s="114" t="s">
        <v>2005</v>
      </c>
      <c r="L44" s="114"/>
      <c r="M44" s="114"/>
      <c r="N44" s="114"/>
      <c r="O44" s="121"/>
      <c r="P44" s="123"/>
      <c r="Q44" s="123"/>
      <c r="R44" s="114"/>
      <c r="S44" s="114"/>
      <c r="T44" s="114"/>
      <c r="U44" s="114"/>
      <c r="V44" s="114"/>
      <c r="W44" s="114"/>
      <c r="X44" s="118"/>
    </row>
    <row r="45">
      <c r="A45" s="115" t="s">
        <v>1144</v>
      </c>
      <c r="B45" s="111" t="s">
        <v>1857</v>
      </c>
      <c r="C45" s="111" t="s">
        <v>1858</v>
      </c>
      <c r="D45" s="111" t="s">
        <v>2609</v>
      </c>
      <c r="E45" s="111" t="s">
        <v>56</v>
      </c>
      <c r="F45" s="113" t="s">
        <v>1233</v>
      </c>
      <c r="G45" s="113" t="s">
        <v>1233</v>
      </c>
      <c r="H45" s="113" t="s">
        <v>56</v>
      </c>
      <c r="I45" s="114" t="s">
        <v>1235</v>
      </c>
      <c r="J45" s="115" t="s">
        <v>1833</v>
      </c>
      <c r="K45" s="114" t="s">
        <v>2007</v>
      </c>
      <c r="L45" s="114"/>
      <c r="M45" s="114"/>
      <c r="N45" s="114"/>
      <c r="O45" s="121"/>
      <c r="P45" s="123"/>
      <c r="Q45" s="123"/>
      <c r="R45" s="114"/>
      <c r="S45" s="114"/>
      <c r="T45" s="114"/>
      <c r="U45" s="114"/>
      <c r="V45" s="114"/>
      <c r="W45" s="114"/>
      <c r="X45" s="118"/>
    </row>
    <row r="46">
      <c r="A46" s="115" t="s">
        <v>1147</v>
      </c>
      <c r="B46" s="111" t="s">
        <v>1859</v>
      </c>
      <c r="C46" s="111" t="s">
        <v>1860</v>
      </c>
      <c r="D46" s="111" t="s">
        <v>2610</v>
      </c>
      <c r="E46" s="111" t="s">
        <v>56</v>
      </c>
      <c r="F46" s="113" t="s">
        <v>1233</v>
      </c>
      <c r="G46" s="113" t="s">
        <v>1233</v>
      </c>
      <c r="H46" s="113" t="s">
        <v>56</v>
      </c>
      <c r="I46" s="114" t="s">
        <v>1235</v>
      </c>
      <c r="J46" s="115" t="s">
        <v>1835</v>
      </c>
      <c r="K46" s="114" t="s">
        <v>2001</v>
      </c>
      <c r="L46" s="114"/>
      <c r="M46" s="114"/>
      <c r="N46" s="114"/>
      <c r="O46" s="121"/>
      <c r="P46" s="123"/>
      <c r="Q46" s="123"/>
      <c r="R46" s="114"/>
      <c r="S46" s="114"/>
      <c r="T46" s="114"/>
      <c r="U46" s="114"/>
      <c r="V46" s="114"/>
      <c r="W46" s="114"/>
      <c r="X46" s="118"/>
    </row>
    <row r="47">
      <c r="A47" s="115" t="s">
        <v>1150</v>
      </c>
      <c r="B47" s="111" t="s">
        <v>1861</v>
      </c>
      <c r="C47" s="111" t="s">
        <v>1862</v>
      </c>
      <c r="D47" s="111" t="s">
        <v>2611</v>
      </c>
      <c r="E47" s="111" t="s">
        <v>56</v>
      </c>
      <c r="F47" s="113" t="s">
        <v>1233</v>
      </c>
      <c r="G47" s="113" t="s">
        <v>1233</v>
      </c>
      <c r="H47" s="113" t="s">
        <v>56</v>
      </c>
      <c r="I47" s="114" t="s">
        <v>1235</v>
      </c>
      <c r="J47" s="115" t="s">
        <v>1837</v>
      </c>
      <c r="K47" s="114" t="s">
        <v>2001</v>
      </c>
      <c r="L47" s="114"/>
      <c r="M47" s="114"/>
      <c r="N47" s="114"/>
      <c r="O47" s="121"/>
      <c r="P47" s="123"/>
      <c r="Q47" s="123"/>
      <c r="R47" s="114"/>
      <c r="S47" s="114"/>
      <c r="T47" s="114"/>
      <c r="U47" s="114"/>
      <c r="V47" s="114"/>
      <c r="W47" s="114"/>
      <c r="X47" s="118"/>
    </row>
    <row r="48">
      <c r="A48" s="115" t="s">
        <v>101</v>
      </c>
      <c r="B48" s="111" t="s">
        <v>1274</v>
      </c>
      <c r="C48" s="111" t="s">
        <v>1275</v>
      </c>
      <c r="D48" s="111" t="s">
        <v>2612</v>
      </c>
      <c r="E48" s="111" t="s">
        <v>56</v>
      </c>
      <c r="F48" s="113" t="s">
        <v>1233</v>
      </c>
      <c r="G48" s="113" t="s">
        <v>1233</v>
      </c>
      <c r="H48" s="113" t="s">
        <v>56</v>
      </c>
      <c r="I48" s="114" t="s">
        <v>1235</v>
      </c>
      <c r="J48" s="115" t="s">
        <v>1839</v>
      </c>
      <c r="K48" s="114" t="s">
        <v>2001</v>
      </c>
      <c r="L48" s="114"/>
      <c r="M48" s="114"/>
      <c r="N48" s="114"/>
      <c r="O48" s="121"/>
      <c r="P48" s="123"/>
      <c r="Q48" s="123"/>
      <c r="R48" s="114"/>
      <c r="S48" s="114"/>
      <c r="T48" s="114"/>
      <c r="U48" s="114"/>
      <c r="V48" s="114"/>
      <c r="W48" s="114"/>
      <c r="X48" s="118"/>
    </row>
    <row r="49">
      <c r="A49" s="115" t="s">
        <v>1155</v>
      </c>
      <c r="B49" s="111" t="s">
        <v>1863</v>
      </c>
      <c r="C49" s="111" t="s">
        <v>1864</v>
      </c>
      <c r="D49" s="111" t="s">
        <v>2613</v>
      </c>
      <c r="E49" s="111" t="s">
        <v>56</v>
      </c>
      <c r="F49" s="113" t="s">
        <v>1233</v>
      </c>
      <c r="G49" s="113" t="s">
        <v>1233</v>
      </c>
      <c r="H49" s="113" t="s">
        <v>56</v>
      </c>
      <c r="I49" s="114" t="s">
        <v>1235</v>
      </c>
      <c r="J49" s="115" t="s">
        <v>1841</v>
      </c>
      <c r="K49" s="114" t="s">
        <v>2001</v>
      </c>
      <c r="L49" s="114"/>
      <c r="M49" s="114"/>
      <c r="N49" s="114"/>
      <c r="O49" s="121"/>
      <c r="P49" s="123"/>
      <c r="Q49" s="123"/>
      <c r="R49" s="114"/>
      <c r="S49" s="114"/>
      <c r="T49" s="114"/>
      <c r="U49" s="114"/>
      <c r="V49" s="114"/>
      <c r="W49" s="114"/>
      <c r="X49" s="118"/>
    </row>
    <row r="50">
      <c r="A50" s="115" t="s">
        <v>1158</v>
      </c>
      <c r="B50" s="111" t="s">
        <v>1865</v>
      </c>
      <c r="C50" s="111" t="s">
        <v>1866</v>
      </c>
      <c r="D50" s="111" t="s">
        <v>2614</v>
      </c>
      <c r="E50" s="111" t="s">
        <v>56</v>
      </c>
      <c r="F50" s="113" t="s">
        <v>1233</v>
      </c>
      <c r="G50" s="113" t="s">
        <v>1233</v>
      </c>
      <c r="H50" s="113" t="s">
        <v>56</v>
      </c>
      <c r="I50" s="114" t="s">
        <v>1235</v>
      </c>
      <c r="J50" s="115" t="s">
        <v>1843</v>
      </c>
      <c r="K50" s="114" t="s">
        <v>2001</v>
      </c>
      <c r="L50" s="114"/>
      <c r="M50" s="114"/>
      <c r="N50" s="114"/>
      <c r="O50" s="121"/>
      <c r="P50" s="123"/>
      <c r="Q50" s="123"/>
      <c r="R50" s="114"/>
      <c r="S50" s="114"/>
      <c r="T50" s="114"/>
      <c r="U50" s="114"/>
      <c r="V50" s="114"/>
      <c r="W50" s="114"/>
      <c r="X50" s="118"/>
    </row>
    <row r="51">
      <c r="A51" s="115" t="s">
        <v>963</v>
      </c>
      <c r="B51" s="111" t="s">
        <v>1770</v>
      </c>
      <c r="C51" s="111" t="s">
        <v>1771</v>
      </c>
      <c r="D51" s="111" t="s">
        <v>2615</v>
      </c>
      <c r="E51" s="111" t="s">
        <v>56</v>
      </c>
      <c r="F51" s="113" t="s">
        <v>1233</v>
      </c>
      <c r="G51" s="113" t="s">
        <v>1233</v>
      </c>
      <c r="H51" s="113" t="s">
        <v>56</v>
      </c>
      <c r="I51" s="114" t="s">
        <v>1235</v>
      </c>
      <c r="J51" s="115" t="s">
        <v>1845</v>
      </c>
      <c r="K51" s="114" t="s">
        <v>2001</v>
      </c>
      <c r="L51" s="114"/>
      <c r="M51" s="114"/>
      <c r="N51" s="114"/>
      <c r="O51" s="121"/>
      <c r="P51" s="123"/>
      <c r="Q51" s="123"/>
      <c r="R51" s="114"/>
      <c r="S51" s="114"/>
      <c r="T51" s="114"/>
      <c r="U51" s="114"/>
      <c r="V51" s="114"/>
      <c r="W51" s="114"/>
      <c r="X51" s="118"/>
    </row>
    <row r="52">
      <c r="A52" s="115" t="s">
        <v>267</v>
      </c>
      <c r="B52" s="111" t="s">
        <v>1402</v>
      </c>
      <c r="C52" s="111" t="s">
        <v>1403</v>
      </c>
      <c r="D52" s="111" t="s">
        <v>2616</v>
      </c>
      <c r="E52" s="111" t="s">
        <v>56</v>
      </c>
      <c r="F52" s="113" t="s">
        <v>1233</v>
      </c>
      <c r="G52" s="113" t="s">
        <v>1233</v>
      </c>
      <c r="H52" s="113" t="s">
        <v>56</v>
      </c>
      <c r="I52" s="114" t="s">
        <v>1235</v>
      </c>
      <c r="J52" s="115" t="s">
        <v>1845</v>
      </c>
      <c r="K52" s="114" t="s">
        <v>2003</v>
      </c>
      <c r="L52" s="114"/>
      <c r="M52" s="114"/>
      <c r="N52" s="114"/>
      <c r="O52" s="121"/>
      <c r="P52" s="123"/>
      <c r="Q52" s="123"/>
      <c r="R52" s="114"/>
      <c r="S52" s="114"/>
      <c r="T52" s="114"/>
      <c r="U52" s="114"/>
      <c r="V52" s="114"/>
      <c r="W52" s="114"/>
      <c r="X52" s="118"/>
    </row>
    <row r="53">
      <c r="A53" s="115" t="s">
        <v>1163</v>
      </c>
      <c r="B53" s="111" t="s">
        <v>1867</v>
      </c>
      <c r="C53" s="111" t="s">
        <v>1868</v>
      </c>
      <c r="D53" s="111" t="s">
        <v>2617</v>
      </c>
      <c r="E53" s="111" t="s">
        <v>56</v>
      </c>
      <c r="F53" s="113" t="s">
        <v>1233</v>
      </c>
      <c r="G53" s="113" t="s">
        <v>1233</v>
      </c>
      <c r="H53" s="113" t="s">
        <v>56</v>
      </c>
      <c r="I53" s="114" t="s">
        <v>1235</v>
      </c>
      <c r="J53" s="115" t="s">
        <v>1847</v>
      </c>
      <c r="K53" s="114" t="s">
        <v>2001</v>
      </c>
      <c r="L53" s="114"/>
      <c r="M53" s="114"/>
      <c r="N53" s="114"/>
      <c r="O53" s="121"/>
      <c r="P53" s="123"/>
      <c r="Q53" s="123"/>
      <c r="R53" s="114"/>
      <c r="S53" s="114"/>
      <c r="T53" s="114"/>
      <c r="U53" s="114"/>
      <c r="V53" s="114"/>
      <c r="W53" s="114"/>
      <c r="X53" s="118"/>
    </row>
    <row r="54">
      <c r="A54" s="115" t="s">
        <v>1165</v>
      </c>
      <c r="B54" s="111" t="s">
        <v>1869</v>
      </c>
      <c r="C54" s="111" t="s">
        <v>1870</v>
      </c>
      <c r="D54" s="111" t="s">
        <v>2618</v>
      </c>
      <c r="E54" s="111" t="s">
        <v>56</v>
      </c>
      <c r="F54" s="113" t="s">
        <v>1233</v>
      </c>
      <c r="G54" s="113" t="s">
        <v>1233</v>
      </c>
      <c r="H54" s="113" t="s">
        <v>56</v>
      </c>
      <c r="I54" s="114" t="s">
        <v>1235</v>
      </c>
      <c r="J54" s="115" t="s">
        <v>1847</v>
      </c>
      <c r="K54" s="114" t="s">
        <v>2003</v>
      </c>
      <c r="L54" s="114"/>
      <c r="M54" s="114"/>
      <c r="N54" s="114"/>
      <c r="O54" s="121"/>
      <c r="P54" s="123"/>
      <c r="Q54" s="123"/>
      <c r="R54" s="114"/>
      <c r="S54" s="114"/>
      <c r="T54" s="114"/>
      <c r="U54" s="114"/>
      <c r="V54" s="114"/>
      <c r="W54" s="114"/>
      <c r="X54" s="118"/>
    </row>
    <row r="55">
      <c r="A55" s="115" t="s">
        <v>782</v>
      </c>
      <c r="B55" s="111" t="s">
        <v>1683</v>
      </c>
      <c r="C55" s="111" t="s">
        <v>1684</v>
      </c>
      <c r="D55" s="111" t="s">
        <v>2619</v>
      </c>
      <c r="E55" s="111" t="s">
        <v>56</v>
      </c>
      <c r="F55" s="113" t="s">
        <v>1233</v>
      </c>
      <c r="G55" s="113" t="s">
        <v>1233</v>
      </c>
      <c r="H55" s="113" t="s">
        <v>56</v>
      </c>
      <c r="I55" s="114" t="s">
        <v>1235</v>
      </c>
      <c r="J55" s="115" t="s">
        <v>1849</v>
      </c>
      <c r="K55" s="114" t="s">
        <v>2001</v>
      </c>
      <c r="L55" s="114"/>
      <c r="M55" s="114"/>
      <c r="N55" s="114"/>
      <c r="O55" s="121"/>
      <c r="P55" s="123"/>
      <c r="Q55" s="123"/>
      <c r="R55" s="114"/>
      <c r="S55" s="114"/>
      <c r="T55" s="114"/>
      <c r="U55" s="114"/>
      <c r="V55" s="114"/>
      <c r="W55" s="114"/>
      <c r="X55" s="118"/>
    </row>
    <row r="56">
      <c r="A56" s="115" t="s">
        <v>486</v>
      </c>
      <c r="B56" s="111" t="s">
        <v>1509</v>
      </c>
      <c r="C56" s="111" t="s">
        <v>1510</v>
      </c>
      <c r="D56" s="111" t="s">
        <v>2620</v>
      </c>
      <c r="E56" s="111" t="s">
        <v>56</v>
      </c>
      <c r="F56" s="113" t="s">
        <v>1233</v>
      </c>
      <c r="G56" s="113" t="s">
        <v>1233</v>
      </c>
      <c r="H56" s="113" t="s">
        <v>56</v>
      </c>
      <c r="I56" s="114" t="s">
        <v>1235</v>
      </c>
      <c r="J56" s="115" t="s">
        <v>1851</v>
      </c>
      <c r="K56" s="114" t="s">
        <v>2001</v>
      </c>
      <c r="L56" s="114"/>
      <c r="M56" s="114"/>
      <c r="N56" s="114"/>
      <c r="O56" s="121"/>
      <c r="P56" s="123"/>
      <c r="Q56" s="123"/>
      <c r="R56" s="114"/>
      <c r="S56" s="114"/>
      <c r="T56" s="114"/>
      <c r="U56" s="114"/>
      <c r="V56" s="114"/>
      <c r="W56" s="114"/>
      <c r="X56" s="118"/>
    </row>
    <row r="57">
      <c r="A57" s="115" t="s">
        <v>619</v>
      </c>
      <c r="B57" s="111" t="s">
        <v>1588</v>
      </c>
      <c r="C57" s="111" t="s">
        <v>1589</v>
      </c>
      <c r="D57" s="111" t="s">
        <v>2621</v>
      </c>
      <c r="E57" s="111" t="s">
        <v>56</v>
      </c>
      <c r="F57" s="113" t="s">
        <v>1233</v>
      </c>
      <c r="G57" s="113" t="s">
        <v>1233</v>
      </c>
      <c r="H57" s="113" t="s">
        <v>56</v>
      </c>
      <c r="I57" s="114" t="s">
        <v>1235</v>
      </c>
      <c r="J57" s="115" t="s">
        <v>1851</v>
      </c>
      <c r="K57" s="114" t="s">
        <v>2003</v>
      </c>
      <c r="L57" s="114"/>
      <c r="M57" s="114"/>
      <c r="N57" s="114"/>
      <c r="O57" s="121"/>
      <c r="P57" s="123"/>
      <c r="Q57" s="123"/>
      <c r="R57" s="114"/>
      <c r="S57" s="114"/>
      <c r="T57" s="114"/>
      <c r="U57" s="114"/>
      <c r="V57" s="114"/>
      <c r="W57" s="114"/>
      <c r="X57" s="118"/>
    </row>
    <row r="58">
      <c r="A58" s="115" t="s">
        <v>1171</v>
      </c>
      <c r="B58" s="111" t="s">
        <v>1871</v>
      </c>
      <c r="C58" s="111" t="s">
        <v>1872</v>
      </c>
      <c r="D58" s="111" t="s">
        <v>2622</v>
      </c>
      <c r="E58" s="111" t="s">
        <v>56</v>
      </c>
      <c r="F58" s="113" t="s">
        <v>1233</v>
      </c>
      <c r="G58" s="113" t="s">
        <v>1233</v>
      </c>
      <c r="H58" s="113" t="s">
        <v>56</v>
      </c>
      <c r="I58" s="114" t="s">
        <v>1235</v>
      </c>
      <c r="J58" s="115" t="s">
        <v>1853</v>
      </c>
      <c r="K58" s="114" t="s">
        <v>2001</v>
      </c>
      <c r="L58" s="114"/>
      <c r="M58" s="114"/>
      <c r="N58" s="114"/>
      <c r="O58" s="121"/>
      <c r="P58" s="123"/>
      <c r="Q58" s="123"/>
      <c r="R58" s="114"/>
      <c r="S58" s="114"/>
      <c r="T58" s="114"/>
      <c r="U58" s="114"/>
      <c r="V58" s="114"/>
      <c r="W58" s="114"/>
      <c r="X58" s="118"/>
    </row>
    <row r="59">
      <c r="A59" s="115" t="s">
        <v>258</v>
      </c>
      <c r="B59" s="111" t="s">
        <v>1395</v>
      </c>
      <c r="C59" s="111" t="s">
        <v>1396</v>
      </c>
      <c r="D59" s="111" t="s">
        <v>2623</v>
      </c>
      <c r="E59" s="111" t="s">
        <v>56</v>
      </c>
      <c r="F59" s="113" t="s">
        <v>1233</v>
      </c>
      <c r="G59" s="113" t="s">
        <v>1233</v>
      </c>
      <c r="H59" s="113" t="s">
        <v>56</v>
      </c>
      <c r="I59" s="114" t="s">
        <v>1235</v>
      </c>
      <c r="J59" s="115" t="s">
        <v>1855</v>
      </c>
      <c r="K59" s="114" t="s">
        <v>2001</v>
      </c>
      <c r="L59" s="114"/>
      <c r="M59" s="114"/>
      <c r="N59" s="114"/>
      <c r="O59" s="121"/>
      <c r="P59" s="123"/>
      <c r="Q59" s="123"/>
      <c r="R59" s="114"/>
      <c r="S59" s="114"/>
      <c r="T59" s="114"/>
      <c r="U59" s="114"/>
      <c r="V59" s="114"/>
      <c r="W59" s="114"/>
      <c r="X59" s="118"/>
    </row>
    <row r="60">
      <c r="A60" s="115" t="s">
        <v>184</v>
      </c>
      <c r="B60" s="111" t="s">
        <v>1341</v>
      </c>
      <c r="C60" s="111" t="s">
        <v>1342</v>
      </c>
      <c r="D60" s="111" t="s">
        <v>2624</v>
      </c>
      <c r="E60" s="111" t="s">
        <v>56</v>
      </c>
      <c r="F60" s="113" t="s">
        <v>1233</v>
      </c>
      <c r="G60" s="113" t="s">
        <v>1233</v>
      </c>
      <c r="H60" s="113" t="s">
        <v>56</v>
      </c>
      <c r="I60" s="114" t="s">
        <v>1235</v>
      </c>
      <c r="J60" s="115" t="s">
        <v>1855</v>
      </c>
      <c r="K60" s="114" t="s">
        <v>2003</v>
      </c>
      <c r="L60" s="114"/>
      <c r="M60" s="114"/>
      <c r="N60" s="114"/>
      <c r="O60" s="121"/>
      <c r="P60" s="123"/>
      <c r="Q60" s="123"/>
      <c r="R60" s="114"/>
      <c r="S60" s="114"/>
      <c r="T60" s="114"/>
      <c r="U60" s="114"/>
      <c r="V60" s="114"/>
      <c r="W60" s="114"/>
      <c r="X60" s="118"/>
    </row>
    <row r="61">
      <c r="A61" s="115" t="s">
        <v>111</v>
      </c>
      <c r="B61" s="111" t="s">
        <v>1284</v>
      </c>
      <c r="C61" s="111" t="s">
        <v>1285</v>
      </c>
      <c r="D61" s="111" t="s">
        <v>2625</v>
      </c>
      <c r="E61" s="111" t="s">
        <v>56</v>
      </c>
      <c r="F61" s="113" t="s">
        <v>1233</v>
      </c>
      <c r="G61" s="113" t="s">
        <v>1233</v>
      </c>
      <c r="H61" s="113" t="s">
        <v>56</v>
      </c>
      <c r="I61" s="114" t="s">
        <v>1235</v>
      </c>
      <c r="J61" s="115" t="s">
        <v>1857</v>
      </c>
      <c r="K61" s="114" t="s">
        <v>2001</v>
      </c>
      <c r="L61" s="114"/>
      <c r="M61" s="114"/>
      <c r="N61" s="114"/>
      <c r="O61" s="121"/>
      <c r="P61" s="123"/>
      <c r="Q61" s="123"/>
      <c r="R61" s="114"/>
      <c r="S61" s="114"/>
      <c r="T61" s="114"/>
      <c r="U61" s="114"/>
      <c r="V61" s="114"/>
      <c r="W61" s="114"/>
      <c r="X61" s="118"/>
    </row>
    <row r="62">
      <c r="A62" s="115" t="s">
        <v>113</v>
      </c>
      <c r="B62" s="111" t="s">
        <v>1286</v>
      </c>
      <c r="C62" s="111" t="s">
        <v>1287</v>
      </c>
      <c r="D62" s="111" t="s">
        <v>2626</v>
      </c>
      <c r="E62" s="111" t="s">
        <v>56</v>
      </c>
      <c r="F62" s="113" t="s">
        <v>1233</v>
      </c>
      <c r="G62" s="113" t="s">
        <v>1233</v>
      </c>
      <c r="H62" s="113" t="s">
        <v>56</v>
      </c>
      <c r="I62" s="114" t="s">
        <v>1235</v>
      </c>
      <c r="J62" s="115" t="s">
        <v>1857</v>
      </c>
      <c r="K62" s="114" t="s">
        <v>2003</v>
      </c>
      <c r="L62" s="114"/>
      <c r="M62" s="114"/>
      <c r="N62" s="114"/>
      <c r="O62" s="121"/>
      <c r="P62" s="123"/>
      <c r="Q62" s="123"/>
      <c r="R62" s="114"/>
      <c r="S62" s="114"/>
      <c r="T62" s="114"/>
      <c r="U62" s="114"/>
      <c r="V62" s="114"/>
      <c r="W62" s="114"/>
      <c r="X62" s="118"/>
    </row>
    <row r="63">
      <c r="A63" s="115" t="s">
        <v>423</v>
      </c>
      <c r="B63" s="111" t="s">
        <v>1466</v>
      </c>
      <c r="C63" s="111" t="s">
        <v>1467</v>
      </c>
      <c r="D63" s="111" t="s">
        <v>2627</v>
      </c>
      <c r="E63" s="111" t="s">
        <v>56</v>
      </c>
      <c r="F63" s="113" t="s">
        <v>1233</v>
      </c>
      <c r="G63" s="113" t="s">
        <v>1233</v>
      </c>
      <c r="H63" s="113" t="s">
        <v>56</v>
      </c>
      <c r="I63" s="114" t="s">
        <v>1235</v>
      </c>
      <c r="J63" s="115" t="s">
        <v>1859</v>
      </c>
      <c r="K63" s="114" t="s">
        <v>2001</v>
      </c>
      <c r="L63" s="114"/>
      <c r="M63" s="114"/>
      <c r="N63" s="114"/>
      <c r="O63" s="121"/>
      <c r="P63" s="123"/>
      <c r="Q63" s="123"/>
      <c r="R63" s="114"/>
      <c r="S63" s="114"/>
      <c r="T63" s="114"/>
      <c r="U63" s="114"/>
      <c r="V63" s="114"/>
      <c r="W63" s="114"/>
      <c r="X63" s="118"/>
    </row>
    <row r="64">
      <c r="A64" s="115" t="s">
        <v>423</v>
      </c>
      <c r="B64" s="111" t="s">
        <v>1466</v>
      </c>
      <c r="C64" s="111" t="s">
        <v>1467</v>
      </c>
      <c r="D64" s="111" t="s">
        <v>2628</v>
      </c>
      <c r="E64" s="111" t="s">
        <v>56</v>
      </c>
      <c r="F64" s="113" t="s">
        <v>1233</v>
      </c>
      <c r="G64" s="113" t="s">
        <v>1233</v>
      </c>
      <c r="H64" s="113" t="s">
        <v>56</v>
      </c>
      <c r="I64" s="114" t="s">
        <v>1235</v>
      </c>
      <c r="J64" s="115" t="s">
        <v>1859</v>
      </c>
      <c r="K64" s="114" t="s">
        <v>2003</v>
      </c>
      <c r="L64" s="114"/>
      <c r="M64" s="114"/>
      <c r="N64" s="114"/>
      <c r="O64" s="121"/>
      <c r="P64" s="123"/>
      <c r="Q64" s="123"/>
      <c r="R64" s="114"/>
      <c r="S64" s="114"/>
      <c r="T64" s="114"/>
      <c r="U64" s="114"/>
      <c r="V64" s="114"/>
      <c r="W64" s="114"/>
      <c r="X64" s="118"/>
    </row>
    <row r="65">
      <c r="A65" s="115" t="s">
        <v>288</v>
      </c>
      <c r="B65" s="111" t="s">
        <v>1416</v>
      </c>
      <c r="C65" s="111" t="s">
        <v>1417</v>
      </c>
      <c r="D65" s="111" t="s">
        <v>2629</v>
      </c>
      <c r="E65" s="111" t="s">
        <v>56</v>
      </c>
      <c r="F65" s="113" t="s">
        <v>1233</v>
      </c>
      <c r="G65" s="113" t="s">
        <v>1233</v>
      </c>
      <c r="H65" s="113" t="s">
        <v>56</v>
      </c>
      <c r="I65" s="114" t="s">
        <v>1235</v>
      </c>
      <c r="J65" s="115" t="s">
        <v>1861</v>
      </c>
      <c r="K65" s="114" t="s">
        <v>2001</v>
      </c>
      <c r="L65" s="114"/>
      <c r="M65" s="114"/>
      <c r="N65" s="114"/>
      <c r="O65" s="121"/>
      <c r="P65" s="123"/>
      <c r="Q65" s="123"/>
      <c r="R65" s="114"/>
      <c r="S65" s="114"/>
      <c r="T65" s="114"/>
      <c r="U65" s="114"/>
      <c r="V65" s="114"/>
      <c r="W65" s="114"/>
      <c r="X65" s="118"/>
    </row>
    <row r="66">
      <c r="A66" s="115" t="s">
        <v>288</v>
      </c>
      <c r="B66" s="111" t="s">
        <v>1416</v>
      </c>
      <c r="C66" s="111" t="s">
        <v>1417</v>
      </c>
      <c r="D66" s="111" t="s">
        <v>2630</v>
      </c>
      <c r="E66" s="111" t="s">
        <v>56</v>
      </c>
      <c r="F66" s="113" t="s">
        <v>1233</v>
      </c>
      <c r="G66" s="113" t="s">
        <v>1233</v>
      </c>
      <c r="H66" s="113" t="s">
        <v>56</v>
      </c>
      <c r="I66" s="114" t="s">
        <v>1235</v>
      </c>
      <c r="J66" s="115" t="s">
        <v>1863</v>
      </c>
      <c r="K66" s="114" t="s">
        <v>2001</v>
      </c>
      <c r="L66" s="114"/>
      <c r="M66" s="114"/>
      <c r="N66" s="114"/>
      <c r="O66" s="121"/>
      <c r="P66" s="123"/>
      <c r="Q66" s="123"/>
      <c r="R66" s="114"/>
      <c r="S66" s="114"/>
      <c r="T66" s="114"/>
      <c r="U66" s="114"/>
      <c r="V66" s="114"/>
      <c r="W66" s="114"/>
      <c r="X66" s="118"/>
    </row>
    <row r="67">
      <c r="A67" s="115" t="s">
        <v>1181</v>
      </c>
      <c r="B67" s="111" t="s">
        <v>1873</v>
      </c>
      <c r="C67" s="111" t="s">
        <v>1874</v>
      </c>
      <c r="D67" s="111" t="s">
        <v>2631</v>
      </c>
      <c r="E67" s="111" t="s">
        <v>56</v>
      </c>
      <c r="F67" s="113" t="s">
        <v>1233</v>
      </c>
      <c r="G67" s="113" t="s">
        <v>1233</v>
      </c>
      <c r="H67" s="113" t="s">
        <v>56</v>
      </c>
      <c r="I67" s="114" t="s">
        <v>1235</v>
      </c>
      <c r="J67" s="115" t="s">
        <v>1865</v>
      </c>
      <c r="K67" s="114" t="s">
        <v>2001</v>
      </c>
      <c r="L67" s="114"/>
      <c r="M67" s="114"/>
      <c r="N67" s="114"/>
      <c r="O67" s="121"/>
      <c r="P67" s="123"/>
      <c r="Q67" s="123"/>
      <c r="R67" s="114"/>
      <c r="S67" s="114"/>
      <c r="T67" s="114"/>
      <c r="U67" s="114"/>
      <c r="V67" s="114"/>
      <c r="W67" s="114"/>
      <c r="X67" s="118"/>
    </row>
    <row r="68">
      <c r="A68" s="115" t="s">
        <v>111</v>
      </c>
      <c r="B68" s="111" t="s">
        <v>1284</v>
      </c>
      <c r="C68" s="111" t="s">
        <v>1285</v>
      </c>
      <c r="D68" s="111" t="s">
        <v>2632</v>
      </c>
      <c r="E68" s="111" t="s">
        <v>56</v>
      </c>
      <c r="F68" s="113" t="s">
        <v>1233</v>
      </c>
      <c r="G68" s="113" t="s">
        <v>1233</v>
      </c>
      <c r="H68" s="113" t="s">
        <v>56</v>
      </c>
      <c r="I68" s="114" t="s">
        <v>1235</v>
      </c>
      <c r="J68" s="115" t="s">
        <v>1867</v>
      </c>
      <c r="K68" s="114" t="s">
        <v>2001</v>
      </c>
      <c r="L68" s="114"/>
      <c r="M68" s="114"/>
      <c r="N68" s="114"/>
      <c r="O68" s="121"/>
      <c r="P68" s="123"/>
      <c r="Q68" s="123"/>
      <c r="R68" s="114"/>
      <c r="S68" s="114"/>
      <c r="T68" s="114"/>
      <c r="U68" s="114"/>
      <c r="V68" s="114"/>
      <c r="W68" s="114"/>
      <c r="X68" s="118"/>
    </row>
    <row r="69">
      <c r="A69" s="115" t="s">
        <v>1184</v>
      </c>
      <c r="B69" s="111" t="s">
        <v>1875</v>
      </c>
      <c r="C69" s="111" t="s">
        <v>1876</v>
      </c>
      <c r="D69" s="111" t="s">
        <v>2633</v>
      </c>
      <c r="E69" s="111" t="s">
        <v>56</v>
      </c>
      <c r="F69" s="113" t="s">
        <v>1233</v>
      </c>
      <c r="G69" s="113" t="s">
        <v>1233</v>
      </c>
      <c r="H69" s="113" t="s">
        <v>56</v>
      </c>
      <c r="I69" s="114" t="s">
        <v>1235</v>
      </c>
      <c r="J69" s="115" t="s">
        <v>1867</v>
      </c>
      <c r="K69" s="114" t="s">
        <v>2003</v>
      </c>
      <c r="L69" s="114"/>
      <c r="M69" s="114"/>
      <c r="N69" s="114"/>
      <c r="O69" s="121"/>
      <c r="P69" s="123"/>
      <c r="Q69" s="123"/>
      <c r="R69" s="114"/>
      <c r="S69" s="114"/>
      <c r="T69" s="114"/>
      <c r="U69" s="114"/>
      <c r="V69" s="114"/>
      <c r="W69" s="114"/>
      <c r="X69" s="118"/>
    </row>
    <row r="70">
      <c r="A70" s="115" t="s">
        <v>1187</v>
      </c>
      <c r="B70" s="111" t="s">
        <v>1877</v>
      </c>
      <c r="C70" s="111" t="s">
        <v>1878</v>
      </c>
      <c r="D70" s="111" t="s">
        <v>2634</v>
      </c>
      <c r="E70" s="111" t="s">
        <v>56</v>
      </c>
      <c r="F70" s="113" t="s">
        <v>1233</v>
      </c>
      <c r="G70" s="113" t="s">
        <v>1233</v>
      </c>
      <c r="H70" s="113" t="s">
        <v>56</v>
      </c>
      <c r="I70" s="114" t="s">
        <v>1235</v>
      </c>
      <c r="J70" s="115" t="s">
        <v>1869</v>
      </c>
      <c r="K70" s="114" t="s">
        <v>2001</v>
      </c>
      <c r="L70" s="114"/>
      <c r="M70" s="114"/>
      <c r="N70" s="114"/>
      <c r="O70" s="121"/>
      <c r="P70" s="123"/>
      <c r="Q70" s="123"/>
      <c r="R70" s="114"/>
      <c r="S70" s="114"/>
      <c r="T70" s="114"/>
      <c r="U70" s="114"/>
      <c r="V70" s="114"/>
      <c r="W70" s="114"/>
      <c r="X70" s="118"/>
    </row>
    <row r="71">
      <c r="A71" s="115" t="s">
        <v>103</v>
      </c>
      <c r="B71" s="111" t="s">
        <v>1276</v>
      </c>
      <c r="C71" s="111" t="s">
        <v>1277</v>
      </c>
      <c r="D71" s="111" t="s">
        <v>2635</v>
      </c>
      <c r="E71" s="111" t="s">
        <v>56</v>
      </c>
      <c r="F71" s="113" t="s">
        <v>1233</v>
      </c>
      <c r="G71" s="113" t="s">
        <v>1233</v>
      </c>
      <c r="H71" s="113" t="s">
        <v>56</v>
      </c>
      <c r="I71" s="114" t="s">
        <v>1235</v>
      </c>
      <c r="J71" s="115" t="s">
        <v>1871</v>
      </c>
      <c r="K71" s="114" t="s">
        <v>2001</v>
      </c>
      <c r="L71" s="114"/>
      <c r="M71" s="114"/>
      <c r="N71" s="114"/>
      <c r="O71" s="121"/>
      <c r="P71" s="123"/>
      <c r="Q71" s="123"/>
      <c r="R71" s="114"/>
      <c r="S71" s="114"/>
      <c r="T71" s="114"/>
      <c r="U71" s="114"/>
      <c r="V71" s="114"/>
      <c r="W71" s="114"/>
      <c r="X71" s="118"/>
    </row>
    <row r="72">
      <c r="A72" s="115" t="s">
        <v>103</v>
      </c>
      <c r="B72" s="111" t="s">
        <v>1276</v>
      </c>
      <c r="C72" s="111" t="s">
        <v>1277</v>
      </c>
      <c r="D72" s="111" t="s">
        <v>2636</v>
      </c>
      <c r="E72" s="111" t="s">
        <v>56</v>
      </c>
      <c r="F72" s="113" t="s">
        <v>1233</v>
      </c>
      <c r="G72" s="113" t="s">
        <v>1233</v>
      </c>
      <c r="H72" s="113" t="s">
        <v>56</v>
      </c>
      <c r="I72" s="114" t="s">
        <v>1235</v>
      </c>
      <c r="J72" s="115" t="s">
        <v>1873</v>
      </c>
      <c r="K72" s="114" t="s">
        <v>2001</v>
      </c>
      <c r="L72" s="114"/>
      <c r="M72" s="114"/>
      <c r="N72" s="114"/>
      <c r="O72" s="121"/>
      <c r="P72" s="123"/>
      <c r="Q72" s="123"/>
      <c r="R72" s="114"/>
      <c r="S72" s="114"/>
      <c r="T72" s="114"/>
      <c r="U72" s="114"/>
      <c r="V72" s="114"/>
      <c r="W72" s="114"/>
      <c r="X72" s="118"/>
    </row>
    <row r="73">
      <c r="A73" s="115" t="s">
        <v>1192</v>
      </c>
      <c r="B73" s="111" t="s">
        <v>1879</v>
      </c>
      <c r="C73" s="111" t="s">
        <v>1880</v>
      </c>
      <c r="D73" s="111" t="s">
        <v>2637</v>
      </c>
      <c r="E73" s="111" t="s">
        <v>56</v>
      </c>
      <c r="F73" s="113" t="s">
        <v>1233</v>
      </c>
      <c r="G73" s="113" t="s">
        <v>1233</v>
      </c>
      <c r="H73" s="113" t="s">
        <v>56</v>
      </c>
      <c r="I73" s="114" t="s">
        <v>1235</v>
      </c>
      <c r="J73" s="115" t="s">
        <v>1875</v>
      </c>
      <c r="K73" s="114" t="s">
        <v>2001</v>
      </c>
      <c r="L73" s="114"/>
      <c r="M73" s="114"/>
      <c r="N73" s="114"/>
      <c r="O73" s="121"/>
      <c r="P73" s="123"/>
      <c r="Q73" s="123"/>
      <c r="R73" s="114"/>
      <c r="S73" s="114"/>
      <c r="T73" s="114"/>
      <c r="U73" s="114"/>
      <c r="V73" s="114"/>
      <c r="W73" s="114"/>
      <c r="X73" s="118"/>
    </row>
    <row r="74">
      <c r="A74" s="115" t="s">
        <v>1194</v>
      </c>
      <c r="B74" s="111" t="s">
        <v>1881</v>
      </c>
      <c r="C74" s="111" t="s">
        <v>1882</v>
      </c>
      <c r="D74" s="111" t="s">
        <v>2638</v>
      </c>
      <c r="E74" s="111" t="s">
        <v>56</v>
      </c>
      <c r="F74" s="113" t="s">
        <v>1233</v>
      </c>
      <c r="G74" s="113" t="s">
        <v>1233</v>
      </c>
      <c r="H74" s="113" t="s">
        <v>56</v>
      </c>
      <c r="I74" s="114" t="s">
        <v>1235</v>
      </c>
      <c r="J74" s="115" t="s">
        <v>1875</v>
      </c>
      <c r="K74" s="114" t="s">
        <v>2003</v>
      </c>
      <c r="L74" s="114"/>
      <c r="M74" s="114"/>
      <c r="N74" s="114"/>
      <c r="O74" s="121"/>
      <c r="P74" s="123"/>
      <c r="Q74" s="123"/>
      <c r="R74" s="114"/>
      <c r="S74" s="114"/>
      <c r="T74" s="114"/>
      <c r="U74" s="114"/>
      <c r="V74" s="114"/>
      <c r="W74" s="114"/>
      <c r="X74" s="118"/>
    </row>
    <row r="75">
      <c r="A75" s="115" t="s">
        <v>1196</v>
      </c>
      <c r="B75" s="111" t="s">
        <v>1883</v>
      </c>
      <c r="C75" s="111" t="s">
        <v>1884</v>
      </c>
      <c r="D75" s="111" t="s">
        <v>2639</v>
      </c>
      <c r="E75" s="111" t="s">
        <v>56</v>
      </c>
      <c r="F75" s="113" t="s">
        <v>1233</v>
      </c>
      <c r="G75" s="113" t="s">
        <v>1233</v>
      </c>
      <c r="H75" s="113" t="s">
        <v>56</v>
      </c>
      <c r="I75" s="114" t="s">
        <v>1235</v>
      </c>
      <c r="J75" s="115" t="s">
        <v>1875</v>
      </c>
      <c r="K75" s="114" t="s">
        <v>2005</v>
      </c>
      <c r="L75" s="114"/>
      <c r="M75" s="114"/>
      <c r="N75" s="114"/>
      <c r="O75" s="121"/>
      <c r="P75" s="123"/>
      <c r="Q75" s="123"/>
      <c r="R75" s="114"/>
      <c r="S75" s="114"/>
      <c r="T75" s="114"/>
      <c r="U75" s="114"/>
      <c r="V75" s="114"/>
      <c r="W75" s="114"/>
      <c r="X75" s="118"/>
    </row>
    <row r="76">
      <c r="A76" s="115" t="s">
        <v>1198</v>
      </c>
      <c r="B76" s="111" t="s">
        <v>1885</v>
      </c>
      <c r="C76" s="111" t="s">
        <v>1886</v>
      </c>
      <c r="D76" s="111" t="s">
        <v>2640</v>
      </c>
      <c r="E76" s="111" t="s">
        <v>56</v>
      </c>
      <c r="F76" s="113" t="s">
        <v>1233</v>
      </c>
      <c r="G76" s="113" t="s">
        <v>1233</v>
      </c>
      <c r="H76" s="113" t="s">
        <v>56</v>
      </c>
      <c r="I76" s="114" t="s">
        <v>1235</v>
      </c>
      <c r="J76" s="115" t="s">
        <v>1875</v>
      </c>
      <c r="K76" s="114" t="s">
        <v>2007</v>
      </c>
      <c r="L76" s="114"/>
      <c r="M76" s="114"/>
      <c r="N76" s="114"/>
      <c r="O76" s="121"/>
      <c r="P76" s="123"/>
      <c r="Q76" s="123"/>
      <c r="R76" s="114"/>
      <c r="S76" s="114"/>
      <c r="T76" s="114"/>
      <c r="U76" s="114"/>
      <c r="V76" s="114"/>
      <c r="W76" s="114"/>
      <c r="X76" s="118"/>
    </row>
    <row r="77">
      <c r="A77" s="115" t="s">
        <v>101</v>
      </c>
      <c r="B77" s="111" t="s">
        <v>1274</v>
      </c>
      <c r="C77" s="111" t="s">
        <v>1275</v>
      </c>
      <c r="D77" s="111" t="s">
        <v>2641</v>
      </c>
      <c r="E77" s="111" t="s">
        <v>56</v>
      </c>
      <c r="F77" s="113" t="s">
        <v>1233</v>
      </c>
      <c r="G77" s="113" t="s">
        <v>1233</v>
      </c>
      <c r="H77" s="113" t="s">
        <v>56</v>
      </c>
      <c r="I77" s="114" t="s">
        <v>1235</v>
      </c>
      <c r="J77" s="115" t="s">
        <v>1877</v>
      </c>
      <c r="K77" s="114" t="s">
        <v>2001</v>
      </c>
      <c r="L77" s="114"/>
      <c r="M77" s="114"/>
      <c r="N77" s="114"/>
      <c r="O77" s="121"/>
      <c r="P77" s="123"/>
      <c r="Q77" s="123"/>
      <c r="R77" s="114"/>
      <c r="S77" s="114"/>
      <c r="T77" s="114"/>
      <c r="U77" s="114"/>
      <c r="V77" s="114"/>
      <c r="W77" s="114"/>
      <c r="X77" s="118"/>
    </row>
    <row r="78">
      <c r="A78" s="115" t="s">
        <v>1202</v>
      </c>
      <c r="B78" s="111" t="s">
        <v>1887</v>
      </c>
      <c r="C78" s="111" t="s">
        <v>1888</v>
      </c>
      <c r="D78" s="111" t="s">
        <v>2642</v>
      </c>
      <c r="E78" s="111" t="s">
        <v>56</v>
      </c>
      <c r="F78" s="113" t="s">
        <v>1233</v>
      </c>
      <c r="G78" s="113" t="s">
        <v>1233</v>
      </c>
      <c r="H78" s="113" t="s">
        <v>56</v>
      </c>
      <c r="I78" s="114" t="s">
        <v>1235</v>
      </c>
      <c r="J78" s="115" t="s">
        <v>1877</v>
      </c>
      <c r="K78" s="114" t="s">
        <v>2003</v>
      </c>
      <c r="L78" s="114"/>
      <c r="M78" s="114"/>
      <c r="N78" s="114"/>
      <c r="O78" s="121"/>
      <c r="P78" s="123"/>
      <c r="Q78" s="123"/>
      <c r="R78" s="114"/>
      <c r="S78" s="114"/>
      <c r="T78" s="114"/>
      <c r="U78" s="114"/>
      <c r="V78" s="114"/>
      <c r="W78" s="114"/>
      <c r="X78" s="118"/>
    </row>
    <row r="79">
      <c r="A79" s="115" t="s">
        <v>1202</v>
      </c>
      <c r="B79" s="111" t="s">
        <v>1887</v>
      </c>
      <c r="C79" s="111" t="s">
        <v>1888</v>
      </c>
      <c r="D79" s="111" t="s">
        <v>2643</v>
      </c>
      <c r="E79" s="111" t="s">
        <v>56</v>
      </c>
      <c r="F79" s="113" t="s">
        <v>1233</v>
      </c>
      <c r="G79" s="113" t="s">
        <v>1233</v>
      </c>
      <c r="H79" s="113" t="s">
        <v>56</v>
      </c>
      <c r="I79" s="114" t="s">
        <v>1235</v>
      </c>
      <c r="J79" s="115" t="s">
        <v>1879</v>
      </c>
      <c r="K79" s="114" t="s">
        <v>2001</v>
      </c>
      <c r="L79" s="114"/>
      <c r="M79" s="114"/>
      <c r="N79" s="114"/>
      <c r="O79" s="121"/>
      <c r="P79" s="123"/>
      <c r="Q79" s="123"/>
      <c r="R79" s="114"/>
      <c r="S79" s="114"/>
      <c r="T79" s="114"/>
      <c r="U79" s="114"/>
      <c r="V79" s="114"/>
      <c r="W79" s="114"/>
      <c r="X79" s="118"/>
    </row>
    <row r="80">
      <c r="A80" s="115">
        <v>1292.0</v>
      </c>
      <c r="B80" s="111" t="s">
        <v>1325</v>
      </c>
      <c r="C80" s="111" t="s">
        <v>1326</v>
      </c>
      <c r="D80" s="111" t="s">
        <v>2644</v>
      </c>
      <c r="E80" s="111" t="s">
        <v>56</v>
      </c>
      <c r="F80" s="113" t="s">
        <v>1233</v>
      </c>
      <c r="G80" s="113" t="s">
        <v>1233</v>
      </c>
      <c r="H80" s="113" t="s">
        <v>56</v>
      </c>
      <c r="I80" s="114" t="s">
        <v>1235</v>
      </c>
      <c r="J80" s="115" t="s">
        <v>1879</v>
      </c>
      <c r="K80" s="114" t="s">
        <v>2003</v>
      </c>
      <c r="L80" s="114"/>
      <c r="M80" s="114"/>
      <c r="N80" s="114"/>
      <c r="O80" s="121"/>
      <c r="P80" s="123"/>
      <c r="Q80" s="123"/>
      <c r="R80" s="114"/>
      <c r="S80" s="114"/>
      <c r="T80" s="114"/>
      <c r="U80" s="114"/>
      <c r="V80" s="114"/>
      <c r="W80" s="114"/>
      <c r="X80" s="118"/>
    </row>
    <row r="81">
      <c r="A81" s="115" t="s">
        <v>1207</v>
      </c>
      <c r="B81" s="111" t="s">
        <v>1889</v>
      </c>
      <c r="C81" s="111" t="s">
        <v>1890</v>
      </c>
      <c r="D81" s="111" t="s">
        <v>2645</v>
      </c>
      <c r="E81" s="111" t="s">
        <v>56</v>
      </c>
      <c r="F81" s="113" t="s">
        <v>1233</v>
      </c>
      <c r="G81" s="113" t="s">
        <v>1233</v>
      </c>
      <c r="H81" s="113" t="s">
        <v>56</v>
      </c>
      <c r="I81" s="114" t="s">
        <v>1235</v>
      </c>
      <c r="J81" s="115" t="s">
        <v>1881</v>
      </c>
      <c r="K81" s="114" t="s">
        <v>2001</v>
      </c>
      <c r="L81" s="114"/>
      <c r="M81" s="114"/>
      <c r="N81" s="114"/>
      <c r="O81" s="121"/>
      <c r="P81" s="123"/>
      <c r="Q81" s="123"/>
      <c r="R81" s="114"/>
      <c r="S81" s="114"/>
      <c r="T81" s="114"/>
      <c r="U81" s="114"/>
      <c r="V81" s="114"/>
      <c r="W81" s="114"/>
      <c r="X81" s="118"/>
    </row>
    <row r="82">
      <c r="A82" s="115" t="s">
        <v>197</v>
      </c>
      <c r="B82" s="111" t="s">
        <v>1353</v>
      </c>
      <c r="C82" s="111" t="s">
        <v>1354</v>
      </c>
      <c r="D82" s="111" t="s">
        <v>2646</v>
      </c>
      <c r="E82" s="111" t="s">
        <v>56</v>
      </c>
      <c r="F82" s="113" t="s">
        <v>1233</v>
      </c>
      <c r="G82" s="113" t="s">
        <v>1233</v>
      </c>
      <c r="H82" s="113" t="s">
        <v>56</v>
      </c>
      <c r="I82" s="114" t="s">
        <v>1235</v>
      </c>
      <c r="J82" s="115" t="s">
        <v>1881</v>
      </c>
      <c r="K82" s="114" t="s">
        <v>2003</v>
      </c>
      <c r="L82" s="114"/>
      <c r="M82" s="114"/>
      <c r="N82" s="114"/>
      <c r="O82" s="121"/>
      <c r="P82" s="123"/>
      <c r="Q82" s="123"/>
      <c r="R82" s="114"/>
      <c r="S82" s="114"/>
      <c r="T82" s="114"/>
      <c r="U82" s="114"/>
      <c r="V82" s="114"/>
      <c r="W82" s="114"/>
      <c r="X82" s="118"/>
    </row>
    <row r="83">
      <c r="A83" s="115" t="s">
        <v>187</v>
      </c>
      <c r="B83" s="111" t="s">
        <v>1343</v>
      </c>
      <c r="C83" s="111" t="s">
        <v>1344</v>
      </c>
      <c r="D83" s="111" t="s">
        <v>2647</v>
      </c>
      <c r="E83" s="111" t="s">
        <v>56</v>
      </c>
      <c r="F83" s="113" t="s">
        <v>1233</v>
      </c>
      <c r="G83" s="113" t="s">
        <v>1233</v>
      </c>
      <c r="H83" s="113" t="s">
        <v>56</v>
      </c>
      <c r="I83" s="114" t="s">
        <v>1235</v>
      </c>
      <c r="J83" s="115" t="s">
        <v>1883</v>
      </c>
      <c r="K83" s="114" t="s">
        <v>2001</v>
      </c>
      <c r="L83" s="114"/>
      <c r="M83" s="114"/>
      <c r="N83" s="114"/>
      <c r="O83" s="121"/>
      <c r="P83" s="123"/>
      <c r="Q83" s="123"/>
      <c r="R83" s="114"/>
      <c r="S83" s="114"/>
      <c r="T83" s="114"/>
      <c r="U83" s="114"/>
      <c r="V83" s="114"/>
      <c r="W83" s="114"/>
      <c r="X83" s="118"/>
    </row>
    <row r="84">
      <c r="A84" s="115" t="s">
        <v>1213</v>
      </c>
      <c r="B84" s="111" t="s">
        <v>1891</v>
      </c>
      <c r="C84" s="111" t="s">
        <v>1892</v>
      </c>
      <c r="D84" s="111" t="s">
        <v>2648</v>
      </c>
      <c r="E84" s="111" t="s">
        <v>56</v>
      </c>
      <c r="F84" s="113" t="s">
        <v>1233</v>
      </c>
      <c r="G84" s="113" t="s">
        <v>1233</v>
      </c>
      <c r="H84" s="113" t="s">
        <v>56</v>
      </c>
      <c r="I84" s="114" t="s">
        <v>1235</v>
      </c>
      <c r="J84" s="115" t="s">
        <v>1885</v>
      </c>
      <c r="K84" s="114" t="s">
        <v>2001</v>
      </c>
      <c r="L84" s="114"/>
      <c r="M84" s="114"/>
      <c r="N84" s="114"/>
      <c r="O84" s="121"/>
      <c r="P84" s="123"/>
      <c r="Q84" s="123"/>
      <c r="R84" s="114"/>
      <c r="S84" s="114"/>
      <c r="T84" s="114"/>
      <c r="U84" s="114"/>
      <c r="V84" s="114"/>
      <c r="W84" s="114"/>
      <c r="X84" s="118"/>
    </row>
    <row r="85">
      <c r="A85" s="115" t="s">
        <v>1216</v>
      </c>
      <c r="B85" s="111" t="s">
        <v>1893</v>
      </c>
      <c r="C85" s="111" t="s">
        <v>1894</v>
      </c>
      <c r="D85" s="111" t="s">
        <v>2649</v>
      </c>
      <c r="E85" s="111" t="s">
        <v>56</v>
      </c>
      <c r="F85" s="113" t="s">
        <v>1233</v>
      </c>
      <c r="G85" s="113" t="s">
        <v>1233</v>
      </c>
      <c r="H85" s="113" t="s">
        <v>56</v>
      </c>
      <c r="I85" s="114" t="s">
        <v>1235</v>
      </c>
      <c r="J85" s="115" t="s">
        <v>1887</v>
      </c>
      <c r="K85" s="114" t="s">
        <v>2001</v>
      </c>
      <c r="L85" s="114"/>
      <c r="M85" s="114"/>
      <c r="N85" s="114"/>
      <c r="O85" s="121"/>
      <c r="P85" s="123"/>
      <c r="Q85" s="123"/>
      <c r="R85" s="114"/>
      <c r="S85" s="114"/>
      <c r="T85" s="114"/>
      <c r="U85" s="114"/>
      <c r="V85" s="114"/>
      <c r="W85" s="114"/>
      <c r="X85" s="118"/>
    </row>
    <row r="86">
      <c r="A86" s="115" t="s">
        <v>533</v>
      </c>
      <c r="B86" s="111" t="s">
        <v>1545</v>
      </c>
      <c r="C86" s="111" t="s">
        <v>1546</v>
      </c>
      <c r="D86" s="111" t="s">
        <v>2650</v>
      </c>
      <c r="E86" s="111" t="s">
        <v>56</v>
      </c>
      <c r="F86" s="113" t="s">
        <v>1233</v>
      </c>
      <c r="G86" s="113" t="s">
        <v>1233</v>
      </c>
      <c r="H86" s="113" t="s">
        <v>56</v>
      </c>
      <c r="I86" s="114" t="s">
        <v>1235</v>
      </c>
      <c r="J86" s="115" t="s">
        <v>1887</v>
      </c>
      <c r="K86" s="114" t="s">
        <v>2003</v>
      </c>
      <c r="L86" s="114"/>
      <c r="M86" s="114"/>
      <c r="N86" s="114"/>
      <c r="O86" s="121"/>
      <c r="P86" s="123"/>
      <c r="Q86" s="123"/>
      <c r="R86" s="114"/>
      <c r="S86" s="114"/>
      <c r="T86" s="114"/>
      <c r="U86" s="114"/>
      <c r="V86" s="114"/>
      <c r="W86" s="114"/>
      <c r="X86" s="118"/>
    </row>
  </sheetData>
  <mergeCells count="4">
    <mergeCell ref="A1:B1"/>
    <mergeCell ref="F1:H1"/>
    <mergeCell ref="I1:P1"/>
    <mergeCell ref="Q1:X1"/>
  </mergeCells>
  <conditionalFormatting sqref="G3 O3 L4:L86 T4:T86">
    <cfRule type="cellIs" dxfId="3" priority="1" operator="equal">
      <formula>"Yes"</formula>
    </cfRule>
  </conditionalFormatting>
  <conditionalFormatting sqref="G3 O3 L4:L86 T4:T86">
    <cfRule type="cellIs" dxfId="4" priority="2" operator="equal">
      <formula>"No"</formula>
    </cfRule>
  </conditionalFormatting>
  <conditionalFormatting sqref="G3 O3 L4:L86 T4:T86">
    <cfRule type="cellIs" dxfId="5" priority="3" operator="equal">
      <formula>"Maybe"</formula>
    </cfRule>
  </conditionalFormatting>
  <conditionalFormatting sqref="H3 M4:M86 U4:U86">
    <cfRule type="cellIs" dxfId="3" priority="4" operator="equal">
      <formula>"No Issues"</formula>
    </cfRule>
  </conditionalFormatting>
  <conditionalFormatting sqref="H3 M4:M86 U4:U86">
    <cfRule type="cellIs" dxfId="4" priority="5" operator="equal">
      <formula>"Unresolved Issue"</formula>
    </cfRule>
  </conditionalFormatting>
  <conditionalFormatting sqref="H3 M4:M86 U4:U86">
    <cfRule type="cellIs" dxfId="6" priority="6" operator="equal">
      <formula>"Repaired Issue"</formula>
    </cfRule>
  </conditionalFormatting>
  <conditionalFormatting sqref="H3 M4:M86 U4:U86">
    <cfRule type="cellIs" dxfId="7" priority="7" operator="equal">
      <formula>"To Check (RCC)"</formula>
    </cfRule>
  </conditionalFormatting>
  <dataValidations>
    <dataValidation type="list" allowBlank="1" sqref="O3 L4:L86 T4:T86">
      <formula1>"Yes,Maybe,No"</formula1>
    </dataValidation>
    <dataValidation type="list" allowBlank="1" sqref="M4:M86 U4:U86">
      <formula1>"No Issues,Unresolved Issue,Repaired Issue,To Check (RCC)"</formula1>
    </dataValidation>
  </dataValidations>
  <hyperlinks>
    <hyperlink r:id="rId1" ref="F4"/>
    <hyperlink r:id="rId2" ref="G4"/>
    <hyperlink r:id="rId3" ref="F5"/>
    <hyperlink r:id="rId4" ref="G5"/>
    <hyperlink r:id="rId5" ref="F6"/>
    <hyperlink r:id="rId6" ref="G6"/>
    <hyperlink r:id="rId7" ref="F7"/>
    <hyperlink r:id="rId8" ref="G7"/>
    <hyperlink r:id="rId9" ref="F8"/>
    <hyperlink r:id="rId10" ref="G8"/>
    <hyperlink r:id="rId11" ref="F9"/>
    <hyperlink r:id="rId12" ref="G9"/>
    <hyperlink r:id="rId13" ref="F10"/>
    <hyperlink r:id="rId14" ref="G10"/>
    <hyperlink r:id="rId15" ref="F11"/>
    <hyperlink r:id="rId16" ref="G11"/>
    <hyperlink r:id="rId17" ref="F12"/>
    <hyperlink r:id="rId18" ref="G12"/>
    <hyperlink r:id="rId19" ref="F13"/>
    <hyperlink r:id="rId20" ref="G13"/>
    <hyperlink r:id="rId21" ref="F14"/>
    <hyperlink r:id="rId22" ref="G14"/>
    <hyperlink r:id="rId23" ref="F15"/>
    <hyperlink r:id="rId24" ref="G15"/>
    <hyperlink r:id="rId25" ref="F16"/>
    <hyperlink r:id="rId26" ref="G16"/>
    <hyperlink r:id="rId27" ref="F17"/>
    <hyperlink r:id="rId28" ref="G17"/>
    <hyperlink r:id="rId29" ref="F18"/>
    <hyperlink r:id="rId30" ref="G18"/>
    <hyperlink r:id="rId31" ref="F19"/>
    <hyperlink r:id="rId32" ref="G19"/>
    <hyperlink r:id="rId33" ref="F20"/>
    <hyperlink r:id="rId34" ref="G20"/>
    <hyperlink r:id="rId35" ref="F21"/>
    <hyperlink r:id="rId36" ref="G21"/>
    <hyperlink r:id="rId37" ref="F22"/>
    <hyperlink r:id="rId38" ref="G22"/>
    <hyperlink r:id="rId39" ref="F23"/>
    <hyperlink r:id="rId40" ref="G23"/>
    <hyperlink r:id="rId41" ref="F24"/>
    <hyperlink r:id="rId42" ref="G24"/>
    <hyperlink r:id="rId43" ref="F25"/>
    <hyperlink r:id="rId44" ref="G25"/>
    <hyperlink r:id="rId45" ref="F26"/>
    <hyperlink r:id="rId46" ref="G26"/>
    <hyperlink r:id="rId47" ref="F27"/>
    <hyperlink r:id="rId48" ref="G27"/>
    <hyperlink r:id="rId49" ref="F28"/>
    <hyperlink r:id="rId50" ref="G28"/>
    <hyperlink r:id="rId51" ref="F29"/>
    <hyperlink r:id="rId52" ref="G29"/>
    <hyperlink r:id="rId53" ref="F30"/>
    <hyperlink r:id="rId54" ref="G30"/>
    <hyperlink r:id="rId55" ref="F31"/>
    <hyperlink r:id="rId56" ref="G31"/>
    <hyperlink r:id="rId57" ref="F32"/>
    <hyperlink r:id="rId58" ref="G32"/>
    <hyperlink r:id="rId59" ref="F33"/>
    <hyperlink r:id="rId60" ref="G33"/>
    <hyperlink r:id="rId61" ref="F34"/>
    <hyperlink r:id="rId62" ref="G34"/>
    <hyperlink r:id="rId63" ref="F35"/>
    <hyperlink r:id="rId64" ref="G35"/>
    <hyperlink r:id="rId65" ref="F36"/>
    <hyperlink r:id="rId66" ref="G36"/>
    <hyperlink r:id="rId67" ref="F37"/>
    <hyperlink r:id="rId68" ref="G37"/>
    <hyperlink r:id="rId69" ref="F38"/>
    <hyperlink r:id="rId70" ref="G38"/>
    <hyperlink r:id="rId71" ref="F39"/>
    <hyperlink r:id="rId72" ref="G39"/>
    <hyperlink r:id="rId73" ref="F40"/>
    <hyperlink r:id="rId74" ref="G40"/>
    <hyperlink r:id="rId75" ref="F41"/>
    <hyperlink r:id="rId76" ref="G41"/>
    <hyperlink r:id="rId77" ref="F42"/>
    <hyperlink r:id="rId78" ref="G42"/>
    <hyperlink r:id="rId79" ref="F43"/>
    <hyperlink r:id="rId80" ref="G43"/>
    <hyperlink r:id="rId81" ref="F44"/>
    <hyperlink r:id="rId82" ref="G44"/>
    <hyperlink r:id="rId83" ref="F45"/>
    <hyperlink r:id="rId84" ref="G45"/>
    <hyperlink r:id="rId85" ref="F46"/>
    <hyperlink r:id="rId86" ref="G46"/>
    <hyperlink r:id="rId87" ref="F47"/>
    <hyperlink r:id="rId88" ref="G47"/>
    <hyperlink r:id="rId89" ref="F48"/>
    <hyperlink r:id="rId90" ref="G48"/>
    <hyperlink r:id="rId91" ref="F49"/>
    <hyperlink r:id="rId92" ref="G49"/>
    <hyperlink r:id="rId93" ref="F50"/>
    <hyperlink r:id="rId94" ref="G50"/>
    <hyperlink r:id="rId95" ref="F51"/>
    <hyperlink r:id="rId96" ref="G51"/>
    <hyperlink r:id="rId97" ref="F52"/>
    <hyperlink r:id="rId98" ref="G52"/>
    <hyperlink r:id="rId99" ref="F53"/>
    <hyperlink r:id="rId100" ref="G53"/>
    <hyperlink r:id="rId101" ref="F54"/>
    <hyperlink r:id="rId102" ref="G54"/>
    <hyperlink r:id="rId103" ref="F55"/>
    <hyperlink r:id="rId104" ref="G55"/>
    <hyperlink r:id="rId105" ref="F56"/>
    <hyperlink r:id="rId106" ref="G56"/>
    <hyperlink r:id="rId107" ref="F57"/>
    <hyperlink r:id="rId108" ref="G57"/>
    <hyperlink r:id="rId109" ref="F58"/>
    <hyperlink r:id="rId110" ref="G58"/>
    <hyperlink r:id="rId111" ref="F59"/>
    <hyperlink r:id="rId112" ref="G59"/>
    <hyperlink r:id="rId113" ref="F60"/>
    <hyperlink r:id="rId114" ref="G60"/>
    <hyperlink r:id="rId115" ref="F61"/>
    <hyperlink r:id="rId116" ref="G61"/>
    <hyperlink r:id="rId117" ref="F62"/>
    <hyperlink r:id="rId118" ref="G62"/>
    <hyperlink r:id="rId119" ref="F63"/>
    <hyperlink r:id="rId120" ref="G63"/>
    <hyperlink r:id="rId121" ref="F64"/>
    <hyperlink r:id="rId122" ref="G64"/>
    <hyperlink r:id="rId123" ref="F65"/>
    <hyperlink r:id="rId124" ref="G65"/>
    <hyperlink r:id="rId125" ref="F66"/>
    <hyperlink r:id="rId126" ref="G66"/>
    <hyperlink r:id="rId127" ref="F67"/>
    <hyperlink r:id="rId128" ref="G67"/>
    <hyperlink r:id="rId129" ref="F68"/>
    <hyperlink r:id="rId130" ref="G68"/>
    <hyperlink r:id="rId131" ref="F69"/>
    <hyperlink r:id="rId132" ref="G69"/>
    <hyperlink r:id="rId133" ref="F70"/>
    <hyperlink r:id="rId134" ref="G70"/>
    <hyperlink r:id="rId135" ref="F71"/>
    <hyperlink r:id="rId136" ref="G71"/>
    <hyperlink r:id="rId137" ref="F72"/>
    <hyperlink r:id="rId138" ref="G72"/>
    <hyperlink r:id="rId139" ref="F73"/>
    <hyperlink r:id="rId140" ref="G73"/>
    <hyperlink r:id="rId141" ref="F74"/>
    <hyperlink r:id="rId142" ref="G74"/>
    <hyperlink r:id="rId143" ref="F75"/>
    <hyperlink r:id="rId144" ref="G75"/>
    <hyperlink r:id="rId145" ref="F76"/>
    <hyperlink r:id="rId146" ref="G76"/>
    <hyperlink r:id="rId147" ref="F77"/>
    <hyperlink r:id="rId148" ref="G77"/>
    <hyperlink r:id="rId149" ref="F78"/>
    <hyperlink r:id="rId150" ref="G78"/>
    <hyperlink r:id="rId151" ref="F79"/>
    <hyperlink r:id="rId152" ref="G79"/>
    <hyperlink r:id="rId153" ref="F80"/>
    <hyperlink r:id="rId154" ref="G80"/>
    <hyperlink r:id="rId155" ref="F81"/>
    <hyperlink r:id="rId156" ref="G81"/>
    <hyperlink r:id="rId157" ref="F82"/>
    <hyperlink r:id="rId158" ref="G82"/>
    <hyperlink r:id="rId159" ref="F83"/>
    <hyperlink r:id="rId160" ref="G83"/>
    <hyperlink r:id="rId161" ref="F84"/>
    <hyperlink r:id="rId162" ref="G84"/>
    <hyperlink r:id="rId163" ref="F85"/>
    <hyperlink r:id="rId164" ref="G85"/>
    <hyperlink r:id="rId165" ref="F86"/>
    <hyperlink r:id="rId166" ref="G86"/>
  </hyperlinks>
  <drawing r:id="rId167"/>
</worksheet>
</file>